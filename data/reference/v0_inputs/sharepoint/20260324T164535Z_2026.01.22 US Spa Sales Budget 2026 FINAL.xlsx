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qmsmedicosmetics.sharepoint.com/sites/DATAANDREPORTING/Shared Documents/Budgets/2026/"/>
    </mc:Choice>
  </mc:AlternateContent>
  <xr:revisionPtr revIDLastSave="2" documentId="8_{09F95919-CD7E-4A58-BE10-99BA5D24082D}" xr6:coauthVersionLast="47" xr6:coauthVersionMax="47" xr10:uidLastSave="{BA61D618-7628-4CFA-8278-3946E7D0F916}"/>
  <bookViews>
    <workbookView xWindow="-120" yWindow="-120" windowWidth="29040" windowHeight="15720" firstSheet="4" activeTab="2" xr2:uid="{900FFD70-28E5-4B21-9D56-57BB4CC6A05B}"/>
  </bookViews>
  <sheets>
    <sheet name="Summary" sheetId="17" r:id="rId1"/>
    <sheet name="Definition" sheetId="18" r:id="rId2"/>
    <sheet name="Northeast" sheetId="9" r:id="rId3"/>
    <sheet name="Central" sheetId="11" r:id="rId4"/>
    <sheet name="West" sheetId="12" r:id="rId5"/>
    <sheet name="Southeast" sheetId="13" r:id="rId6"/>
    <sheet name="Other" sheetId="16" r:id="rId7"/>
    <sheet name="Lost" sheetId="15" r:id="rId8"/>
    <sheet name="Performance data" sheetId="1" r:id="rId9"/>
    <sheet name="Spa" sheetId="2" r:id="rId10"/>
    <sheet name="2022" sheetId="3" r:id="rId11"/>
    <sheet name="2023" sheetId="4" r:id="rId12"/>
    <sheet name="2024" sheetId="5" r:id="rId13"/>
    <sheet name="2025" sheetId="6" r:id="rId14"/>
    <sheet name="2025B" sheetId="7" r:id="rId15"/>
    <sheet name="2025 budget doc" sheetId="8" r:id="rId16"/>
    <sheet name="List" sheetId="10" r:id="rId17"/>
  </sheets>
  <definedNames>
    <definedName name="_xlnm._FilterDatabase" localSheetId="10" hidden="1">'2022'!$A$11:$V$62</definedName>
    <definedName name="_xlnm._FilterDatabase" localSheetId="11" hidden="1">'2023'!$A$11:$V$62</definedName>
    <definedName name="_xlnm._FilterDatabase" localSheetId="12" hidden="1">'2024'!$A$11:$V$62</definedName>
    <definedName name="_xlnm._FilterDatabase" localSheetId="13" hidden="1">'2025'!$A$11:$V$79</definedName>
    <definedName name="_xlnm._FilterDatabase" localSheetId="14" hidden="1">'2025B'!$A$11:$V$62</definedName>
    <definedName name="_xlnm._FilterDatabase" localSheetId="8" hidden="1">'Performance data'!$B$2:$Z$66</definedName>
    <definedName name="_xlnm._FilterDatabase" localSheetId="5" hidden="1">Southeast!$B$2:$AE$14</definedName>
    <definedName name="_xlnm._FilterDatabase" localSheetId="9" hidden="1">Spa!$B$2:$P$64</definedName>
    <definedName name="_xlnm._FilterDatabase" localSheetId="4" hidden="1">West!$B$2:$AE$16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6" l="1"/>
  <c r="AR4" i="16" s="1"/>
  <c r="Y4" i="16"/>
  <c r="X4" i="16"/>
  <c r="W4" i="16"/>
  <c r="V4" i="16"/>
  <c r="Q4" i="16"/>
  <c r="P4" i="16"/>
  <c r="T4" i="16" s="1"/>
  <c r="O4" i="16"/>
  <c r="H4" i="16"/>
  <c r="F4" i="16"/>
  <c r="D4" i="16"/>
  <c r="K5" i="16"/>
  <c r="G5" i="16"/>
  <c r="AN8" i="16"/>
  <c r="AG4" i="13"/>
  <c r="AH4" i="13"/>
  <c r="AJ4" i="13"/>
  <c r="AK4" i="13"/>
  <c r="AL4" i="13"/>
  <c r="AM4" i="13"/>
  <c r="AO4" i="13"/>
  <c r="AP4" i="13"/>
  <c r="AQ4" i="13"/>
  <c r="AR4" i="13"/>
  <c r="AO8" i="13"/>
  <c r="AP8" i="13"/>
  <c r="AQ8" i="13"/>
  <c r="AK10" i="13"/>
  <c r="AL18" i="13"/>
  <c r="AM18" i="13"/>
  <c r="AP18" i="13"/>
  <c r="AQ18" i="13"/>
  <c r="AR18" i="13"/>
  <c r="AG19" i="13"/>
  <c r="AH19" i="13"/>
  <c r="AI19" i="13"/>
  <c r="AK20" i="13"/>
  <c r="AL20" i="13"/>
  <c r="AM20" i="13"/>
  <c r="AN20" i="13"/>
  <c r="AO20" i="13"/>
  <c r="AP20" i="13"/>
  <c r="AQ20" i="13"/>
  <c r="AR20" i="13"/>
  <c r="AG21" i="13"/>
  <c r="AH21" i="13"/>
  <c r="AI21" i="13"/>
  <c r="AP21" i="13"/>
  <c r="AP6" i="12"/>
  <c r="AQ6" i="12"/>
  <c r="AQ7" i="12"/>
  <c r="AR7" i="12"/>
  <c r="AG8" i="12"/>
  <c r="AH8" i="12"/>
  <c r="AI8" i="12"/>
  <c r="AJ8" i="12"/>
  <c r="AK8" i="12"/>
  <c r="AL8" i="12"/>
  <c r="AM8" i="12"/>
  <c r="AG10" i="12"/>
  <c r="AH10" i="12"/>
  <c r="AI10" i="12"/>
  <c r="AQ10" i="12"/>
  <c r="AR10" i="12"/>
  <c r="AH11" i="12"/>
  <c r="AI11" i="12"/>
  <c r="AJ11" i="12"/>
  <c r="AK11" i="12"/>
  <c r="AL11" i="12"/>
  <c r="AM11" i="12"/>
  <c r="AN11" i="12"/>
  <c r="AO11" i="12"/>
  <c r="AP11" i="12"/>
  <c r="AQ11" i="12"/>
  <c r="AR11" i="12"/>
  <c r="AJ12" i="12"/>
  <c r="AM12" i="12"/>
  <c r="AN12" i="12"/>
  <c r="AQ12" i="12"/>
  <c r="AR12" i="12"/>
  <c r="AG13" i="12"/>
  <c r="AH13" i="12"/>
  <c r="AI13" i="12"/>
  <c r="AJ13" i="12"/>
  <c r="AK13" i="12"/>
  <c r="AL13" i="12"/>
  <c r="AM13" i="12"/>
  <c r="AN13" i="12"/>
  <c r="AR13" i="12"/>
  <c r="AI14" i="12"/>
  <c r="AJ14" i="12"/>
  <c r="AM14" i="12"/>
  <c r="AN14" i="12"/>
  <c r="AO14" i="12"/>
  <c r="AP14" i="12"/>
  <c r="AQ14" i="12"/>
  <c r="AR14" i="12"/>
  <c r="AG15" i="12"/>
  <c r="AH15" i="12"/>
  <c r="AI15" i="12"/>
  <c r="AQ15" i="12"/>
  <c r="AR15" i="12"/>
  <c r="AI20" i="12"/>
  <c r="AJ20" i="12"/>
  <c r="AK20" i="12"/>
  <c r="AL20" i="12"/>
  <c r="AM20" i="12"/>
  <c r="AN20" i="12"/>
  <c r="AO20" i="12"/>
  <c r="AP20" i="12"/>
  <c r="AQ20" i="12"/>
  <c r="AJ21" i="12"/>
  <c r="AM21" i="12"/>
  <c r="AN21" i="12"/>
  <c r="AP21" i="12"/>
  <c r="AQ21" i="12"/>
  <c r="AR21" i="12"/>
  <c r="AG22" i="12"/>
  <c r="AH22" i="12"/>
  <c r="AI22" i="12"/>
  <c r="AJ22" i="12"/>
  <c r="AK22" i="12"/>
  <c r="AL22" i="12"/>
  <c r="AM22" i="12"/>
  <c r="AR22" i="12"/>
  <c r="AI23" i="12"/>
  <c r="AJ23" i="12"/>
  <c r="AL23" i="12"/>
  <c r="AM23" i="12"/>
  <c r="AN23" i="12"/>
  <c r="AO23" i="12"/>
  <c r="AP23" i="12"/>
  <c r="AQ23" i="12"/>
  <c r="AR23" i="12"/>
  <c r="AG24" i="12"/>
  <c r="AH24" i="12"/>
  <c r="AI24" i="12"/>
  <c r="AQ24" i="12"/>
  <c r="AR24" i="12"/>
  <c r="AI25" i="12"/>
  <c r="AJ25" i="12"/>
  <c r="AK25" i="12"/>
  <c r="AL25" i="12"/>
  <c r="AM25" i="12"/>
  <c r="AN25" i="12"/>
  <c r="AO25" i="12"/>
  <c r="AP25" i="12"/>
  <c r="AQ25" i="12"/>
  <c r="AQ4" i="11"/>
  <c r="AR4" i="11"/>
  <c r="AG5" i="11"/>
  <c r="AH5" i="11"/>
  <c r="AI5" i="11"/>
  <c r="AJ5" i="11"/>
  <c r="AK5" i="11"/>
  <c r="AR6" i="11"/>
  <c r="AG12" i="11"/>
  <c r="AH12" i="11"/>
  <c r="AI12" i="11"/>
  <c r="AJ12" i="11"/>
  <c r="AK12" i="11"/>
  <c r="AL12" i="11"/>
  <c r="AM12" i="11"/>
  <c r="AN12" i="11"/>
  <c r="AO12" i="11"/>
  <c r="AJ13" i="11"/>
  <c r="AK13" i="11"/>
  <c r="AL13" i="11"/>
  <c r="AM13" i="11"/>
  <c r="AN13" i="11"/>
  <c r="AO13" i="11"/>
  <c r="AP13" i="11"/>
  <c r="AQ13" i="11"/>
  <c r="AR13" i="11"/>
  <c r="AG14" i="11"/>
  <c r="AH14" i="11"/>
  <c r="AI14" i="11"/>
  <c r="AJ14" i="11"/>
  <c r="AK14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G16" i="11"/>
  <c r="AO16" i="11"/>
  <c r="AP16" i="11"/>
  <c r="AQ16" i="11"/>
  <c r="AR16" i="11"/>
  <c r="AG17" i="11"/>
  <c r="AH17" i="11"/>
  <c r="AI17" i="11"/>
  <c r="AJ17" i="11"/>
  <c r="AK17" i="11"/>
  <c r="AL17" i="11"/>
  <c r="AM17" i="11"/>
  <c r="AN17" i="11"/>
  <c r="AO17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L3" i="12"/>
  <c r="AK3" i="12"/>
  <c r="AJ3" i="12"/>
  <c r="AL3" i="11"/>
  <c r="AK3" i="11"/>
  <c r="AJ3" i="11"/>
  <c r="AI3" i="11"/>
  <c r="AH3" i="11"/>
  <c r="AG3" i="11"/>
  <c r="AJ27" i="13"/>
  <c r="AJ29" i="13" s="1"/>
  <c r="AI27" i="13"/>
  <c r="AI29" i="13" s="1"/>
  <c r="AH27" i="13"/>
  <c r="AH29" i="13" s="1"/>
  <c r="AG27" i="13"/>
  <c r="AG29" i="13" s="1"/>
  <c r="BF26" i="13"/>
  <c r="AR27" i="13" s="1"/>
  <c r="AR29" i="13" s="1"/>
  <c r="BE26" i="13"/>
  <c r="AQ27" i="13" s="1"/>
  <c r="AQ29" i="13" s="1"/>
  <c r="BD26" i="13"/>
  <c r="AP27" i="13" s="1"/>
  <c r="AP29" i="13" s="1"/>
  <c r="BC26" i="13"/>
  <c r="AO27" i="13" s="1"/>
  <c r="AO29" i="13" s="1"/>
  <c r="BB26" i="13"/>
  <c r="AN27" i="13" s="1"/>
  <c r="AN29" i="13" s="1"/>
  <c r="BA26" i="13"/>
  <c r="AM27" i="13" s="1"/>
  <c r="AM29" i="13" s="1"/>
  <c r="AZ26" i="13"/>
  <c r="AL27" i="13" s="1"/>
  <c r="AL29" i="13" s="1"/>
  <c r="AY26" i="13"/>
  <c r="AK27" i="13" s="1"/>
  <c r="AK29" i="13" s="1"/>
  <c r="AI33" i="12"/>
  <c r="AH33" i="12"/>
  <c r="AG33" i="12"/>
  <c r="AR31" i="12"/>
  <c r="AR33" i="12" s="1"/>
  <c r="AQ31" i="12"/>
  <c r="AQ33" i="12" s="1"/>
  <c r="AP31" i="12"/>
  <c r="AP33" i="12" s="1"/>
  <c r="AO31" i="12"/>
  <c r="AO33" i="12" s="1"/>
  <c r="AN31" i="12"/>
  <c r="AN33" i="12" s="1"/>
  <c r="AM31" i="12"/>
  <c r="AM33" i="12" s="1"/>
  <c r="AL31" i="12"/>
  <c r="AL33" i="12" s="1"/>
  <c r="AK31" i="12"/>
  <c r="AK33" i="12" s="1"/>
  <c r="AJ31" i="12"/>
  <c r="AJ33" i="12" s="1"/>
  <c r="AI31" i="12"/>
  <c r="AH31" i="12"/>
  <c r="AG31" i="12"/>
  <c r="BF30" i="12"/>
  <c r="BE30" i="12"/>
  <c r="BD30" i="12"/>
  <c r="BC30" i="12"/>
  <c r="BB30" i="12"/>
  <c r="BA30" i="12"/>
  <c r="AZ30" i="12"/>
  <c r="AY30" i="12"/>
  <c r="AP23" i="11"/>
  <c r="AP25" i="11" s="1"/>
  <c r="AO23" i="11"/>
  <c r="AO25" i="11" s="1"/>
  <c r="AN23" i="11"/>
  <c r="AN25" i="11" s="1"/>
  <c r="AM23" i="11"/>
  <c r="AM25" i="11" s="1"/>
  <c r="AL23" i="11"/>
  <c r="AL25" i="11" s="1"/>
  <c r="AK23" i="11"/>
  <c r="AK25" i="11" s="1"/>
  <c r="AJ23" i="11"/>
  <c r="AJ25" i="11" s="1"/>
  <c r="AI23" i="11"/>
  <c r="AI25" i="11" s="1"/>
  <c r="AH23" i="11"/>
  <c r="AH25" i="11" s="1"/>
  <c r="AG23" i="11"/>
  <c r="AG25" i="11" s="1"/>
  <c r="BF22" i="11"/>
  <c r="AR23" i="11" s="1"/>
  <c r="AR25" i="11" s="1"/>
  <c r="BE22" i="11"/>
  <c r="AQ23" i="11" s="1"/>
  <c r="AQ25" i="11" s="1"/>
  <c r="BD22" i="11"/>
  <c r="BC22" i="11"/>
  <c r="BB22" i="11"/>
  <c r="BA22" i="11"/>
  <c r="AZ22" i="11"/>
  <c r="AY22" i="11"/>
  <c r="AR20" i="9"/>
  <c r="AH20" i="9"/>
  <c r="AH22" i="9" s="1"/>
  <c r="AI20" i="9"/>
  <c r="AI22" i="9" s="1"/>
  <c r="AJ20" i="9"/>
  <c r="AK20" i="9"/>
  <c r="AL20" i="9"/>
  <c r="AN20" i="9"/>
  <c r="AO20" i="9"/>
  <c r="AP20" i="9"/>
  <c r="AQ20" i="9"/>
  <c r="AG20" i="9"/>
  <c r="AG22" i="9" s="1"/>
  <c r="AO22" i="9"/>
  <c r="AJ22" i="9"/>
  <c r="BF19" i="9"/>
  <c r="BE19" i="9"/>
  <c r="BD19" i="9"/>
  <c r="BC19" i="9"/>
  <c r="BB19" i="9"/>
  <c r="BA19" i="9"/>
  <c r="AM20" i="9" s="1"/>
  <c r="AM22" i="9" s="1"/>
  <c r="AZ19" i="9"/>
  <c r="AY19" i="9"/>
  <c r="AQ14" i="9"/>
  <c r="AP14" i="9"/>
  <c r="AO14" i="9"/>
  <c r="AN14" i="9"/>
  <c r="AM14" i="9"/>
  <c r="AL14" i="9"/>
  <c r="AK14" i="9"/>
  <c r="AJ14" i="9"/>
  <c r="AI14" i="9"/>
  <c r="AH14" i="9"/>
  <c r="AG14" i="9"/>
  <c r="AR13" i="9"/>
  <c r="AQ13" i="9"/>
  <c r="AP13" i="9"/>
  <c r="AO13" i="9"/>
  <c r="AN13" i="9"/>
  <c r="AM13" i="9"/>
  <c r="AH13" i="9"/>
  <c r="AG13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R11" i="9"/>
  <c r="AR16" i="9" s="1"/>
  <c r="AQ11" i="9"/>
  <c r="AQ16" i="9" s="1"/>
  <c r="AJ11" i="9"/>
  <c r="AI11" i="9"/>
  <c r="AH11" i="9"/>
  <c r="AH16" i="9" s="1"/>
  <c r="AG11" i="9"/>
  <c r="AG16" i="9" s="1"/>
  <c r="AJ4" i="9"/>
  <c r="AK4" i="9"/>
  <c r="AL4" i="9"/>
  <c r="AM4" i="9"/>
  <c r="AN4" i="9"/>
  <c r="AO4" i="9"/>
  <c r="AP4" i="9"/>
  <c r="AQ4" i="9"/>
  <c r="AR4" i="9"/>
  <c r="AG5" i="9"/>
  <c r="AH5" i="9"/>
  <c r="AI5" i="9"/>
  <c r="AJ5" i="9"/>
  <c r="AK5" i="9"/>
  <c r="AL5" i="9"/>
  <c r="AH6" i="9"/>
  <c r="AI6" i="9"/>
  <c r="AJ6" i="9"/>
  <c r="AK6" i="9"/>
  <c r="AL6" i="9"/>
  <c r="AM6" i="9"/>
  <c r="AN6" i="9"/>
  <c r="AO6" i="9"/>
  <c r="AP6" i="9"/>
  <c r="AQ6" i="9"/>
  <c r="AR6" i="9"/>
  <c r="AH3" i="9"/>
  <c r="AI3" i="9"/>
  <c r="AI7" i="9" s="1"/>
  <c r="AR3" i="9"/>
  <c r="AG3" i="9"/>
  <c r="AA20" i="13"/>
  <c r="AI20" i="13" s="1"/>
  <c r="Y20" i="13"/>
  <c r="X20" i="13"/>
  <c r="W20" i="13"/>
  <c r="V20" i="13"/>
  <c r="Q20" i="13"/>
  <c r="P20" i="13"/>
  <c r="T20" i="13" s="1"/>
  <c r="O20" i="13"/>
  <c r="H20" i="13"/>
  <c r="F20" i="13"/>
  <c r="D20" i="13"/>
  <c r="AA16" i="11"/>
  <c r="AH16" i="11" s="1"/>
  <c r="Y16" i="11"/>
  <c r="X16" i="11"/>
  <c r="W16" i="11"/>
  <c r="V16" i="11"/>
  <c r="Q16" i="11"/>
  <c r="P16" i="11"/>
  <c r="T16" i="11" s="1"/>
  <c r="O16" i="11"/>
  <c r="J16" i="11"/>
  <c r="Z16" i="11" s="1"/>
  <c r="F16" i="11"/>
  <c r="D16" i="11"/>
  <c r="AA6" i="11"/>
  <c r="AL6" i="11" s="1"/>
  <c r="Y6" i="11"/>
  <c r="X6" i="11"/>
  <c r="W6" i="11"/>
  <c r="V6" i="11"/>
  <c r="Q6" i="11"/>
  <c r="P6" i="11"/>
  <c r="J6" i="11" s="1"/>
  <c r="Z6" i="11" s="1"/>
  <c r="O6" i="11"/>
  <c r="H6" i="11"/>
  <c r="F6" i="11"/>
  <c r="D6" i="11"/>
  <c r="D7" i="11"/>
  <c r="F7" i="11"/>
  <c r="H7" i="11"/>
  <c r="O7" i="11"/>
  <c r="P7" i="11"/>
  <c r="S7" i="11" s="1"/>
  <c r="Q7" i="11"/>
  <c r="V7" i="11"/>
  <c r="W7" i="11"/>
  <c r="X7" i="11"/>
  <c r="Y7" i="11"/>
  <c r="AA7" i="11"/>
  <c r="AH7" i="11" s="1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D51" i="4"/>
  <c r="E51" i="4"/>
  <c r="F51" i="4"/>
  <c r="G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AA15" i="11"/>
  <c r="X15" i="11"/>
  <c r="W15" i="11"/>
  <c r="V15" i="11"/>
  <c r="O15" i="11"/>
  <c r="AA14" i="11"/>
  <c r="AL14" i="11" s="1"/>
  <c r="X14" i="11"/>
  <c r="W14" i="11"/>
  <c r="V14" i="11"/>
  <c r="O14" i="11"/>
  <c r="F14" i="11"/>
  <c r="E14" i="11"/>
  <c r="D14" i="11"/>
  <c r="AA7" i="16"/>
  <c r="AJ7" i="16" s="1"/>
  <c r="X7" i="16"/>
  <c r="X10" i="16" s="1"/>
  <c r="W7" i="16"/>
  <c r="W10" i="16" s="1"/>
  <c r="V7" i="16"/>
  <c r="V10" i="16" s="1"/>
  <c r="O7" i="16"/>
  <c r="O10" i="16" s="1"/>
  <c r="K24" i="15"/>
  <c r="G24" i="15"/>
  <c r="K10" i="16"/>
  <c r="G10" i="16"/>
  <c r="D67" i="1"/>
  <c r="E67" i="1"/>
  <c r="G67" i="1"/>
  <c r="H67" i="1"/>
  <c r="F67" i="1" s="1"/>
  <c r="H14" i="11" s="1"/>
  <c r="I67" i="1"/>
  <c r="J67" i="1"/>
  <c r="K67" i="1"/>
  <c r="L67" i="1"/>
  <c r="AC67" i="1" s="1"/>
  <c r="M67" i="1"/>
  <c r="Q14" i="11" s="1"/>
  <c r="Z67" i="1"/>
  <c r="AA67" i="1"/>
  <c r="AB67" i="1"/>
  <c r="AD67" i="1"/>
  <c r="Y14" i="11" s="1"/>
  <c r="D68" i="1"/>
  <c r="D15" i="11" s="1"/>
  <c r="E68" i="1"/>
  <c r="E15" i="11" s="1"/>
  <c r="G68" i="1"/>
  <c r="H68" i="1"/>
  <c r="F68" i="1" s="1"/>
  <c r="H15" i="11" s="1"/>
  <c r="I68" i="1"/>
  <c r="J68" i="1"/>
  <c r="K68" i="1"/>
  <c r="L68" i="1"/>
  <c r="O68" i="1" s="1"/>
  <c r="M68" i="1"/>
  <c r="Q15" i="11" s="1"/>
  <c r="Z68" i="1"/>
  <c r="AA68" i="1"/>
  <c r="AB68" i="1"/>
  <c r="AD68" i="1"/>
  <c r="Y15" i="11" s="1"/>
  <c r="D69" i="1"/>
  <c r="D7" i="16" s="1"/>
  <c r="E69" i="1"/>
  <c r="E7" i="16" s="1"/>
  <c r="G69" i="1"/>
  <c r="H69" i="1"/>
  <c r="F69" i="1" s="1"/>
  <c r="H7" i="16" s="1"/>
  <c r="I69" i="1"/>
  <c r="J69" i="1"/>
  <c r="K69" i="1"/>
  <c r="L69" i="1"/>
  <c r="U69" i="1" s="1"/>
  <c r="M69" i="1"/>
  <c r="Q7" i="16" s="1"/>
  <c r="O69" i="1"/>
  <c r="P69" i="1"/>
  <c r="Z69" i="1"/>
  <c r="AA69" i="1"/>
  <c r="AB69" i="1"/>
  <c r="AD69" i="1"/>
  <c r="Y7" i="16" s="1"/>
  <c r="D70" i="1"/>
  <c r="E70" i="1"/>
  <c r="G70" i="1"/>
  <c r="H70" i="1"/>
  <c r="F70" i="1" s="1"/>
  <c r="I70" i="1"/>
  <c r="J70" i="1"/>
  <c r="K70" i="1"/>
  <c r="L70" i="1"/>
  <c r="AC70" i="1" s="1"/>
  <c r="M70" i="1"/>
  <c r="S70" i="1"/>
  <c r="U70" i="1"/>
  <c r="W70" i="1"/>
  <c r="Z70" i="1"/>
  <c r="AA70" i="1"/>
  <c r="AB70" i="1"/>
  <c r="AD70" i="1"/>
  <c r="AC56" i="1"/>
  <c r="M66" i="1"/>
  <c r="Q24" i="12" s="1"/>
  <c r="L66" i="1"/>
  <c r="AC66" i="1" s="1"/>
  <c r="K66" i="1"/>
  <c r="J66" i="1"/>
  <c r="I66" i="1"/>
  <c r="M65" i="1"/>
  <c r="Q13" i="11" s="1"/>
  <c r="L65" i="1"/>
  <c r="P13" i="11" s="1"/>
  <c r="J13" i="11" s="1"/>
  <c r="Z13" i="11" s="1"/>
  <c r="K65" i="1"/>
  <c r="J65" i="1"/>
  <c r="I65" i="1"/>
  <c r="M64" i="1"/>
  <c r="Q13" i="9" s="1"/>
  <c r="L64" i="1"/>
  <c r="AC64" i="1" s="1"/>
  <c r="K64" i="1"/>
  <c r="O13" i="9" s="1"/>
  <c r="J64" i="1"/>
  <c r="I64" i="1"/>
  <c r="M63" i="1"/>
  <c r="Q19" i="13" s="1"/>
  <c r="L63" i="1"/>
  <c r="AC63" i="1" s="1"/>
  <c r="K63" i="1"/>
  <c r="O19" i="13" s="1"/>
  <c r="J63" i="1"/>
  <c r="I63" i="1"/>
  <c r="M62" i="1"/>
  <c r="Q12" i="11" s="1"/>
  <c r="L62" i="1"/>
  <c r="K62" i="1"/>
  <c r="J62" i="1"/>
  <c r="I62" i="1"/>
  <c r="M61" i="1"/>
  <c r="Q23" i="12" s="1"/>
  <c r="L61" i="1"/>
  <c r="AC61" i="1" s="1"/>
  <c r="K61" i="1"/>
  <c r="O23" i="12" s="1"/>
  <c r="J61" i="1"/>
  <c r="I61" i="1"/>
  <c r="M60" i="1"/>
  <c r="Q22" i="12" s="1"/>
  <c r="L60" i="1"/>
  <c r="AC60" i="1" s="1"/>
  <c r="K60" i="1"/>
  <c r="O22" i="12" s="1"/>
  <c r="J60" i="1"/>
  <c r="I60" i="1"/>
  <c r="M59" i="1"/>
  <c r="Q21" i="12" s="1"/>
  <c r="L59" i="1"/>
  <c r="AC59" i="1" s="1"/>
  <c r="K59" i="1"/>
  <c r="O21" i="12" s="1"/>
  <c r="J59" i="1"/>
  <c r="I59" i="1"/>
  <c r="M58" i="1"/>
  <c r="Q20" i="12" s="1"/>
  <c r="L58" i="1"/>
  <c r="K58" i="1"/>
  <c r="J58" i="1"/>
  <c r="I58" i="1"/>
  <c r="M57" i="1"/>
  <c r="Q12" i="9" s="1"/>
  <c r="L57" i="1"/>
  <c r="AC57" i="1" s="1"/>
  <c r="K57" i="1"/>
  <c r="J57" i="1"/>
  <c r="I57" i="1"/>
  <c r="M56" i="1"/>
  <c r="Q18" i="13" s="1"/>
  <c r="L56" i="1"/>
  <c r="K56" i="1"/>
  <c r="O18" i="13" s="1"/>
  <c r="J56" i="1"/>
  <c r="I56" i="1"/>
  <c r="M55" i="1"/>
  <c r="Q11" i="9" s="1"/>
  <c r="L55" i="1"/>
  <c r="P11" i="9" s="1"/>
  <c r="J11" i="9" s="1"/>
  <c r="Z11" i="9" s="1"/>
  <c r="K55" i="1"/>
  <c r="O11" i="9" s="1"/>
  <c r="J55" i="1"/>
  <c r="I55" i="1"/>
  <c r="M54" i="1"/>
  <c r="L54" i="1"/>
  <c r="AC54" i="1" s="1"/>
  <c r="K54" i="1"/>
  <c r="J54" i="1"/>
  <c r="I54" i="1"/>
  <c r="M53" i="1"/>
  <c r="L53" i="1"/>
  <c r="AC53" i="1" s="1"/>
  <c r="K53" i="1"/>
  <c r="O15" i="12" s="1"/>
  <c r="J53" i="1"/>
  <c r="I53" i="1"/>
  <c r="M52" i="1"/>
  <c r="L52" i="1"/>
  <c r="AC52" i="1" s="1"/>
  <c r="K52" i="1"/>
  <c r="J52" i="1"/>
  <c r="I52" i="1"/>
  <c r="M51" i="1"/>
  <c r="L51" i="1"/>
  <c r="AC51" i="1" s="1"/>
  <c r="K51" i="1"/>
  <c r="J51" i="1"/>
  <c r="I51" i="1"/>
  <c r="M50" i="1"/>
  <c r="L50" i="1"/>
  <c r="AC50" i="1" s="1"/>
  <c r="K50" i="1"/>
  <c r="J50" i="1"/>
  <c r="I50" i="1"/>
  <c r="M49" i="1"/>
  <c r="L49" i="1"/>
  <c r="AC49" i="1" s="1"/>
  <c r="K49" i="1"/>
  <c r="J49" i="1"/>
  <c r="I49" i="1"/>
  <c r="M48" i="1"/>
  <c r="L48" i="1"/>
  <c r="AC48" i="1" s="1"/>
  <c r="K48" i="1"/>
  <c r="J48" i="1"/>
  <c r="I48" i="1"/>
  <c r="M47" i="1"/>
  <c r="L47" i="1"/>
  <c r="AC47" i="1" s="1"/>
  <c r="K47" i="1"/>
  <c r="J47" i="1"/>
  <c r="I47" i="1"/>
  <c r="M46" i="1"/>
  <c r="L46" i="1"/>
  <c r="AC46" i="1" s="1"/>
  <c r="K46" i="1"/>
  <c r="J46" i="1"/>
  <c r="I46" i="1"/>
  <c r="M45" i="1"/>
  <c r="L45" i="1"/>
  <c r="AC45" i="1" s="1"/>
  <c r="K45" i="1"/>
  <c r="J45" i="1"/>
  <c r="I45" i="1"/>
  <c r="M44" i="1"/>
  <c r="L44" i="1"/>
  <c r="AC44" i="1" s="1"/>
  <c r="K44" i="1"/>
  <c r="J44" i="1"/>
  <c r="I44" i="1"/>
  <c r="M43" i="1"/>
  <c r="L43" i="1"/>
  <c r="AC43" i="1" s="1"/>
  <c r="K43" i="1"/>
  <c r="O12" i="13" s="1"/>
  <c r="J43" i="1"/>
  <c r="I43" i="1"/>
  <c r="M42" i="1"/>
  <c r="L42" i="1"/>
  <c r="K42" i="1"/>
  <c r="J42" i="1"/>
  <c r="I42" i="1"/>
  <c r="M41" i="1"/>
  <c r="L41" i="1"/>
  <c r="AC41" i="1" s="1"/>
  <c r="K41" i="1"/>
  <c r="J41" i="1"/>
  <c r="I41" i="1"/>
  <c r="M40" i="1"/>
  <c r="L40" i="1"/>
  <c r="AC40" i="1" s="1"/>
  <c r="K40" i="1"/>
  <c r="J40" i="1"/>
  <c r="I40" i="1"/>
  <c r="M39" i="1"/>
  <c r="L39" i="1"/>
  <c r="AC39" i="1" s="1"/>
  <c r="K39" i="1"/>
  <c r="J39" i="1"/>
  <c r="I39" i="1"/>
  <c r="M38" i="1"/>
  <c r="L38" i="1"/>
  <c r="AC38" i="1" s="1"/>
  <c r="K38" i="1"/>
  <c r="J38" i="1"/>
  <c r="I38" i="1"/>
  <c r="M37" i="1"/>
  <c r="L37" i="1"/>
  <c r="O37" i="1" s="1"/>
  <c r="K37" i="1"/>
  <c r="J37" i="1"/>
  <c r="I37" i="1"/>
  <c r="M36" i="1"/>
  <c r="L36" i="1"/>
  <c r="AC36" i="1" s="1"/>
  <c r="K36" i="1"/>
  <c r="J36" i="1"/>
  <c r="I36" i="1"/>
  <c r="M35" i="1"/>
  <c r="L35" i="1"/>
  <c r="AC35" i="1" s="1"/>
  <c r="K35" i="1"/>
  <c r="J35" i="1"/>
  <c r="I35" i="1"/>
  <c r="M34" i="1"/>
  <c r="L34" i="1"/>
  <c r="K34" i="1"/>
  <c r="J34" i="1"/>
  <c r="I34" i="1"/>
  <c r="M33" i="1"/>
  <c r="L33" i="1"/>
  <c r="AC33" i="1" s="1"/>
  <c r="K33" i="1"/>
  <c r="O4" i="9" s="1"/>
  <c r="J33" i="1"/>
  <c r="I33" i="1"/>
  <c r="M32" i="1"/>
  <c r="Q10" i="12" s="1"/>
  <c r="L32" i="1"/>
  <c r="AC32" i="1" s="1"/>
  <c r="K32" i="1"/>
  <c r="J32" i="1"/>
  <c r="I32" i="1"/>
  <c r="M31" i="1"/>
  <c r="L31" i="1"/>
  <c r="P3" i="16" s="1"/>
  <c r="J3" i="16" s="1"/>
  <c r="K31" i="1"/>
  <c r="O3" i="16" s="1"/>
  <c r="O5" i="16" s="1"/>
  <c r="J31" i="1"/>
  <c r="I31" i="1"/>
  <c r="M30" i="1"/>
  <c r="Q16" i="15" s="1"/>
  <c r="L30" i="1"/>
  <c r="AC30" i="1" s="1"/>
  <c r="K30" i="1"/>
  <c r="J30" i="1"/>
  <c r="I30" i="1"/>
  <c r="M29" i="1"/>
  <c r="L29" i="1"/>
  <c r="AC29" i="1" s="1"/>
  <c r="K29" i="1"/>
  <c r="O15" i="15" s="1"/>
  <c r="J29" i="1"/>
  <c r="I29" i="1"/>
  <c r="M28" i="1"/>
  <c r="L28" i="1"/>
  <c r="AC28" i="1" s="1"/>
  <c r="K28" i="1"/>
  <c r="J28" i="1"/>
  <c r="I28" i="1"/>
  <c r="M27" i="1"/>
  <c r="L27" i="1"/>
  <c r="AC27" i="1" s="1"/>
  <c r="K27" i="1"/>
  <c r="O7" i="13" s="1"/>
  <c r="J27" i="1"/>
  <c r="I27" i="1"/>
  <c r="M26" i="1"/>
  <c r="L26" i="1"/>
  <c r="K26" i="1"/>
  <c r="J26" i="1"/>
  <c r="I26" i="1"/>
  <c r="M25" i="1"/>
  <c r="L25" i="1"/>
  <c r="AC25" i="1" s="1"/>
  <c r="K25" i="1"/>
  <c r="J25" i="1"/>
  <c r="I25" i="1"/>
  <c r="M24" i="1"/>
  <c r="L24" i="1"/>
  <c r="AC24" i="1" s="1"/>
  <c r="K24" i="1"/>
  <c r="J24" i="1"/>
  <c r="I24" i="1"/>
  <c r="M23" i="1"/>
  <c r="L23" i="1"/>
  <c r="AC23" i="1" s="1"/>
  <c r="K23" i="1"/>
  <c r="O13" i="15" s="1"/>
  <c r="J23" i="1"/>
  <c r="I23" i="1"/>
  <c r="M22" i="1"/>
  <c r="L22" i="1"/>
  <c r="K22" i="1"/>
  <c r="J22" i="1"/>
  <c r="I22" i="1"/>
  <c r="M21" i="1"/>
  <c r="L21" i="1"/>
  <c r="AC21" i="1" s="1"/>
  <c r="K21" i="1"/>
  <c r="J21" i="1"/>
  <c r="I21" i="1"/>
  <c r="M20" i="1"/>
  <c r="L20" i="1"/>
  <c r="AC20" i="1" s="1"/>
  <c r="K20" i="1"/>
  <c r="O11" i="15" s="1"/>
  <c r="J20" i="1"/>
  <c r="I20" i="1"/>
  <c r="M19" i="1"/>
  <c r="L19" i="1"/>
  <c r="AC19" i="1" s="1"/>
  <c r="K19" i="1"/>
  <c r="J19" i="1"/>
  <c r="I19" i="1"/>
  <c r="M18" i="1"/>
  <c r="L18" i="1"/>
  <c r="AC18" i="1" s="1"/>
  <c r="K18" i="1"/>
  <c r="J18" i="1"/>
  <c r="I18" i="1"/>
  <c r="M17" i="1"/>
  <c r="L17" i="1"/>
  <c r="AC17" i="1" s="1"/>
  <c r="K17" i="1"/>
  <c r="J17" i="1"/>
  <c r="I17" i="1"/>
  <c r="M16" i="1"/>
  <c r="L16" i="1"/>
  <c r="AC16" i="1" s="1"/>
  <c r="K16" i="1"/>
  <c r="J16" i="1"/>
  <c r="I16" i="1"/>
  <c r="M15" i="1"/>
  <c r="L15" i="1"/>
  <c r="P5" i="13" s="1"/>
  <c r="J5" i="13" s="1"/>
  <c r="Z5" i="13" s="1"/>
  <c r="K15" i="1"/>
  <c r="O5" i="13" s="1"/>
  <c r="J15" i="1"/>
  <c r="I15" i="1"/>
  <c r="M14" i="1"/>
  <c r="L14" i="1"/>
  <c r="AC14" i="1" s="1"/>
  <c r="K14" i="1"/>
  <c r="J14" i="1"/>
  <c r="I14" i="1"/>
  <c r="M13" i="1"/>
  <c r="L13" i="1"/>
  <c r="AC13" i="1" s="1"/>
  <c r="K13" i="1"/>
  <c r="J13" i="1"/>
  <c r="I13" i="1"/>
  <c r="M12" i="1"/>
  <c r="L12" i="1"/>
  <c r="AC12" i="1" s="1"/>
  <c r="K12" i="1"/>
  <c r="J12" i="1"/>
  <c r="I12" i="1"/>
  <c r="M11" i="1"/>
  <c r="L11" i="1"/>
  <c r="AC11" i="1" s="1"/>
  <c r="K11" i="1"/>
  <c r="O5" i="15" s="1"/>
  <c r="J11" i="1"/>
  <c r="I11" i="1"/>
  <c r="M10" i="1"/>
  <c r="L10" i="1"/>
  <c r="AC10" i="1" s="1"/>
  <c r="K10" i="1"/>
  <c r="J10" i="1"/>
  <c r="I10" i="1"/>
  <c r="M9" i="1"/>
  <c r="L9" i="1"/>
  <c r="AC9" i="1" s="1"/>
  <c r="K9" i="1"/>
  <c r="J9" i="1"/>
  <c r="I9" i="1"/>
  <c r="M8" i="1"/>
  <c r="L8" i="1"/>
  <c r="AC8" i="1" s="1"/>
  <c r="K8" i="1"/>
  <c r="J8" i="1"/>
  <c r="I8" i="1"/>
  <c r="M7" i="1"/>
  <c r="L7" i="1"/>
  <c r="AC7" i="1" s="1"/>
  <c r="K7" i="1"/>
  <c r="J7" i="1"/>
  <c r="I7" i="1"/>
  <c r="M6" i="1"/>
  <c r="L6" i="1"/>
  <c r="AC6" i="1" s="1"/>
  <c r="K6" i="1"/>
  <c r="J6" i="1"/>
  <c r="I6" i="1"/>
  <c r="M5" i="1"/>
  <c r="L5" i="1"/>
  <c r="AC5" i="1" s="1"/>
  <c r="K5" i="1"/>
  <c r="J5" i="1"/>
  <c r="I5" i="1"/>
  <c r="M4" i="1"/>
  <c r="L4" i="1"/>
  <c r="AC4" i="1" s="1"/>
  <c r="K4" i="1"/>
  <c r="J4" i="1"/>
  <c r="I4" i="1"/>
  <c r="M3" i="1"/>
  <c r="L3" i="1"/>
  <c r="AC3" i="1" s="1"/>
  <c r="K3" i="1"/>
  <c r="J3" i="1"/>
  <c r="I3" i="1"/>
  <c r="AA9" i="15"/>
  <c r="AA10" i="15"/>
  <c r="AA11" i="15"/>
  <c r="AA12" i="15"/>
  <c r="AA13" i="15"/>
  <c r="AA14" i="15"/>
  <c r="AA15" i="15"/>
  <c r="AA6" i="12"/>
  <c r="AJ6" i="12" s="1"/>
  <c r="AA19" i="13"/>
  <c r="AN19" i="13" s="1"/>
  <c r="AA18" i="13"/>
  <c r="AG18" i="13" s="1"/>
  <c r="AA24" i="12"/>
  <c r="AK24" i="12" s="1"/>
  <c r="AA23" i="12"/>
  <c r="AG23" i="12" s="1"/>
  <c r="AA22" i="12"/>
  <c r="AO22" i="12" s="1"/>
  <c r="AA21" i="12"/>
  <c r="AG21" i="12" s="1"/>
  <c r="AA20" i="12"/>
  <c r="AG20" i="12" s="1"/>
  <c r="AG27" i="12" s="1"/>
  <c r="AA13" i="11"/>
  <c r="AG13" i="11" s="1"/>
  <c r="AA12" i="11"/>
  <c r="AP12" i="11" s="1"/>
  <c r="AA13" i="9"/>
  <c r="AL13" i="9" s="1"/>
  <c r="AA12" i="9"/>
  <c r="AA11" i="9"/>
  <c r="AP11" i="9" s="1"/>
  <c r="AP16" i="9" s="1"/>
  <c r="Y16" i="16"/>
  <c r="X16" i="16"/>
  <c r="W16" i="16"/>
  <c r="V16" i="16"/>
  <c r="Q16" i="16"/>
  <c r="P16" i="16"/>
  <c r="O16" i="16"/>
  <c r="K16" i="16"/>
  <c r="J16" i="16"/>
  <c r="G16" i="16"/>
  <c r="AA14" i="16"/>
  <c r="AA16" i="16" s="1"/>
  <c r="Z14" i="16"/>
  <c r="AD14" i="16" s="1"/>
  <c r="T14" i="16"/>
  <c r="S14" i="16"/>
  <c r="AA8" i="16"/>
  <c r="AG8" i="16" s="1"/>
  <c r="Z8" i="16"/>
  <c r="Y8" i="16"/>
  <c r="S8" i="16"/>
  <c r="Q8" i="16"/>
  <c r="T8" i="16" s="1"/>
  <c r="AA3" i="16"/>
  <c r="AP3" i="16" s="1"/>
  <c r="AA10" i="13"/>
  <c r="AN10" i="13" s="1"/>
  <c r="AA11" i="13"/>
  <c r="AG11" i="13" s="1"/>
  <c r="G8" i="1"/>
  <c r="G22" i="1"/>
  <c r="AA18" i="15"/>
  <c r="AA17" i="15"/>
  <c r="AA16" i="15"/>
  <c r="AA8" i="15"/>
  <c r="AA7" i="15"/>
  <c r="AA6" i="15"/>
  <c r="AA5" i="15"/>
  <c r="AA4" i="15"/>
  <c r="AA24" i="15" s="1"/>
  <c r="AA3" i="15"/>
  <c r="Y29" i="13"/>
  <c r="X29" i="13"/>
  <c r="W29" i="13"/>
  <c r="V29" i="13"/>
  <c r="Q29" i="13"/>
  <c r="P29" i="13"/>
  <c r="O29" i="13"/>
  <c r="K29" i="13"/>
  <c r="J29" i="13"/>
  <c r="G29" i="13"/>
  <c r="AA27" i="13"/>
  <c r="AA29" i="13" s="1"/>
  <c r="Z27" i="13"/>
  <c r="AD27" i="13" s="1"/>
  <c r="T27" i="13"/>
  <c r="S27" i="13"/>
  <c r="K23" i="13"/>
  <c r="G23" i="13"/>
  <c r="AA21" i="13"/>
  <c r="AJ21" i="13" s="1"/>
  <c r="Z21" i="13"/>
  <c r="Y21" i="13"/>
  <c r="S21" i="13"/>
  <c r="Q21" i="13"/>
  <c r="T21" i="13" s="1"/>
  <c r="K14" i="13"/>
  <c r="G14" i="13"/>
  <c r="AA13" i="13"/>
  <c r="AR13" i="13" s="1"/>
  <c r="AA12" i="13"/>
  <c r="AJ12" i="13" s="1"/>
  <c r="AA9" i="13"/>
  <c r="AM9" i="13" s="1"/>
  <c r="AA8" i="13"/>
  <c r="AR8" i="13" s="1"/>
  <c r="AA7" i="13"/>
  <c r="AJ7" i="13" s="1"/>
  <c r="AA6" i="13"/>
  <c r="AG6" i="13" s="1"/>
  <c r="AA5" i="13"/>
  <c r="AN5" i="13" s="1"/>
  <c r="AA3" i="13"/>
  <c r="AQ3" i="13" s="1"/>
  <c r="AA4" i="13"/>
  <c r="AN4" i="13" s="1"/>
  <c r="G27" i="12"/>
  <c r="AA3" i="12"/>
  <c r="AH3" i="12" s="1"/>
  <c r="AA9" i="12"/>
  <c r="AO9" i="12" s="1"/>
  <c r="AA4" i="12"/>
  <c r="AP4" i="12" s="1"/>
  <c r="AA5" i="12"/>
  <c r="AK5" i="12" s="1"/>
  <c r="AA10" i="12"/>
  <c r="AK10" i="12" s="1"/>
  <c r="AA11" i="12"/>
  <c r="AG11" i="12" s="1"/>
  <c r="AA12" i="12"/>
  <c r="AG12" i="12" s="1"/>
  <c r="AA13" i="12"/>
  <c r="AO13" i="12" s="1"/>
  <c r="AA14" i="12"/>
  <c r="AG14" i="12" s="1"/>
  <c r="Y33" i="12"/>
  <c r="X33" i="12"/>
  <c r="W33" i="12"/>
  <c r="V33" i="12"/>
  <c r="Q33" i="12"/>
  <c r="P33" i="12"/>
  <c r="O33" i="12"/>
  <c r="K33" i="12"/>
  <c r="J33" i="12"/>
  <c r="G33" i="12"/>
  <c r="AA31" i="12"/>
  <c r="AA33" i="12" s="1"/>
  <c r="Z31" i="12"/>
  <c r="AD31" i="12" s="1"/>
  <c r="T31" i="12"/>
  <c r="S31" i="12"/>
  <c r="K27" i="12"/>
  <c r="AA25" i="12"/>
  <c r="AG25" i="12" s="1"/>
  <c r="Z25" i="12"/>
  <c r="Y25" i="12"/>
  <c r="S25" i="12"/>
  <c r="Q25" i="12"/>
  <c r="T25" i="12" s="1"/>
  <c r="K16" i="12"/>
  <c r="G16" i="12"/>
  <c r="AA15" i="12"/>
  <c r="AK15" i="12" s="1"/>
  <c r="AA7" i="12"/>
  <c r="AG7" i="12" s="1"/>
  <c r="AA8" i="12"/>
  <c r="AO8" i="12" s="1"/>
  <c r="Y25" i="11"/>
  <c r="X25" i="11"/>
  <c r="W25" i="11"/>
  <c r="V25" i="11"/>
  <c r="Q25" i="11"/>
  <c r="P25" i="11"/>
  <c r="O25" i="11"/>
  <c r="K25" i="11"/>
  <c r="J25" i="11"/>
  <c r="G25" i="11"/>
  <c r="AA23" i="11"/>
  <c r="AA25" i="11" s="1"/>
  <c r="Z23" i="11"/>
  <c r="AD23" i="11" s="1"/>
  <c r="T23" i="11"/>
  <c r="S23" i="11"/>
  <c r="K19" i="11"/>
  <c r="G19" i="11"/>
  <c r="AA17" i="11"/>
  <c r="AP17" i="11" s="1"/>
  <c r="Z17" i="11"/>
  <c r="AC17" i="11" s="1"/>
  <c r="Y17" i="11"/>
  <c r="AD17" i="11" s="1"/>
  <c r="S17" i="11"/>
  <c r="Q17" i="11"/>
  <c r="T17" i="11" s="1"/>
  <c r="K8" i="11"/>
  <c r="G8" i="11"/>
  <c r="AA5" i="11"/>
  <c r="AL5" i="11" s="1"/>
  <c r="AA4" i="11"/>
  <c r="AO4" i="11" s="1"/>
  <c r="AA3" i="11"/>
  <c r="AN3" i="11" s="1"/>
  <c r="Y14" i="9"/>
  <c r="Q14" i="9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12" i="8"/>
  <c r="G16" i="9"/>
  <c r="AA4" i="9"/>
  <c r="AI4" i="9" s="1"/>
  <c r="AA5" i="9"/>
  <c r="AM5" i="9" s="1"/>
  <c r="AA6" i="9"/>
  <c r="AG6" i="9" s="1"/>
  <c r="Y22" i="9"/>
  <c r="X22" i="9"/>
  <c r="W22" i="9"/>
  <c r="V22" i="9"/>
  <c r="Q22" i="9"/>
  <c r="P22" i="9"/>
  <c r="O22" i="9"/>
  <c r="K22" i="9"/>
  <c r="J22" i="9"/>
  <c r="G22" i="9"/>
  <c r="AA20" i="9"/>
  <c r="AA22" i="9" s="1"/>
  <c r="Z20" i="9"/>
  <c r="AD20" i="9" s="1"/>
  <c r="T20" i="9"/>
  <c r="S20" i="9"/>
  <c r="K16" i="9"/>
  <c r="AA14" i="9"/>
  <c r="AR14" i="9" s="1"/>
  <c r="Z14" i="9"/>
  <c r="AC14" i="9" s="1"/>
  <c r="S14" i="9"/>
  <c r="K7" i="9"/>
  <c r="G7" i="9"/>
  <c r="AA3" i="9"/>
  <c r="AJ3" i="9" s="1"/>
  <c r="AJ7" i="9" s="1"/>
  <c r="AA55" i="8"/>
  <c r="Z55" i="8"/>
  <c r="Y55" i="8"/>
  <c r="X55" i="8"/>
  <c r="W55" i="8"/>
  <c r="V55" i="8"/>
  <c r="U55" i="8"/>
  <c r="T55" i="8"/>
  <c r="S55" i="8"/>
  <c r="R55" i="8"/>
  <c r="Q55" i="8"/>
  <c r="P55" i="8"/>
  <c r="N55" i="8"/>
  <c r="N54" i="8"/>
  <c r="N53" i="8"/>
  <c r="AA52" i="8"/>
  <c r="Z52" i="8"/>
  <c r="Y52" i="8"/>
  <c r="X52" i="8"/>
  <c r="W52" i="8"/>
  <c r="V52" i="8"/>
  <c r="U52" i="8"/>
  <c r="T52" i="8"/>
  <c r="S52" i="8"/>
  <c r="R52" i="8"/>
  <c r="Q52" i="8"/>
  <c r="P52" i="8"/>
  <c r="N52" i="8"/>
  <c r="AA51" i="8"/>
  <c r="Z51" i="8"/>
  <c r="Y51" i="8"/>
  <c r="X51" i="8"/>
  <c r="W51" i="8"/>
  <c r="V51" i="8"/>
  <c r="U51" i="8"/>
  <c r="T51" i="8"/>
  <c r="S51" i="8"/>
  <c r="R51" i="8"/>
  <c r="Q51" i="8"/>
  <c r="P51" i="8"/>
  <c r="N51" i="8"/>
  <c r="AD49" i="1"/>
  <c r="AD47" i="1"/>
  <c r="AI62" i="5"/>
  <c r="AH62" i="5"/>
  <c r="AG62" i="5"/>
  <c r="AF62" i="5"/>
  <c r="AE62" i="5"/>
  <c r="AD62" i="5"/>
  <c r="AC62" i="5"/>
  <c r="AB62" i="5"/>
  <c r="AA62" i="5"/>
  <c r="Z62" i="5"/>
  <c r="Y62" i="5"/>
  <c r="X62" i="5"/>
  <c r="E62" i="5"/>
  <c r="D62" i="5"/>
  <c r="AI61" i="5"/>
  <c r="AH61" i="5"/>
  <c r="AG61" i="5"/>
  <c r="AF61" i="5"/>
  <c r="AE61" i="5"/>
  <c r="AD61" i="5"/>
  <c r="AC61" i="5"/>
  <c r="AB61" i="5"/>
  <c r="AA61" i="5"/>
  <c r="Z61" i="5"/>
  <c r="Y61" i="5"/>
  <c r="X61" i="5"/>
  <c r="I61" i="5"/>
  <c r="E61" i="5"/>
  <c r="D61" i="5"/>
  <c r="AI60" i="5"/>
  <c r="AH60" i="5"/>
  <c r="AG60" i="5"/>
  <c r="AF60" i="5"/>
  <c r="AE60" i="5"/>
  <c r="AD60" i="5"/>
  <c r="AC60" i="5"/>
  <c r="AB60" i="5"/>
  <c r="AA60" i="5"/>
  <c r="Z60" i="5"/>
  <c r="Y60" i="5"/>
  <c r="X60" i="5"/>
  <c r="E60" i="5"/>
  <c r="D60" i="5"/>
  <c r="AI59" i="5"/>
  <c r="AH59" i="5"/>
  <c r="AG59" i="5"/>
  <c r="AF59" i="5"/>
  <c r="AE59" i="5"/>
  <c r="AD59" i="5"/>
  <c r="AC59" i="5"/>
  <c r="AB59" i="5"/>
  <c r="AA59" i="5"/>
  <c r="Z59" i="5"/>
  <c r="Y59" i="5"/>
  <c r="X59" i="5"/>
  <c r="E59" i="5"/>
  <c r="D59" i="5"/>
  <c r="AI58" i="5"/>
  <c r="AH58" i="5"/>
  <c r="AG58" i="5"/>
  <c r="AF58" i="5"/>
  <c r="AE58" i="5"/>
  <c r="AD58" i="5"/>
  <c r="AC58" i="5"/>
  <c r="AB58" i="5"/>
  <c r="AA58" i="5"/>
  <c r="Z58" i="5"/>
  <c r="Y58" i="5"/>
  <c r="X58" i="5"/>
  <c r="E58" i="5"/>
  <c r="D58" i="5"/>
  <c r="AI57" i="5"/>
  <c r="AH57" i="5"/>
  <c r="AG57" i="5"/>
  <c r="AF57" i="5"/>
  <c r="AE57" i="5"/>
  <c r="AD57" i="5"/>
  <c r="AC57" i="5"/>
  <c r="AB57" i="5"/>
  <c r="AA57" i="5"/>
  <c r="Z57" i="5"/>
  <c r="Y57" i="5"/>
  <c r="X57" i="5"/>
  <c r="E57" i="5"/>
  <c r="D57" i="5"/>
  <c r="AI56" i="5"/>
  <c r="AH56" i="5"/>
  <c r="AG56" i="5"/>
  <c r="AF56" i="5"/>
  <c r="AE56" i="5"/>
  <c r="AD56" i="5"/>
  <c r="AC56" i="5"/>
  <c r="AB56" i="5"/>
  <c r="AA56" i="5"/>
  <c r="Z56" i="5"/>
  <c r="Y56" i="5"/>
  <c r="X56" i="5"/>
  <c r="E56" i="5"/>
  <c r="D56" i="5"/>
  <c r="AI55" i="5"/>
  <c r="AH55" i="5"/>
  <c r="AG55" i="5"/>
  <c r="AF55" i="5"/>
  <c r="AE55" i="5"/>
  <c r="AD55" i="5"/>
  <c r="AC55" i="5"/>
  <c r="AB55" i="5"/>
  <c r="AA55" i="5"/>
  <c r="Z55" i="5"/>
  <c r="Y55" i="5"/>
  <c r="X55" i="5"/>
  <c r="E55" i="5"/>
  <c r="D55" i="5"/>
  <c r="AI54" i="5"/>
  <c r="AH54" i="5"/>
  <c r="AG54" i="5"/>
  <c r="AF54" i="5"/>
  <c r="AE54" i="5"/>
  <c r="AD54" i="5"/>
  <c r="AC54" i="5"/>
  <c r="AB54" i="5"/>
  <c r="AA54" i="5"/>
  <c r="Z54" i="5"/>
  <c r="Y54" i="5"/>
  <c r="X54" i="5"/>
  <c r="I54" i="5"/>
  <c r="E54" i="5"/>
  <c r="D54" i="5"/>
  <c r="AI53" i="5"/>
  <c r="AH53" i="5"/>
  <c r="AG53" i="5"/>
  <c r="AF53" i="5"/>
  <c r="AE53" i="5"/>
  <c r="AD53" i="5"/>
  <c r="AC53" i="5"/>
  <c r="AB53" i="5"/>
  <c r="AA53" i="5"/>
  <c r="Z53" i="5"/>
  <c r="Y53" i="5"/>
  <c r="X53" i="5"/>
  <c r="E53" i="5"/>
  <c r="D53" i="5"/>
  <c r="AI52" i="5"/>
  <c r="AH52" i="5"/>
  <c r="AG52" i="5"/>
  <c r="AF52" i="5"/>
  <c r="AE52" i="5"/>
  <c r="AD52" i="5"/>
  <c r="AC52" i="5"/>
  <c r="AB52" i="5"/>
  <c r="AA52" i="5"/>
  <c r="Z52" i="5"/>
  <c r="Y52" i="5"/>
  <c r="X52" i="5"/>
  <c r="E52" i="5"/>
  <c r="D52" i="5"/>
  <c r="AI51" i="5"/>
  <c r="AH51" i="5"/>
  <c r="AG51" i="5"/>
  <c r="AF51" i="5"/>
  <c r="AE51" i="5"/>
  <c r="AD51" i="5"/>
  <c r="AC51" i="5"/>
  <c r="AB51" i="5"/>
  <c r="AA51" i="5"/>
  <c r="Z51" i="5"/>
  <c r="Y51" i="5"/>
  <c r="X51" i="5"/>
  <c r="E51" i="5"/>
  <c r="D51" i="5"/>
  <c r="AI50" i="5"/>
  <c r="AH50" i="5"/>
  <c r="AG50" i="5"/>
  <c r="AF50" i="5"/>
  <c r="AE50" i="5"/>
  <c r="AD50" i="5"/>
  <c r="O5" i="9" s="1"/>
  <c r="AC50" i="5"/>
  <c r="AB50" i="5"/>
  <c r="AA50" i="5"/>
  <c r="Z50" i="5"/>
  <c r="Y50" i="5"/>
  <c r="X50" i="5"/>
  <c r="E50" i="5"/>
  <c r="D50" i="5"/>
  <c r="AI49" i="5"/>
  <c r="AB40" i="1" s="1"/>
  <c r="AH49" i="5"/>
  <c r="AG49" i="5"/>
  <c r="AF49" i="5"/>
  <c r="AE49" i="5"/>
  <c r="AD49" i="5"/>
  <c r="AC49" i="5"/>
  <c r="AB49" i="5"/>
  <c r="AA49" i="5"/>
  <c r="Z49" i="5"/>
  <c r="Y49" i="5"/>
  <c r="X49" i="5"/>
  <c r="E49" i="5"/>
  <c r="D49" i="5"/>
  <c r="AI48" i="5"/>
  <c r="AB39" i="1" s="1"/>
  <c r="AH48" i="5"/>
  <c r="AG48" i="5"/>
  <c r="AF48" i="5"/>
  <c r="AE48" i="5"/>
  <c r="AD48" i="5"/>
  <c r="AC48" i="5"/>
  <c r="AB48" i="5"/>
  <c r="AA48" i="5"/>
  <c r="Z48" i="5"/>
  <c r="Y48" i="5"/>
  <c r="X48" i="5"/>
  <c r="I48" i="5"/>
  <c r="E48" i="5"/>
  <c r="D48" i="5"/>
  <c r="AI47" i="5"/>
  <c r="AH47" i="5"/>
  <c r="AG47" i="5"/>
  <c r="AF47" i="5"/>
  <c r="AE47" i="5"/>
  <c r="AD47" i="5"/>
  <c r="AC47" i="5"/>
  <c r="AB47" i="5"/>
  <c r="AA47" i="5"/>
  <c r="Z47" i="5"/>
  <c r="Y47" i="5"/>
  <c r="X47" i="5"/>
  <c r="E47" i="5"/>
  <c r="D47" i="5"/>
  <c r="AI46" i="5"/>
  <c r="AH46" i="5"/>
  <c r="AG46" i="5"/>
  <c r="AF46" i="5"/>
  <c r="AE46" i="5"/>
  <c r="AD46" i="5"/>
  <c r="AC46" i="5"/>
  <c r="AB46" i="5"/>
  <c r="AA46" i="5"/>
  <c r="Z46" i="5"/>
  <c r="Y46" i="5"/>
  <c r="X46" i="5"/>
  <c r="I46" i="5"/>
  <c r="E46" i="5"/>
  <c r="D46" i="5"/>
  <c r="AI45" i="5"/>
  <c r="AH45" i="5"/>
  <c r="AG45" i="5"/>
  <c r="AF45" i="5"/>
  <c r="AE45" i="5"/>
  <c r="AD45" i="5"/>
  <c r="AC45" i="5"/>
  <c r="AB45" i="5"/>
  <c r="AA45" i="5"/>
  <c r="Z45" i="5"/>
  <c r="Y45" i="5"/>
  <c r="X45" i="5"/>
  <c r="E45" i="5"/>
  <c r="D45" i="5"/>
  <c r="AI44" i="5"/>
  <c r="AH44" i="5"/>
  <c r="AG44" i="5"/>
  <c r="AF44" i="5"/>
  <c r="AE44" i="5"/>
  <c r="AD44" i="5"/>
  <c r="AC44" i="5"/>
  <c r="AB44" i="5"/>
  <c r="AA44" i="5"/>
  <c r="Z44" i="5"/>
  <c r="Y44" i="5"/>
  <c r="X44" i="5"/>
  <c r="I44" i="5"/>
  <c r="E44" i="5"/>
  <c r="D44" i="5"/>
  <c r="AI43" i="5"/>
  <c r="AH43" i="5"/>
  <c r="AG43" i="5"/>
  <c r="AF43" i="5"/>
  <c r="AE43" i="5"/>
  <c r="AD43" i="5"/>
  <c r="AC43" i="5"/>
  <c r="AB43" i="5"/>
  <c r="AA43" i="5"/>
  <c r="Z43" i="5"/>
  <c r="Y43" i="5"/>
  <c r="X43" i="5"/>
  <c r="E43" i="5"/>
  <c r="D43" i="5"/>
  <c r="AI42" i="5"/>
  <c r="AH42" i="5"/>
  <c r="AG42" i="5"/>
  <c r="AF42" i="5"/>
  <c r="AE42" i="5"/>
  <c r="AD42" i="5"/>
  <c r="AC42" i="5"/>
  <c r="AB42" i="5"/>
  <c r="AA42" i="5"/>
  <c r="Z42" i="5"/>
  <c r="Y42" i="5"/>
  <c r="X42" i="5"/>
  <c r="E42" i="5"/>
  <c r="D42" i="5"/>
  <c r="AI41" i="5"/>
  <c r="AH41" i="5"/>
  <c r="AG41" i="5"/>
  <c r="AF41" i="5"/>
  <c r="AE41" i="5"/>
  <c r="AD41" i="5"/>
  <c r="AC41" i="5"/>
  <c r="AB41" i="5"/>
  <c r="AA41" i="5"/>
  <c r="Z41" i="5"/>
  <c r="Y41" i="5"/>
  <c r="X41" i="5"/>
  <c r="E41" i="5"/>
  <c r="D41" i="5"/>
  <c r="AI40" i="5"/>
  <c r="AH40" i="5"/>
  <c r="AG40" i="5"/>
  <c r="AF40" i="5"/>
  <c r="AE40" i="5"/>
  <c r="AD40" i="5"/>
  <c r="AC40" i="5"/>
  <c r="AB40" i="5"/>
  <c r="AA40" i="5"/>
  <c r="Z40" i="5"/>
  <c r="Y40" i="5"/>
  <c r="X40" i="5"/>
  <c r="E40" i="5"/>
  <c r="D40" i="5"/>
  <c r="AI39" i="5"/>
  <c r="AB30" i="1" s="1"/>
  <c r="AH39" i="5"/>
  <c r="AG39" i="5"/>
  <c r="AF39" i="5"/>
  <c r="AE39" i="5"/>
  <c r="AD39" i="5"/>
  <c r="AC39" i="5"/>
  <c r="AB39" i="5"/>
  <c r="AA39" i="5"/>
  <c r="Z39" i="5"/>
  <c r="Y39" i="5"/>
  <c r="X39" i="5"/>
  <c r="E39" i="5"/>
  <c r="D39" i="5"/>
  <c r="AI38" i="5"/>
  <c r="AH38" i="5"/>
  <c r="AG38" i="5"/>
  <c r="AF38" i="5"/>
  <c r="AE38" i="5"/>
  <c r="AD38" i="5"/>
  <c r="AC38" i="5"/>
  <c r="AB38" i="5"/>
  <c r="AA38" i="5"/>
  <c r="Z38" i="5"/>
  <c r="Y38" i="5"/>
  <c r="X38" i="5"/>
  <c r="E38" i="5"/>
  <c r="D38" i="5"/>
  <c r="AI37" i="5"/>
  <c r="AH37" i="5"/>
  <c r="AG37" i="5"/>
  <c r="AF37" i="5"/>
  <c r="AE37" i="5"/>
  <c r="AD37" i="5"/>
  <c r="AC37" i="5"/>
  <c r="AB37" i="5"/>
  <c r="AA37" i="5"/>
  <c r="Z37" i="5"/>
  <c r="Y37" i="5"/>
  <c r="X37" i="5"/>
  <c r="I37" i="5"/>
  <c r="E37" i="5"/>
  <c r="D37" i="5"/>
  <c r="AI36" i="5"/>
  <c r="AH36" i="5"/>
  <c r="AG36" i="5"/>
  <c r="AF36" i="5"/>
  <c r="AE36" i="5"/>
  <c r="AD36" i="5"/>
  <c r="AC36" i="5"/>
  <c r="AB36" i="5"/>
  <c r="AA36" i="5"/>
  <c r="Z36" i="5"/>
  <c r="Y36" i="5"/>
  <c r="X36" i="5"/>
  <c r="E36" i="5"/>
  <c r="D36" i="5"/>
  <c r="AI35" i="5"/>
  <c r="AH35" i="5"/>
  <c r="AG35" i="5"/>
  <c r="AF35" i="5"/>
  <c r="AE35" i="5"/>
  <c r="AD35" i="5"/>
  <c r="AC35" i="5"/>
  <c r="AB35" i="5"/>
  <c r="AA35" i="5"/>
  <c r="Z35" i="5"/>
  <c r="Y35" i="5"/>
  <c r="X35" i="5"/>
  <c r="E35" i="5"/>
  <c r="D35" i="5"/>
  <c r="AI34" i="5"/>
  <c r="AH34" i="5"/>
  <c r="AG34" i="5"/>
  <c r="AF34" i="5"/>
  <c r="AE34" i="5"/>
  <c r="AD34" i="5"/>
  <c r="AC34" i="5"/>
  <c r="AB34" i="5"/>
  <c r="AA34" i="5"/>
  <c r="Z34" i="5"/>
  <c r="Y34" i="5"/>
  <c r="X34" i="5"/>
  <c r="I34" i="5"/>
  <c r="E34" i="5"/>
  <c r="D34" i="5"/>
  <c r="AI33" i="5"/>
  <c r="AB24" i="1" s="1"/>
  <c r="X6" i="13" s="1"/>
  <c r="AH33" i="5"/>
  <c r="AG33" i="5"/>
  <c r="AF33" i="5"/>
  <c r="AE33" i="5"/>
  <c r="AD33" i="5"/>
  <c r="AC33" i="5"/>
  <c r="AB33" i="5"/>
  <c r="AA33" i="5"/>
  <c r="Z33" i="5"/>
  <c r="Y33" i="5"/>
  <c r="X33" i="5"/>
  <c r="E33" i="5"/>
  <c r="D33" i="5"/>
  <c r="AI32" i="5"/>
  <c r="AH32" i="5"/>
  <c r="AG32" i="5"/>
  <c r="AF32" i="5"/>
  <c r="AE32" i="5"/>
  <c r="AD32" i="5"/>
  <c r="AC32" i="5"/>
  <c r="AB32" i="5"/>
  <c r="AA32" i="5"/>
  <c r="Z32" i="5"/>
  <c r="Y32" i="5"/>
  <c r="X32" i="5"/>
  <c r="E32" i="5"/>
  <c r="D32" i="5"/>
  <c r="AI31" i="5"/>
  <c r="AH31" i="5"/>
  <c r="AG31" i="5"/>
  <c r="AF31" i="5"/>
  <c r="AE31" i="5"/>
  <c r="AD31" i="5"/>
  <c r="AC31" i="5"/>
  <c r="AB31" i="5"/>
  <c r="AA31" i="5"/>
  <c r="Z31" i="5"/>
  <c r="Y31" i="5"/>
  <c r="X31" i="5"/>
  <c r="E31" i="5"/>
  <c r="D31" i="5"/>
  <c r="AI30" i="5"/>
  <c r="AH30" i="5"/>
  <c r="AG30" i="5"/>
  <c r="AF30" i="5"/>
  <c r="AE30" i="5"/>
  <c r="AD30" i="5"/>
  <c r="O12" i="15" s="1"/>
  <c r="AC30" i="5"/>
  <c r="AB30" i="5"/>
  <c r="AA30" i="5"/>
  <c r="Z30" i="5"/>
  <c r="Y30" i="5"/>
  <c r="X30" i="5"/>
  <c r="E30" i="5"/>
  <c r="D30" i="5"/>
  <c r="AI29" i="5"/>
  <c r="AH29" i="5"/>
  <c r="AG29" i="5"/>
  <c r="AF29" i="5"/>
  <c r="AE29" i="5"/>
  <c r="AD29" i="5"/>
  <c r="AC29" i="5"/>
  <c r="AB29" i="5"/>
  <c r="AA29" i="5"/>
  <c r="Z29" i="5"/>
  <c r="Y29" i="5"/>
  <c r="X29" i="5"/>
  <c r="E29" i="5"/>
  <c r="D29" i="5"/>
  <c r="AI28" i="5"/>
  <c r="AB19" i="1" s="1"/>
  <c r="AH28" i="5"/>
  <c r="AG28" i="5"/>
  <c r="AF28" i="5"/>
  <c r="AE28" i="5"/>
  <c r="AD28" i="5"/>
  <c r="AC28" i="5"/>
  <c r="AB28" i="5"/>
  <c r="AA28" i="5"/>
  <c r="Z28" i="5"/>
  <c r="Y28" i="5"/>
  <c r="X28" i="5"/>
  <c r="I28" i="5"/>
  <c r="E28" i="5"/>
  <c r="D28" i="5"/>
  <c r="AI27" i="5"/>
  <c r="AH27" i="5"/>
  <c r="AG27" i="5"/>
  <c r="AF27" i="5"/>
  <c r="AE27" i="5"/>
  <c r="AD27" i="5"/>
  <c r="AC27" i="5"/>
  <c r="AB27" i="5"/>
  <c r="AA27" i="5"/>
  <c r="Z27" i="5"/>
  <c r="Y27" i="5"/>
  <c r="X27" i="5"/>
  <c r="E27" i="5"/>
  <c r="D27" i="5"/>
  <c r="AI26" i="5"/>
  <c r="AH26" i="5"/>
  <c r="AG26" i="5"/>
  <c r="AF26" i="5"/>
  <c r="AE26" i="5"/>
  <c r="AD26" i="5"/>
  <c r="AC26" i="5"/>
  <c r="AB26" i="5"/>
  <c r="AA26" i="5"/>
  <c r="Z26" i="5"/>
  <c r="Y26" i="5"/>
  <c r="X26" i="5"/>
  <c r="E26" i="5"/>
  <c r="D26" i="5"/>
  <c r="AI25" i="5"/>
  <c r="AH25" i="5"/>
  <c r="AG25" i="5"/>
  <c r="AF25" i="5"/>
  <c r="AE25" i="5"/>
  <c r="AD25" i="5"/>
  <c r="AC25" i="5"/>
  <c r="AB25" i="5"/>
  <c r="AA25" i="5"/>
  <c r="Z25" i="5"/>
  <c r="Y25" i="5"/>
  <c r="X25" i="5"/>
  <c r="E25" i="5"/>
  <c r="D25" i="5"/>
  <c r="AI24" i="5"/>
  <c r="AH24" i="5"/>
  <c r="AG24" i="5"/>
  <c r="AF24" i="5"/>
  <c r="AE24" i="5"/>
  <c r="AD24" i="5"/>
  <c r="AC24" i="5"/>
  <c r="AB24" i="5"/>
  <c r="AA24" i="5"/>
  <c r="Z24" i="5"/>
  <c r="Y24" i="5"/>
  <c r="X24" i="5"/>
  <c r="E24" i="5"/>
  <c r="D24" i="5"/>
  <c r="AI23" i="5"/>
  <c r="AH23" i="5"/>
  <c r="AG23" i="5"/>
  <c r="AF23" i="5"/>
  <c r="AE23" i="5"/>
  <c r="AD23" i="5"/>
  <c r="AC23" i="5"/>
  <c r="AB23" i="5"/>
  <c r="AA23" i="5"/>
  <c r="Z23" i="5"/>
  <c r="Y23" i="5"/>
  <c r="X23" i="5"/>
  <c r="E23" i="5"/>
  <c r="D23" i="5"/>
  <c r="AI22" i="5"/>
  <c r="AH22" i="5"/>
  <c r="AG22" i="5"/>
  <c r="AF22" i="5"/>
  <c r="AE22" i="5"/>
  <c r="AD22" i="5"/>
  <c r="Q4" i="5" s="1"/>
  <c r="AC22" i="5"/>
  <c r="AB22" i="5"/>
  <c r="AA22" i="5"/>
  <c r="Z22" i="5"/>
  <c r="Y22" i="5"/>
  <c r="X22" i="5"/>
  <c r="E22" i="5"/>
  <c r="D22" i="5"/>
  <c r="AI21" i="5"/>
  <c r="AH21" i="5"/>
  <c r="AG21" i="5"/>
  <c r="AF21" i="5"/>
  <c r="AE21" i="5"/>
  <c r="AD21" i="5"/>
  <c r="AC21" i="5"/>
  <c r="AB21" i="5"/>
  <c r="AA21" i="5"/>
  <c r="Z21" i="5"/>
  <c r="Y21" i="5"/>
  <c r="X21" i="5"/>
  <c r="I21" i="5"/>
  <c r="E21" i="5"/>
  <c r="D21" i="5"/>
  <c r="AI20" i="5"/>
  <c r="AH20" i="5"/>
  <c r="AG20" i="5"/>
  <c r="AF20" i="5"/>
  <c r="AE20" i="5"/>
  <c r="AD20" i="5"/>
  <c r="AC20" i="5"/>
  <c r="AB20" i="5"/>
  <c r="AA20" i="5"/>
  <c r="Z20" i="5"/>
  <c r="Y20" i="5"/>
  <c r="X20" i="5"/>
  <c r="E20" i="5"/>
  <c r="D20" i="5"/>
  <c r="AI19" i="5"/>
  <c r="AB10" i="1" s="1"/>
  <c r="AH19" i="5"/>
  <c r="AG19" i="5"/>
  <c r="AF19" i="5"/>
  <c r="AE19" i="5"/>
  <c r="AD19" i="5"/>
  <c r="AC19" i="5"/>
  <c r="AB19" i="5"/>
  <c r="AA19" i="5"/>
  <c r="Z19" i="5"/>
  <c r="Y19" i="5"/>
  <c r="X19" i="5"/>
  <c r="E19" i="5"/>
  <c r="D19" i="5"/>
  <c r="AI18" i="5"/>
  <c r="AB9" i="1" s="1"/>
  <c r="AH18" i="5"/>
  <c r="AG18" i="5"/>
  <c r="AF18" i="5"/>
  <c r="AE18" i="5"/>
  <c r="AD18" i="5"/>
  <c r="AC18" i="5"/>
  <c r="AB18" i="5"/>
  <c r="AA18" i="5"/>
  <c r="Z18" i="5"/>
  <c r="Y18" i="5"/>
  <c r="X18" i="5"/>
  <c r="E18" i="5"/>
  <c r="D18" i="5"/>
  <c r="AI17" i="5"/>
  <c r="AH17" i="5"/>
  <c r="AG17" i="5"/>
  <c r="AF17" i="5"/>
  <c r="AE17" i="5"/>
  <c r="AD17" i="5"/>
  <c r="AC17" i="5"/>
  <c r="AB17" i="5"/>
  <c r="AA17" i="5"/>
  <c r="Z17" i="5"/>
  <c r="Y17" i="5"/>
  <c r="X17" i="5"/>
  <c r="E17" i="5"/>
  <c r="D17" i="5"/>
  <c r="AI16" i="5"/>
  <c r="AH16" i="5"/>
  <c r="AG16" i="5"/>
  <c r="AF16" i="5"/>
  <c r="AE16" i="5"/>
  <c r="AD16" i="5"/>
  <c r="AC16" i="5"/>
  <c r="AB16" i="5"/>
  <c r="AA16" i="5"/>
  <c r="Z16" i="5"/>
  <c r="Y16" i="5"/>
  <c r="X16" i="5"/>
  <c r="E16" i="5"/>
  <c r="D16" i="5"/>
  <c r="AI15" i="5"/>
  <c r="AH15" i="5"/>
  <c r="AG15" i="5"/>
  <c r="AF15" i="5"/>
  <c r="AE15" i="5"/>
  <c r="AD15" i="5"/>
  <c r="AC15" i="5"/>
  <c r="AB15" i="5"/>
  <c r="AA15" i="5"/>
  <c r="Z15" i="5"/>
  <c r="Y15" i="5"/>
  <c r="X15" i="5"/>
  <c r="E15" i="5"/>
  <c r="D15" i="5"/>
  <c r="AI14" i="5"/>
  <c r="AH14" i="5"/>
  <c r="AG14" i="5"/>
  <c r="AF14" i="5"/>
  <c r="AE14" i="5"/>
  <c r="AD14" i="5"/>
  <c r="AC14" i="5"/>
  <c r="AB14" i="5"/>
  <c r="AA14" i="5"/>
  <c r="Z14" i="5"/>
  <c r="Y14" i="5"/>
  <c r="X14" i="5"/>
  <c r="E14" i="5"/>
  <c r="D14" i="5"/>
  <c r="AI13" i="5"/>
  <c r="AH13" i="5"/>
  <c r="AG13" i="5"/>
  <c r="AF13" i="5"/>
  <c r="AE13" i="5"/>
  <c r="AD13" i="5"/>
  <c r="AC13" i="5"/>
  <c r="AB13" i="5"/>
  <c r="O4" i="5" s="1"/>
  <c r="AA13" i="5"/>
  <c r="Z13" i="5"/>
  <c r="Y13" i="5"/>
  <c r="X13" i="5"/>
  <c r="I13" i="5"/>
  <c r="E13" i="5"/>
  <c r="D13" i="5"/>
  <c r="AI12" i="5"/>
  <c r="AH12" i="5"/>
  <c r="AG12" i="5"/>
  <c r="AF12" i="5"/>
  <c r="AE12" i="5"/>
  <c r="R4" i="5" s="1"/>
  <c r="AD12" i="5"/>
  <c r="AC12" i="5"/>
  <c r="AB12" i="5"/>
  <c r="AA12" i="5"/>
  <c r="Z12" i="5"/>
  <c r="Y12" i="5"/>
  <c r="X12" i="5"/>
  <c r="G12" i="5"/>
  <c r="F12" i="5"/>
  <c r="H12" i="5" s="1"/>
  <c r="E12" i="5"/>
  <c r="D12" i="5"/>
  <c r="S4" i="5"/>
  <c r="V3" i="5"/>
  <c r="U3" i="5"/>
  <c r="T3" i="5"/>
  <c r="S3" i="5"/>
  <c r="R3" i="5"/>
  <c r="Q3" i="5"/>
  <c r="P3" i="5"/>
  <c r="O3" i="5"/>
  <c r="N3" i="5"/>
  <c r="M3" i="5"/>
  <c r="L3" i="5"/>
  <c r="K3" i="5"/>
  <c r="V2" i="5"/>
  <c r="T2" i="5"/>
  <c r="O2" i="5"/>
  <c r="N2" i="5"/>
  <c r="L2" i="5"/>
  <c r="K2" i="5"/>
  <c r="V1" i="5"/>
  <c r="U1" i="5"/>
  <c r="T1" i="5"/>
  <c r="S1" i="5"/>
  <c r="R1" i="5"/>
  <c r="Q1" i="5"/>
  <c r="P1" i="5"/>
  <c r="O1" i="5"/>
  <c r="N1" i="5"/>
  <c r="M1" i="5"/>
  <c r="L1" i="5"/>
  <c r="U2" i="5" s="1"/>
  <c r="K1" i="5"/>
  <c r="AI62" i="4"/>
  <c r="AH62" i="4"/>
  <c r="AG62" i="4"/>
  <c r="AF62" i="4"/>
  <c r="AE62" i="4"/>
  <c r="AD62" i="4"/>
  <c r="AC62" i="4"/>
  <c r="AB62" i="4"/>
  <c r="AA62" i="4"/>
  <c r="Z62" i="4"/>
  <c r="Y62" i="4"/>
  <c r="X62" i="4"/>
  <c r="I62" i="4"/>
  <c r="AI61" i="4"/>
  <c r="AH61" i="4"/>
  <c r="AG61" i="4"/>
  <c r="AF61" i="4"/>
  <c r="AE61" i="4"/>
  <c r="AD61" i="4"/>
  <c r="AC61" i="4"/>
  <c r="AB61" i="4"/>
  <c r="AA61" i="4"/>
  <c r="Z61" i="4"/>
  <c r="Y61" i="4"/>
  <c r="X61" i="4"/>
  <c r="I61" i="4"/>
  <c r="AI60" i="4"/>
  <c r="AH60" i="4"/>
  <c r="AG60" i="4"/>
  <c r="AF60" i="4"/>
  <c r="AE60" i="4"/>
  <c r="AD60" i="4"/>
  <c r="AC60" i="4"/>
  <c r="AB60" i="4"/>
  <c r="AA60" i="4"/>
  <c r="Z60" i="4"/>
  <c r="Y60" i="4"/>
  <c r="X60" i="4"/>
  <c r="I60" i="4"/>
  <c r="AI59" i="4"/>
  <c r="AH59" i="4"/>
  <c r="AG59" i="4"/>
  <c r="AF59" i="4"/>
  <c r="AE59" i="4"/>
  <c r="AD59" i="4"/>
  <c r="AC59" i="4"/>
  <c r="AB59" i="4"/>
  <c r="AA59" i="4"/>
  <c r="Z59" i="4"/>
  <c r="Y59" i="4"/>
  <c r="X59" i="4"/>
  <c r="I59" i="4"/>
  <c r="AI58" i="4"/>
  <c r="AH58" i="4"/>
  <c r="AG58" i="4"/>
  <c r="AF58" i="4"/>
  <c r="AE58" i="4"/>
  <c r="AD58" i="4"/>
  <c r="AC58" i="4"/>
  <c r="AB58" i="4"/>
  <c r="AA58" i="4"/>
  <c r="Z58" i="4"/>
  <c r="Y58" i="4"/>
  <c r="X58" i="4"/>
  <c r="I58" i="4"/>
  <c r="AI57" i="4"/>
  <c r="AH57" i="4"/>
  <c r="AG57" i="4"/>
  <c r="AF57" i="4"/>
  <c r="AE57" i="4"/>
  <c r="AD57" i="4"/>
  <c r="AC57" i="4"/>
  <c r="AB57" i="4"/>
  <c r="AA57" i="4"/>
  <c r="Z57" i="4"/>
  <c r="Y57" i="4"/>
  <c r="X57" i="4"/>
  <c r="I57" i="4"/>
  <c r="AI56" i="4"/>
  <c r="AA47" i="1" s="1"/>
  <c r="AH56" i="4"/>
  <c r="AG56" i="4"/>
  <c r="AF56" i="4"/>
  <c r="AE56" i="4"/>
  <c r="AD56" i="4"/>
  <c r="AC56" i="4"/>
  <c r="AB56" i="4"/>
  <c r="AA56" i="4"/>
  <c r="Z56" i="4"/>
  <c r="Y56" i="4"/>
  <c r="X56" i="4"/>
  <c r="I56" i="4"/>
  <c r="AI55" i="4"/>
  <c r="AA46" i="1" s="1"/>
  <c r="AH55" i="4"/>
  <c r="AG55" i="4"/>
  <c r="AF55" i="4"/>
  <c r="AE55" i="4"/>
  <c r="AD55" i="4"/>
  <c r="AC55" i="4"/>
  <c r="AB55" i="4"/>
  <c r="AA55" i="4"/>
  <c r="Z55" i="4"/>
  <c r="Y55" i="4"/>
  <c r="X55" i="4"/>
  <c r="I55" i="4"/>
  <c r="AI54" i="4"/>
  <c r="AH54" i="4"/>
  <c r="AG54" i="4"/>
  <c r="AF54" i="4"/>
  <c r="AE54" i="4"/>
  <c r="AD54" i="4"/>
  <c r="AC54" i="4"/>
  <c r="AB54" i="4"/>
  <c r="AA54" i="4"/>
  <c r="Z54" i="4"/>
  <c r="Y54" i="4"/>
  <c r="X54" i="4"/>
  <c r="AI53" i="4"/>
  <c r="AH53" i="4"/>
  <c r="AG53" i="4"/>
  <c r="AF53" i="4"/>
  <c r="AE53" i="4"/>
  <c r="AD53" i="4"/>
  <c r="AC53" i="4"/>
  <c r="AB53" i="4"/>
  <c r="AA53" i="4"/>
  <c r="Z53" i="4"/>
  <c r="Y53" i="4"/>
  <c r="X53" i="4"/>
  <c r="AI52" i="4"/>
  <c r="AH52" i="4"/>
  <c r="AG52" i="4"/>
  <c r="AF52" i="4"/>
  <c r="AE52" i="4"/>
  <c r="AD52" i="4"/>
  <c r="AC52" i="4"/>
  <c r="AB52" i="4"/>
  <c r="AA52" i="4"/>
  <c r="Z52" i="4"/>
  <c r="Y52" i="4"/>
  <c r="X52" i="4"/>
  <c r="AI51" i="4"/>
  <c r="AH51" i="4"/>
  <c r="AG51" i="4"/>
  <c r="AF51" i="4"/>
  <c r="AE51" i="4"/>
  <c r="AD51" i="4"/>
  <c r="AC51" i="4"/>
  <c r="AB51" i="4"/>
  <c r="AA51" i="4"/>
  <c r="Z51" i="4"/>
  <c r="Y51" i="4"/>
  <c r="X51" i="4"/>
  <c r="I51" i="4"/>
  <c r="AI50" i="4"/>
  <c r="AH50" i="4"/>
  <c r="AG50" i="4"/>
  <c r="AF50" i="4"/>
  <c r="AE50" i="4"/>
  <c r="AD50" i="4"/>
  <c r="AC50" i="4"/>
  <c r="AB50" i="4"/>
  <c r="AA50" i="4"/>
  <c r="Z50" i="4"/>
  <c r="Y50" i="4"/>
  <c r="X50" i="4"/>
  <c r="AI49" i="4"/>
  <c r="AH49" i="4"/>
  <c r="AG49" i="4"/>
  <c r="AF49" i="4"/>
  <c r="AE49" i="4"/>
  <c r="AD49" i="4"/>
  <c r="AC49" i="4"/>
  <c r="AB49" i="4"/>
  <c r="AA49" i="4"/>
  <c r="Z49" i="4"/>
  <c r="Y49" i="4"/>
  <c r="X49" i="4"/>
  <c r="I49" i="4"/>
  <c r="AI48" i="4"/>
  <c r="AH48" i="4"/>
  <c r="AG48" i="4"/>
  <c r="AF48" i="4"/>
  <c r="AE48" i="4"/>
  <c r="AD48" i="4"/>
  <c r="AC48" i="4"/>
  <c r="AB48" i="4"/>
  <c r="AA48" i="4"/>
  <c r="Z48" i="4"/>
  <c r="Y48" i="4"/>
  <c r="X48" i="4"/>
  <c r="AI47" i="4"/>
  <c r="AH47" i="4"/>
  <c r="AG47" i="4"/>
  <c r="AF47" i="4"/>
  <c r="AE47" i="4"/>
  <c r="AD47" i="4"/>
  <c r="AC47" i="4"/>
  <c r="AB47" i="4"/>
  <c r="AA47" i="4"/>
  <c r="Z47" i="4"/>
  <c r="Y47" i="4"/>
  <c r="X47" i="4"/>
  <c r="AI46" i="4"/>
  <c r="AH46" i="4"/>
  <c r="AG46" i="4"/>
  <c r="AF46" i="4"/>
  <c r="AE46" i="4"/>
  <c r="AD46" i="4"/>
  <c r="AC46" i="4"/>
  <c r="AB46" i="4"/>
  <c r="AA46" i="4"/>
  <c r="Z46" i="4"/>
  <c r="Y46" i="4"/>
  <c r="X46" i="4"/>
  <c r="AI45" i="4"/>
  <c r="AH45" i="4"/>
  <c r="AG45" i="4"/>
  <c r="AF45" i="4"/>
  <c r="AE45" i="4"/>
  <c r="AD45" i="4"/>
  <c r="AC45" i="4"/>
  <c r="AB45" i="4"/>
  <c r="AA45" i="4"/>
  <c r="Z45" i="4"/>
  <c r="Y45" i="4"/>
  <c r="X45" i="4"/>
  <c r="AI44" i="4"/>
  <c r="AH44" i="4"/>
  <c r="AG44" i="4"/>
  <c r="AF44" i="4"/>
  <c r="AE44" i="4"/>
  <c r="AD44" i="4"/>
  <c r="AC44" i="4"/>
  <c r="AB44" i="4"/>
  <c r="AA44" i="4"/>
  <c r="Z44" i="4"/>
  <c r="Y44" i="4"/>
  <c r="X44" i="4"/>
  <c r="AI43" i="4"/>
  <c r="AH43" i="4"/>
  <c r="AG43" i="4"/>
  <c r="AF43" i="4"/>
  <c r="AE43" i="4"/>
  <c r="AD43" i="4"/>
  <c r="AC43" i="4"/>
  <c r="AB43" i="4"/>
  <c r="AA43" i="4"/>
  <c r="Z43" i="4"/>
  <c r="Y43" i="4"/>
  <c r="X43" i="4"/>
  <c r="I43" i="4"/>
  <c r="AI42" i="4"/>
  <c r="AH42" i="4"/>
  <c r="AG42" i="4"/>
  <c r="AF42" i="4"/>
  <c r="S4" i="4" s="1"/>
  <c r="AE42" i="4"/>
  <c r="AD42" i="4"/>
  <c r="AC42" i="4"/>
  <c r="AB42" i="4"/>
  <c r="AA42" i="4"/>
  <c r="Z42" i="4"/>
  <c r="Y42" i="4"/>
  <c r="X42" i="4"/>
  <c r="I42" i="4"/>
  <c r="AI41" i="4"/>
  <c r="AH41" i="4"/>
  <c r="AG41" i="4"/>
  <c r="AF41" i="4"/>
  <c r="AE41" i="4"/>
  <c r="AD41" i="4"/>
  <c r="AC41" i="4"/>
  <c r="AB41" i="4"/>
  <c r="AA41" i="4"/>
  <c r="Z41" i="4"/>
  <c r="Y41" i="4"/>
  <c r="X41" i="4"/>
  <c r="AI40" i="4"/>
  <c r="AH40" i="4"/>
  <c r="AG40" i="4"/>
  <c r="AF40" i="4"/>
  <c r="AE40" i="4"/>
  <c r="AD40" i="4"/>
  <c r="AC40" i="4"/>
  <c r="AB40" i="4"/>
  <c r="AA40" i="4"/>
  <c r="Z40" i="4"/>
  <c r="Y40" i="4"/>
  <c r="X40" i="4"/>
  <c r="I40" i="4"/>
  <c r="AI39" i="4"/>
  <c r="AH39" i="4"/>
  <c r="AG39" i="4"/>
  <c r="AF39" i="4"/>
  <c r="AE39" i="4"/>
  <c r="AD39" i="4"/>
  <c r="AC39" i="4"/>
  <c r="AB39" i="4"/>
  <c r="AA39" i="4"/>
  <c r="Z39" i="4"/>
  <c r="Y39" i="4"/>
  <c r="X39" i="4"/>
  <c r="I39" i="4"/>
  <c r="AI38" i="4"/>
  <c r="AH38" i="4"/>
  <c r="AG38" i="4"/>
  <c r="AF38" i="4"/>
  <c r="AE38" i="4"/>
  <c r="AD38" i="4"/>
  <c r="AC38" i="4"/>
  <c r="AB38" i="4"/>
  <c r="AA38" i="4"/>
  <c r="Z38" i="4"/>
  <c r="Y38" i="4"/>
  <c r="X38" i="4"/>
  <c r="I38" i="4"/>
  <c r="AI37" i="4"/>
  <c r="AH37" i="4"/>
  <c r="AG37" i="4"/>
  <c r="AF37" i="4"/>
  <c r="AE37" i="4"/>
  <c r="AD37" i="4"/>
  <c r="AC37" i="4"/>
  <c r="AB37" i="4"/>
  <c r="AA37" i="4"/>
  <c r="Z37" i="4"/>
  <c r="Y37" i="4"/>
  <c r="X37" i="4"/>
  <c r="AI36" i="4"/>
  <c r="AH36" i="4"/>
  <c r="U4" i="4" s="1"/>
  <c r="AG36" i="4"/>
  <c r="AF36" i="4"/>
  <c r="AE36" i="4"/>
  <c r="AD36" i="4"/>
  <c r="AC36" i="4"/>
  <c r="AB36" i="4"/>
  <c r="AA36" i="4"/>
  <c r="Z36" i="4"/>
  <c r="Y36" i="4"/>
  <c r="X36" i="4"/>
  <c r="AI35" i="4"/>
  <c r="AH35" i="4"/>
  <c r="AG35" i="4"/>
  <c r="AF35" i="4"/>
  <c r="AE35" i="4"/>
  <c r="AD35" i="4"/>
  <c r="AC35" i="4"/>
  <c r="AB35" i="4"/>
  <c r="AA35" i="4"/>
  <c r="Z35" i="4"/>
  <c r="Y35" i="4"/>
  <c r="X35" i="4"/>
  <c r="AI34" i="4"/>
  <c r="AH34" i="4"/>
  <c r="AG34" i="4"/>
  <c r="AF34" i="4"/>
  <c r="AE34" i="4"/>
  <c r="AD34" i="4"/>
  <c r="AC34" i="4"/>
  <c r="AB34" i="4"/>
  <c r="AA34" i="4"/>
  <c r="Z34" i="4"/>
  <c r="Y34" i="4"/>
  <c r="X34" i="4"/>
  <c r="I34" i="4"/>
  <c r="AI33" i="4"/>
  <c r="AH33" i="4"/>
  <c r="AG33" i="4"/>
  <c r="AF33" i="4"/>
  <c r="AE33" i="4"/>
  <c r="AD33" i="4"/>
  <c r="AC33" i="4"/>
  <c r="AB33" i="4"/>
  <c r="AA33" i="4"/>
  <c r="Z33" i="4"/>
  <c r="Y33" i="4"/>
  <c r="X33" i="4"/>
  <c r="AI32" i="4"/>
  <c r="AH32" i="4"/>
  <c r="AG32" i="4"/>
  <c r="AF32" i="4"/>
  <c r="AE32" i="4"/>
  <c r="AD32" i="4"/>
  <c r="AC32" i="4"/>
  <c r="AB32" i="4"/>
  <c r="AA32" i="4"/>
  <c r="Z32" i="4"/>
  <c r="Y32" i="4"/>
  <c r="X32" i="4"/>
  <c r="I32" i="4"/>
  <c r="AI31" i="4"/>
  <c r="AH31" i="4"/>
  <c r="AG31" i="4"/>
  <c r="AF31" i="4"/>
  <c r="AE31" i="4"/>
  <c r="AD31" i="4"/>
  <c r="AC31" i="4"/>
  <c r="AB31" i="4"/>
  <c r="AA31" i="4"/>
  <c r="Z31" i="4"/>
  <c r="Y31" i="4"/>
  <c r="X31" i="4"/>
  <c r="AI30" i="4"/>
  <c r="AH30" i="4"/>
  <c r="AG30" i="4"/>
  <c r="AF30" i="4"/>
  <c r="AE30" i="4"/>
  <c r="AD30" i="4"/>
  <c r="AC30" i="4"/>
  <c r="AB30" i="4"/>
  <c r="AA30" i="4"/>
  <c r="Z30" i="4"/>
  <c r="Y30" i="4"/>
  <c r="X30" i="4"/>
  <c r="I30" i="4"/>
  <c r="AI29" i="4"/>
  <c r="AH29" i="4"/>
  <c r="AG29" i="4"/>
  <c r="AF29" i="4"/>
  <c r="AE29" i="4"/>
  <c r="AD29" i="4"/>
  <c r="AC29" i="4"/>
  <c r="AB29" i="4"/>
  <c r="AA29" i="4"/>
  <c r="Z29" i="4"/>
  <c r="Y29" i="4"/>
  <c r="X29" i="4"/>
  <c r="AI28" i="4"/>
  <c r="AH28" i="4"/>
  <c r="AG28" i="4"/>
  <c r="AF28" i="4"/>
  <c r="AE28" i="4"/>
  <c r="AD28" i="4"/>
  <c r="AC28" i="4"/>
  <c r="AB28" i="4"/>
  <c r="AA28" i="4"/>
  <c r="Z28" i="4"/>
  <c r="Y28" i="4"/>
  <c r="X28" i="4"/>
  <c r="I28" i="4"/>
  <c r="AI27" i="4"/>
  <c r="AH27" i="4"/>
  <c r="AG27" i="4"/>
  <c r="AF27" i="4"/>
  <c r="AE27" i="4"/>
  <c r="AD27" i="4"/>
  <c r="AC27" i="4"/>
  <c r="AB27" i="4"/>
  <c r="AA27" i="4"/>
  <c r="Z27" i="4"/>
  <c r="Y27" i="4"/>
  <c r="X27" i="4"/>
  <c r="AI26" i="4"/>
  <c r="AH26" i="4"/>
  <c r="AG26" i="4"/>
  <c r="AF26" i="4"/>
  <c r="AE26" i="4"/>
  <c r="AD26" i="4"/>
  <c r="AC26" i="4"/>
  <c r="AB26" i="4"/>
  <c r="AA26" i="4"/>
  <c r="Z26" i="4"/>
  <c r="Y26" i="4"/>
  <c r="X26" i="4"/>
  <c r="AI25" i="4"/>
  <c r="AH25" i="4"/>
  <c r="AG25" i="4"/>
  <c r="AF25" i="4"/>
  <c r="AE25" i="4"/>
  <c r="AD25" i="4"/>
  <c r="AC25" i="4"/>
  <c r="AB25" i="4"/>
  <c r="AA25" i="4"/>
  <c r="Z25" i="4"/>
  <c r="Y25" i="4"/>
  <c r="X25" i="4"/>
  <c r="AI24" i="4"/>
  <c r="AH24" i="4"/>
  <c r="AG24" i="4"/>
  <c r="AF24" i="4"/>
  <c r="AE24" i="4"/>
  <c r="AD24" i="4"/>
  <c r="AC24" i="4"/>
  <c r="AB24" i="4"/>
  <c r="AA24" i="4"/>
  <c r="Z24" i="4"/>
  <c r="Y24" i="4"/>
  <c r="X24" i="4"/>
  <c r="I24" i="4"/>
  <c r="AI23" i="4"/>
  <c r="AH23" i="4"/>
  <c r="AG23" i="4"/>
  <c r="AF23" i="4"/>
  <c r="AE23" i="4"/>
  <c r="AD23" i="4"/>
  <c r="AC23" i="4"/>
  <c r="AB23" i="4"/>
  <c r="AA23" i="4"/>
  <c r="Z23" i="4"/>
  <c r="Y23" i="4"/>
  <c r="X23" i="4"/>
  <c r="AI22" i="4"/>
  <c r="AH22" i="4"/>
  <c r="AG22" i="4"/>
  <c r="AF22" i="4"/>
  <c r="AE22" i="4"/>
  <c r="AD22" i="4"/>
  <c r="AC22" i="4"/>
  <c r="AB22" i="4"/>
  <c r="AA22" i="4"/>
  <c r="Z22" i="4"/>
  <c r="Y22" i="4"/>
  <c r="X22" i="4"/>
  <c r="AI21" i="4"/>
  <c r="AA12" i="1" s="1"/>
  <c r="AH21" i="4"/>
  <c r="AG21" i="4"/>
  <c r="AF21" i="4"/>
  <c r="AE21" i="4"/>
  <c r="AD21" i="4"/>
  <c r="AC21" i="4"/>
  <c r="AB21" i="4"/>
  <c r="AA21" i="4"/>
  <c r="Z21" i="4"/>
  <c r="Y21" i="4"/>
  <c r="X21" i="4"/>
  <c r="AI20" i="4"/>
  <c r="AH20" i="4"/>
  <c r="AG20" i="4"/>
  <c r="AF20" i="4"/>
  <c r="AE20" i="4"/>
  <c r="AD20" i="4"/>
  <c r="AC20" i="4"/>
  <c r="AB20" i="4"/>
  <c r="AA20" i="4"/>
  <c r="Z20" i="4"/>
  <c r="Y20" i="4"/>
  <c r="X20" i="4"/>
  <c r="AI19" i="4"/>
  <c r="AA10" i="1" s="1"/>
  <c r="AH19" i="4"/>
  <c r="AG19" i="4"/>
  <c r="AF19" i="4"/>
  <c r="AE19" i="4"/>
  <c r="AD19" i="4"/>
  <c r="AC19" i="4"/>
  <c r="AB19" i="4"/>
  <c r="AA19" i="4"/>
  <c r="Z19" i="4"/>
  <c r="Y19" i="4"/>
  <c r="X19" i="4"/>
  <c r="AI18" i="4"/>
  <c r="AH18" i="4"/>
  <c r="AG18" i="4"/>
  <c r="AF18" i="4"/>
  <c r="AE18" i="4"/>
  <c r="AD18" i="4"/>
  <c r="AC18" i="4"/>
  <c r="AB18" i="4"/>
  <c r="AA18" i="4"/>
  <c r="Z18" i="4"/>
  <c r="Y18" i="4"/>
  <c r="X18" i="4"/>
  <c r="AI17" i="4"/>
  <c r="AH17" i="4"/>
  <c r="AG17" i="4"/>
  <c r="AF17" i="4"/>
  <c r="AE17" i="4"/>
  <c r="AD17" i="4"/>
  <c r="AC17" i="4"/>
  <c r="AB17" i="4"/>
  <c r="AA17" i="4"/>
  <c r="Z17" i="4"/>
  <c r="Y17" i="4"/>
  <c r="X17" i="4"/>
  <c r="AI16" i="4"/>
  <c r="AH16" i="4"/>
  <c r="AG16" i="4"/>
  <c r="AF16" i="4"/>
  <c r="AE16" i="4"/>
  <c r="AD16" i="4"/>
  <c r="AC16" i="4"/>
  <c r="AB16" i="4"/>
  <c r="AA16" i="4"/>
  <c r="Z16" i="4"/>
  <c r="Y16" i="4"/>
  <c r="X16" i="4"/>
  <c r="AI15" i="4"/>
  <c r="AH15" i="4"/>
  <c r="AG15" i="4"/>
  <c r="AF15" i="4"/>
  <c r="AE15" i="4"/>
  <c r="AD15" i="4"/>
  <c r="AC15" i="4"/>
  <c r="AB15" i="4"/>
  <c r="AA15" i="4"/>
  <c r="Z15" i="4"/>
  <c r="Y15" i="4"/>
  <c r="X15" i="4"/>
  <c r="I15" i="4"/>
  <c r="AI14" i="4"/>
  <c r="AH14" i="4"/>
  <c r="AG14" i="4"/>
  <c r="AF14" i="4"/>
  <c r="AE14" i="4"/>
  <c r="AD14" i="4"/>
  <c r="AC14" i="4"/>
  <c r="AB14" i="4"/>
  <c r="AA14" i="4"/>
  <c r="Z14" i="4"/>
  <c r="Y14" i="4"/>
  <c r="X14" i="4"/>
  <c r="AI13" i="4"/>
  <c r="AH13" i="4"/>
  <c r="AG13" i="4"/>
  <c r="AF13" i="4"/>
  <c r="AE13" i="4"/>
  <c r="AD13" i="4"/>
  <c r="AC13" i="4"/>
  <c r="AB13" i="4"/>
  <c r="AA13" i="4"/>
  <c r="Z13" i="4"/>
  <c r="Y13" i="4"/>
  <c r="X13" i="4"/>
  <c r="AI12" i="4"/>
  <c r="AH12" i="4"/>
  <c r="AG12" i="4"/>
  <c r="AF12" i="4"/>
  <c r="AE12" i="4"/>
  <c r="AD12" i="4"/>
  <c r="AC12" i="4"/>
  <c r="AB12" i="4"/>
  <c r="AA12" i="4"/>
  <c r="Z12" i="4"/>
  <c r="Y12" i="4"/>
  <c r="X12" i="4"/>
  <c r="G12" i="4"/>
  <c r="F12" i="4"/>
  <c r="E12" i="4"/>
  <c r="D12" i="4"/>
  <c r="V3" i="4"/>
  <c r="U3" i="4"/>
  <c r="T3" i="4"/>
  <c r="S3" i="4"/>
  <c r="R3" i="4"/>
  <c r="Q3" i="4"/>
  <c r="P3" i="4"/>
  <c r="O3" i="4"/>
  <c r="N3" i="4"/>
  <c r="M3" i="4"/>
  <c r="L3" i="4"/>
  <c r="K3" i="4"/>
  <c r="K2" i="4"/>
  <c r="V1" i="4"/>
  <c r="U1" i="4"/>
  <c r="T1" i="4"/>
  <c r="S1" i="4"/>
  <c r="R1" i="4"/>
  <c r="Q1" i="4"/>
  <c r="P1" i="4"/>
  <c r="O1" i="4"/>
  <c r="N1" i="4"/>
  <c r="M1" i="4"/>
  <c r="L1" i="4"/>
  <c r="K1" i="4"/>
  <c r="S2" i="4" s="1"/>
  <c r="AI62" i="3"/>
  <c r="AH62" i="3"/>
  <c r="AG62" i="3"/>
  <c r="AF62" i="3"/>
  <c r="AE62" i="3"/>
  <c r="AD62" i="3"/>
  <c r="AC62" i="3"/>
  <c r="AB62" i="3"/>
  <c r="AA62" i="3"/>
  <c r="Z62" i="3"/>
  <c r="Y62" i="3"/>
  <c r="X62" i="3"/>
  <c r="I62" i="3"/>
  <c r="G62" i="3"/>
  <c r="F62" i="3"/>
  <c r="H62" i="3" s="1"/>
  <c r="E62" i="3"/>
  <c r="D62" i="3"/>
  <c r="AI61" i="3"/>
  <c r="AH61" i="3"/>
  <c r="AG61" i="3"/>
  <c r="AF61" i="3"/>
  <c r="AE61" i="3"/>
  <c r="AD61" i="3"/>
  <c r="AC61" i="3"/>
  <c r="AB61" i="3"/>
  <c r="AA61" i="3"/>
  <c r="Z61" i="3"/>
  <c r="Y61" i="3"/>
  <c r="X61" i="3"/>
  <c r="I61" i="3"/>
  <c r="G61" i="3"/>
  <c r="F61" i="3"/>
  <c r="E61" i="3"/>
  <c r="D61" i="3"/>
  <c r="AI60" i="3"/>
  <c r="AH60" i="3"/>
  <c r="AG60" i="3"/>
  <c r="AF60" i="3"/>
  <c r="AE60" i="3"/>
  <c r="AD60" i="3"/>
  <c r="AC60" i="3"/>
  <c r="AB60" i="3"/>
  <c r="AA60" i="3"/>
  <c r="Z60" i="3"/>
  <c r="Y60" i="3"/>
  <c r="X60" i="3"/>
  <c r="I60" i="3"/>
  <c r="G60" i="3"/>
  <c r="F60" i="3"/>
  <c r="E60" i="3"/>
  <c r="D60" i="3"/>
  <c r="AI59" i="3"/>
  <c r="AH59" i="3"/>
  <c r="AG59" i="3"/>
  <c r="AF59" i="3"/>
  <c r="AE59" i="3"/>
  <c r="AD59" i="3"/>
  <c r="AC59" i="3"/>
  <c r="AB59" i="3"/>
  <c r="AA59" i="3"/>
  <c r="Z59" i="3"/>
  <c r="Y59" i="3"/>
  <c r="X59" i="3"/>
  <c r="I59" i="3"/>
  <c r="G59" i="3"/>
  <c r="F59" i="3"/>
  <c r="E59" i="3"/>
  <c r="D59" i="3"/>
  <c r="AI58" i="3"/>
  <c r="Z49" i="1" s="1"/>
  <c r="AH58" i="3"/>
  <c r="AG58" i="3"/>
  <c r="AF58" i="3"/>
  <c r="AE58" i="3"/>
  <c r="AD58" i="3"/>
  <c r="AC58" i="3"/>
  <c r="AB58" i="3"/>
  <c r="AA58" i="3"/>
  <c r="Z58" i="3"/>
  <c r="Y58" i="3"/>
  <c r="X58" i="3"/>
  <c r="I58" i="3"/>
  <c r="G58" i="3"/>
  <c r="F58" i="3"/>
  <c r="H58" i="3" s="1"/>
  <c r="E58" i="3"/>
  <c r="D58" i="3"/>
  <c r="AI57" i="3"/>
  <c r="AH57" i="3"/>
  <c r="AG57" i="3"/>
  <c r="AF57" i="3"/>
  <c r="AE57" i="3"/>
  <c r="AD57" i="3"/>
  <c r="AC57" i="3"/>
  <c r="AB57" i="3"/>
  <c r="AA57" i="3"/>
  <c r="Z57" i="3"/>
  <c r="Y57" i="3"/>
  <c r="X57" i="3"/>
  <c r="I57" i="3"/>
  <c r="G57" i="3"/>
  <c r="F57" i="3"/>
  <c r="H57" i="3" s="1"/>
  <c r="E57" i="3"/>
  <c r="D57" i="3"/>
  <c r="AI56" i="3"/>
  <c r="AH56" i="3"/>
  <c r="AG56" i="3"/>
  <c r="AF56" i="3"/>
  <c r="AE56" i="3"/>
  <c r="AD56" i="3"/>
  <c r="AC56" i="3"/>
  <c r="AB56" i="3"/>
  <c r="AA56" i="3"/>
  <c r="Z56" i="3"/>
  <c r="Y56" i="3"/>
  <c r="X56" i="3"/>
  <c r="I56" i="3"/>
  <c r="G56" i="3"/>
  <c r="F56" i="3"/>
  <c r="E56" i="3"/>
  <c r="D56" i="3"/>
  <c r="AI55" i="3"/>
  <c r="AH55" i="3"/>
  <c r="AG55" i="3"/>
  <c r="AF55" i="3"/>
  <c r="AE55" i="3"/>
  <c r="AD55" i="3"/>
  <c r="AC55" i="3"/>
  <c r="AB55" i="3"/>
  <c r="AA55" i="3"/>
  <c r="Z55" i="3"/>
  <c r="Y55" i="3"/>
  <c r="X55" i="3"/>
  <c r="I55" i="3"/>
  <c r="G55" i="3"/>
  <c r="F55" i="3"/>
  <c r="E55" i="3"/>
  <c r="D55" i="3"/>
  <c r="AI54" i="3"/>
  <c r="AH54" i="3"/>
  <c r="AG54" i="3"/>
  <c r="AF54" i="3"/>
  <c r="AE54" i="3"/>
  <c r="AD54" i="3"/>
  <c r="AC54" i="3"/>
  <c r="AB54" i="3"/>
  <c r="AA54" i="3"/>
  <c r="Z54" i="3"/>
  <c r="Y54" i="3"/>
  <c r="X54" i="3"/>
  <c r="G54" i="3"/>
  <c r="F54" i="3"/>
  <c r="H54" i="3" s="1"/>
  <c r="E54" i="3"/>
  <c r="D54" i="3"/>
  <c r="AI53" i="3"/>
  <c r="AH53" i="3"/>
  <c r="AG53" i="3"/>
  <c r="AF53" i="3"/>
  <c r="AE53" i="3"/>
  <c r="AD53" i="3"/>
  <c r="AC53" i="3"/>
  <c r="AB53" i="3"/>
  <c r="AA53" i="3"/>
  <c r="Z53" i="3"/>
  <c r="Y53" i="3"/>
  <c r="X53" i="3"/>
  <c r="G53" i="3"/>
  <c r="F53" i="3"/>
  <c r="H53" i="3" s="1"/>
  <c r="E53" i="3"/>
  <c r="D53" i="3"/>
  <c r="AI52" i="3"/>
  <c r="AH52" i="3"/>
  <c r="AG52" i="3"/>
  <c r="AF52" i="3"/>
  <c r="AE52" i="3"/>
  <c r="AD52" i="3"/>
  <c r="AC52" i="3"/>
  <c r="AB52" i="3"/>
  <c r="AA52" i="3"/>
  <c r="Z52" i="3"/>
  <c r="Y52" i="3"/>
  <c r="X52" i="3"/>
  <c r="I52" i="3"/>
  <c r="G52" i="3"/>
  <c r="F52" i="3"/>
  <c r="H52" i="3" s="1"/>
  <c r="E52" i="3"/>
  <c r="D52" i="3"/>
  <c r="AI51" i="3"/>
  <c r="AH51" i="3"/>
  <c r="AG51" i="3"/>
  <c r="AF51" i="3"/>
  <c r="AE51" i="3"/>
  <c r="AD51" i="3"/>
  <c r="AC51" i="3"/>
  <c r="AB51" i="3"/>
  <c r="AA51" i="3"/>
  <c r="Z51" i="3"/>
  <c r="Y51" i="3"/>
  <c r="X51" i="3"/>
  <c r="G51" i="3"/>
  <c r="F51" i="3"/>
  <c r="E51" i="3"/>
  <c r="D51" i="3"/>
  <c r="AI50" i="3"/>
  <c r="AH50" i="3"/>
  <c r="AG50" i="3"/>
  <c r="AF50" i="3"/>
  <c r="AE50" i="3"/>
  <c r="AD50" i="3"/>
  <c r="AC50" i="3"/>
  <c r="AB50" i="3"/>
  <c r="AA50" i="3"/>
  <c r="Z50" i="3"/>
  <c r="Y50" i="3"/>
  <c r="X50" i="3"/>
  <c r="G50" i="3"/>
  <c r="F50" i="3"/>
  <c r="H50" i="3" s="1"/>
  <c r="E50" i="3"/>
  <c r="D50" i="3"/>
  <c r="AI49" i="3"/>
  <c r="AH49" i="3"/>
  <c r="AG49" i="3"/>
  <c r="AF49" i="3"/>
  <c r="AE49" i="3"/>
  <c r="AD49" i="3"/>
  <c r="AC49" i="3"/>
  <c r="AB49" i="3"/>
  <c r="AA49" i="3"/>
  <c r="Z49" i="3"/>
  <c r="Y49" i="3"/>
  <c r="X49" i="3"/>
  <c r="G49" i="3"/>
  <c r="F49" i="3"/>
  <c r="H49" i="3" s="1"/>
  <c r="E49" i="3"/>
  <c r="D49" i="3"/>
  <c r="AI48" i="3"/>
  <c r="Z39" i="1" s="1"/>
  <c r="AH48" i="3"/>
  <c r="AG48" i="3"/>
  <c r="AF48" i="3"/>
  <c r="AE48" i="3"/>
  <c r="AD48" i="3"/>
  <c r="AC48" i="3"/>
  <c r="AB48" i="3"/>
  <c r="AA48" i="3"/>
  <c r="Z48" i="3"/>
  <c r="Y48" i="3"/>
  <c r="X48" i="3"/>
  <c r="G48" i="3"/>
  <c r="H48" i="3" s="1"/>
  <c r="F48" i="3"/>
  <c r="E48" i="3"/>
  <c r="D48" i="3"/>
  <c r="AI47" i="3"/>
  <c r="AH47" i="3"/>
  <c r="AG47" i="3"/>
  <c r="AF47" i="3"/>
  <c r="AE47" i="3"/>
  <c r="AD47" i="3"/>
  <c r="AC47" i="3"/>
  <c r="AB47" i="3"/>
  <c r="AA47" i="3"/>
  <c r="Z47" i="3"/>
  <c r="Y47" i="3"/>
  <c r="X47" i="3"/>
  <c r="G47" i="3"/>
  <c r="F47" i="3"/>
  <c r="H47" i="3" s="1"/>
  <c r="E47" i="3"/>
  <c r="D47" i="3"/>
  <c r="AI46" i="3"/>
  <c r="AH46" i="3"/>
  <c r="AG46" i="3"/>
  <c r="AF46" i="3"/>
  <c r="AE46" i="3"/>
  <c r="AD46" i="3"/>
  <c r="AC46" i="3"/>
  <c r="AB46" i="3"/>
  <c r="AA46" i="3"/>
  <c r="Z46" i="3"/>
  <c r="Y46" i="3"/>
  <c r="X46" i="3"/>
  <c r="I46" i="3"/>
  <c r="G46" i="3"/>
  <c r="F46" i="3"/>
  <c r="H46" i="3" s="1"/>
  <c r="E46" i="3"/>
  <c r="D46" i="3"/>
  <c r="AI45" i="3"/>
  <c r="AH45" i="3"/>
  <c r="AG45" i="3"/>
  <c r="AF45" i="3"/>
  <c r="AE45" i="3"/>
  <c r="AD45" i="3"/>
  <c r="AC45" i="3"/>
  <c r="AB45" i="3"/>
  <c r="AA45" i="3"/>
  <c r="Z45" i="3"/>
  <c r="Y45" i="3"/>
  <c r="X45" i="3"/>
  <c r="G45" i="3"/>
  <c r="F45" i="3"/>
  <c r="H45" i="3" s="1"/>
  <c r="E45" i="3"/>
  <c r="D45" i="3"/>
  <c r="AI44" i="3"/>
  <c r="Z35" i="1" s="1"/>
  <c r="AH44" i="3"/>
  <c r="AG44" i="3"/>
  <c r="AF44" i="3"/>
  <c r="AE44" i="3"/>
  <c r="AD44" i="3"/>
  <c r="AC44" i="3"/>
  <c r="AB44" i="3"/>
  <c r="AA44" i="3"/>
  <c r="Z44" i="3"/>
  <c r="Y44" i="3"/>
  <c r="X44" i="3"/>
  <c r="G44" i="3"/>
  <c r="F44" i="3"/>
  <c r="H44" i="3" s="1"/>
  <c r="E44" i="3"/>
  <c r="D44" i="3"/>
  <c r="AI43" i="3"/>
  <c r="Z34" i="1" s="1"/>
  <c r="AH43" i="3"/>
  <c r="AG43" i="3"/>
  <c r="AF43" i="3"/>
  <c r="AE43" i="3"/>
  <c r="AD43" i="3"/>
  <c r="AC43" i="3"/>
  <c r="AB43" i="3"/>
  <c r="AA43" i="3"/>
  <c r="Z43" i="3"/>
  <c r="Y43" i="3"/>
  <c r="X43" i="3"/>
  <c r="G43" i="3"/>
  <c r="F43" i="3"/>
  <c r="H43" i="3" s="1"/>
  <c r="E43" i="3"/>
  <c r="D43" i="3"/>
  <c r="AI42" i="3"/>
  <c r="AH42" i="3"/>
  <c r="AG42" i="3"/>
  <c r="AF42" i="3"/>
  <c r="AE42" i="3"/>
  <c r="R4" i="3" s="1"/>
  <c r="AD42" i="3"/>
  <c r="AC42" i="3"/>
  <c r="AB42" i="3"/>
  <c r="O4" i="3" s="1"/>
  <c r="AA42" i="3"/>
  <c r="Z42" i="3"/>
  <c r="Y42" i="3"/>
  <c r="X42" i="3"/>
  <c r="G42" i="3"/>
  <c r="H42" i="3" s="1"/>
  <c r="F42" i="3"/>
  <c r="E42" i="3"/>
  <c r="D42" i="3"/>
  <c r="AI41" i="3"/>
  <c r="AH41" i="3"/>
  <c r="AG41" i="3"/>
  <c r="AF41" i="3"/>
  <c r="AE41" i="3"/>
  <c r="AD41" i="3"/>
  <c r="AC41" i="3"/>
  <c r="AB41" i="3"/>
  <c r="AA41" i="3"/>
  <c r="Z41" i="3"/>
  <c r="Y41" i="3"/>
  <c r="X41" i="3"/>
  <c r="G41" i="3"/>
  <c r="F41" i="3"/>
  <c r="H41" i="3" s="1"/>
  <c r="E41" i="3"/>
  <c r="D41" i="3"/>
  <c r="AI40" i="3"/>
  <c r="AH40" i="3"/>
  <c r="AG40" i="3"/>
  <c r="AF40" i="3"/>
  <c r="AE40" i="3"/>
  <c r="AD40" i="3"/>
  <c r="AC40" i="3"/>
  <c r="AB40" i="3"/>
  <c r="AA40" i="3"/>
  <c r="Z40" i="3"/>
  <c r="Y40" i="3"/>
  <c r="X40" i="3"/>
  <c r="G40" i="3"/>
  <c r="F40" i="3"/>
  <c r="E40" i="3"/>
  <c r="D40" i="3"/>
  <c r="AI39" i="3"/>
  <c r="AH39" i="3"/>
  <c r="AG39" i="3"/>
  <c r="AF39" i="3"/>
  <c r="AE39" i="3"/>
  <c r="AD39" i="3"/>
  <c r="AC39" i="3"/>
  <c r="AB39" i="3"/>
  <c r="AA39" i="3"/>
  <c r="Z39" i="3"/>
  <c r="Y39" i="3"/>
  <c r="X39" i="3"/>
  <c r="G39" i="3"/>
  <c r="F39" i="3"/>
  <c r="H39" i="3" s="1"/>
  <c r="E39" i="3"/>
  <c r="D39" i="3"/>
  <c r="AI38" i="3"/>
  <c r="AH38" i="3"/>
  <c r="AG38" i="3"/>
  <c r="AF38" i="3"/>
  <c r="AE38" i="3"/>
  <c r="AD38" i="3"/>
  <c r="AC38" i="3"/>
  <c r="AB38" i="3"/>
  <c r="AA38" i="3"/>
  <c r="Z38" i="3"/>
  <c r="Y38" i="3"/>
  <c r="X38" i="3"/>
  <c r="I38" i="3"/>
  <c r="G38" i="3"/>
  <c r="F38" i="3"/>
  <c r="H38" i="3" s="1"/>
  <c r="E38" i="3"/>
  <c r="D38" i="3"/>
  <c r="AI37" i="3"/>
  <c r="AH37" i="3"/>
  <c r="AG37" i="3"/>
  <c r="AF37" i="3"/>
  <c r="AE37" i="3"/>
  <c r="AD37" i="3"/>
  <c r="AC37" i="3"/>
  <c r="AB37" i="3"/>
  <c r="AA37" i="3"/>
  <c r="Z37" i="3"/>
  <c r="Y37" i="3"/>
  <c r="X37" i="3"/>
  <c r="G37" i="3"/>
  <c r="F37" i="3"/>
  <c r="H37" i="3" s="1"/>
  <c r="E37" i="3"/>
  <c r="D37" i="3"/>
  <c r="AI36" i="3"/>
  <c r="AH36" i="3"/>
  <c r="AG36" i="3"/>
  <c r="AF36" i="3"/>
  <c r="AE36" i="3"/>
  <c r="AD36" i="3"/>
  <c r="AC36" i="3"/>
  <c r="AB36" i="3"/>
  <c r="AA36" i="3"/>
  <c r="Z36" i="3"/>
  <c r="Y36" i="3"/>
  <c r="X36" i="3"/>
  <c r="I36" i="3"/>
  <c r="G36" i="3"/>
  <c r="F36" i="3"/>
  <c r="E36" i="3"/>
  <c r="D36" i="3"/>
  <c r="AI35" i="3"/>
  <c r="AH35" i="3"/>
  <c r="AG35" i="3"/>
  <c r="AF35" i="3"/>
  <c r="AE35" i="3"/>
  <c r="AD35" i="3"/>
  <c r="AC35" i="3"/>
  <c r="AB35" i="3"/>
  <c r="AA35" i="3"/>
  <c r="Z35" i="3"/>
  <c r="Y35" i="3"/>
  <c r="X35" i="3"/>
  <c r="G35" i="3"/>
  <c r="F35" i="3"/>
  <c r="H35" i="3" s="1"/>
  <c r="E35" i="3"/>
  <c r="D35" i="3"/>
  <c r="AI34" i="3"/>
  <c r="AH34" i="3"/>
  <c r="AG34" i="3"/>
  <c r="AF34" i="3"/>
  <c r="AE34" i="3"/>
  <c r="AD34" i="3"/>
  <c r="AC34" i="3"/>
  <c r="AB34" i="3"/>
  <c r="AA34" i="3"/>
  <c r="Z34" i="3"/>
  <c r="Y34" i="3"/>
  <c r="X34" i="3"/>
  <c r="G34" i="3"/>
  <c r="F34" i="3"/>
  <c r="H34" i="3" s="1"/>
  <c r="E34" i="3"/>
  <c r="D34" i="3"/>
  <c r="AI33" i="3"/>
  <c r="Z24" i="1" s="1"/>
  <c r="AH33" i="3"/>
  <c r="AG33" i="3"/>
  <c r="AF33" i="3"/>
  <c r="AE33" i="3"/>
  <c r="AD33" i="3"/>
  <c r="AC33" i="3"/>
  <c r="AB33" i="3"/>
  <c r="AA33" i="3"/>
  <c r="Z33" i="3"/>
  <c r="Y33" i="3"/>
  <c r="X33" i="3"/>
  <c r="G33" i="3"/>
  <c r="F33" i="3"/>
  <c r="H33" i="3" s="1"/>
  <c r="E33" i="3"/>
  <c r="D33" i="3"/>
  <c r="AI32" i="3"/>
  <c r="AH32" i="3"/>
  <c r="AG32" i="3"/>
  <c r="AF32" i="3"/>
  <c r="AE32" i="3"/>
  <c r="AD32" i="3"/>
  <c r="AC32" i="3"/>
  <c r="AB32" i="3"/>
  <c r="AA32" i="3"/>
  <c r="Z32" i="3"/>
  <c r="Y32" i="3"/>
  <c r="X32" i="3"/>
  <c r="G32" i="3"/>
  <c r="F32" i="3"/>
  <c r="H32" i="3" s="1"/>
  <c r="E32" i="3"/>
  <c r="D32" i="3"/>
  <c r="AI31" i="3"/>
  <c r="AH31" i="3"/>
  <c r="AG31" i="3"/>
  <c r="AF31" i="3"/>
  <c r="AE31" i="3"/>
  <c r="AD31" i="3"/>
  <c r="AC31" i="3"/>
  <c r="AB31" i="3"/>
  <c r="AA31" i="3"/>
  <c r="Z31" i="3"/>
  <c r="Y31" i="3"/>
  <c r="X31" i="3"/>
  <c r="G31" i="3"/>
  <c r="F31" i="3"/>
  <c r="H31" i="3" s="1"/>
  <c r="E31" i="3"/>
  <c r="D31" i="3"/>
  <c r="AI30" i="3"/>
  <c r="AH30" i="3"/>
  <c r="AG30" i="3"/>
  <c r="AF30" i="3"/>
  <c r="AE30" i="3"/>
  <c r="AD30" i="3"/>
  <c r="AC30" i="3"/>
  <c r="AB30" i="3"/>
  <c r="AA30" i="3"/>
  <c r="Z30" i="3"/>
  <c r="Y30" i="3"/>
  <c r="X30" i="3"/>
  <c r="I30" i="3"/>
  <c r="H30" i="3"/>
  <c r="G30" i="3"/>
  <c r="F30" i="3"/>
  <c r="E30" i="3"/>
  <c r="D30" i="3"/>
  <c r="AI29" i="3"/>
  <c r="AH29" i="3"/>
  <c r="AG29" i="3"/>
  <c r="AF29" i="3"/>
  <c r="AE29" i="3"/>
  <c r="AD29" i="3"/>
  <c r="AC29" i="3"/>
  <c r="AB29" i="3"/>
  <c r="AA29" i="3"/>
  <c r="Z29" i="3"/>
  <c r="Y29" i="3"/>
  <c r="X29" i="3"/>
  <c r="G29" i="3"/>
  <c r="F29" i="3"/>
  <c r="H29" i="3" s="1"/>
  <c r="E29" i="3"/>
  <c r="D29" i="3"/>
  <c r="AI28" i="3"/>
  <c r="AH28" i="3"/>
  <c r="AG28" i="3"/>
  <c r="AF28" i="3"/>
  <c r="AE28" i="3"/>
  <c r="AD28" i="3"/>
  <c r="AC28" i="3"/>
  <c r="AB28" i="3"/>
  <c r="AA28" i="3"/>
  <c r="Z28" i="3"/>
  <c r="Y28" i="3"/>
  <c r="X28" i="3"/>
  <c r="G28" i="3"/>
  <c r="F28" i="3"/>
  <c r="E28" i="3"/>
  <c r="D28" i="3"/>
  <c r="AI27" i="3"/>
  <c r="AH27" i="3"/>
  <c r="AG27" i="3"/>
  <c r="AF27" i="3"/>
  <c r="AE27" i="3"/>
  <c r="AD27" i="3"/>
  <c r="AC27" i="3"/>
  <c r="AB27" i="3"/>
  <c r="AA27" i="3"/>
  <c r="Z27" i="3"/>
  <c r="Y27" i="3"/>
  <c r="X27" i="3"/>
  <c r="G27" i="3"/>
  <c r="F27" i="3"/>
  <c r="H27" i="3" s="1"/>
  <c r="E27" i="3"/>
  <c r="D27" i="3"/>
  <c r="AI26" i="3"/>
  <c r="Z17" i="1" s="1"/>
  <c r="AH26" i="3"/>
  <c r="AG26" i="3"/>
  <c r="AF26" i="3"/>
  <c r="AE26" i="3"/>
  <c r="AD26" i="3"/>
  <c r="AC26" i="3"/>
  <c r="AB26" i="3"/>
  <c r="AA26" i="3"/>
  <c r="Z26" i="3"/>
  <c r="Y26" i="3"/>
  <c r="X26" i="3"/>
  <c r="G26" i="3"/>
  <c r="F26" i="3"/>
  <c r="E26" i="3"/>
  <c r="D26" i="3"/>
  <c r="AI25" i="3"/>
  <c r="AH25" i="3"/>
  <c r="AG25" i="3"/>
  <c r="AF25" i="3"/>
  <c r="AE25" i="3"/>
  <c r="AD25" i="3"/>
  <c r="AC25" i="3"/>
  <c r="AB25" i="3"/>
  <c r="AA25" i="3"/>
  <c r="Z25" i="3"/>
  <c r="Y25" i="3"/>
  <c r="X25" i="3"/>
  <c r="G25" i="3"/>
  <c r="F25" i="3"/>
  <c r="H25" i="3" s="1"/>
  <c r="E25" i="3"/>
  <c r="D25" i="3"/>
  <c r="AI24" i="3"/>
  <c r="AH24" i="3"/>
  <c r="AG24" i="3"/>
  <c r="AF24" i="3"/>
  <c r="AE24" i="3"/>
  <c r="AD24" i="3"/>
  <c r="AC24" i="3"/>
  <c r="AB24" i="3"/>
  <c r="AA24" i="3"/>
  <c r="Z24" i="3"/>
  <c r="Y24" i="3"/>
  <c r="X24" i="3"/>
  <c r="G24" i="3"/>
  <c r="F24" i="3"/>
  <c r="E24" i="3"/>
  <c r="D24" i="3"/>
  <c r="AI23" i="3"/>
  <c r="AH23" i="3"/>
  <c r="AG23" i="3"/>
  <c r="AF23" i="3"/>
  <c r="AE23" i="3"/>
  <c r="AD23" i="3"/>
  <c r="AC23" i="3"/>
  <c r="AB23" i="3"/>
  <c r="AA23" i="3"/>
  <c r="Z23" i="3"/>
  <c r="Y23" i="3"/>
  <c r="X23" i="3"/>
  <c r="G23" i="3"/>
  <c r="F23" i="3"/>
  <c r="H23" i="3" s="1"/>
  <c r="E23" i="3"/>
  <c r="D23" i="3"/>
  <c r="AI22" i="3"/>
  <c r="AH22" i="3"/>
  <c r="AG22" i="3"/>
  <c r="AF22" i="3"/>
  <c r="AE22" i="3"/>
  <c r="AD22" i="3"/>
  <c r="AC22" i="3"/>
  <c r="AB22" i="3"/>
  <c r="AA22" i="3"/>
  <c r="Z22" i="3"/>
  <c r="Y22" i="3"/>
  <c r="X22" i="3"/>
  <c r="I22" i="3"/>
  <c r="G22" i="3"/>
  <c r="F22" i="3"/>
  <c r="H22" i="3" s="1"/>
  <c r="E22" i="3"/>
  <c r="D22" i="3"/>
  <c r="AI21" i="3"/>
  <c r="AH21" i="3"/>
  <c r="AG21" i="3"/>
  <c r="AF21" i="3"/>
  <c r="AE21" i="3"/>
  <c r="AD21" i="3"/>
  <c r="AC21" i="3"/>
  <c r="AB21" i="3"/>
  <c r="AA21" i="3"/>
  <c r="Z21" i="3"/>
  <c r="Y21" i="3"/>
  <c r="X21" i="3"/>
  <c r="G21" i="3"/>
  <c r="F21" i="3"/>
  <c r="H21" i="3" s="1"/>
  <c r="E21" i="3"/>
  <c r="D21" i="3"/>
  <c r="AI20" i="3"/>
  <c r="AH20" i="3"/>
  <c r="AG20" i="3"/>
  <c r="AF20" i="3"/>
  <c r="AE20" i="3"/>
  <c r="AD20" i="3"/>
  <c r="AC20" i="3"/>
  <c r="AB20" i="3"/>
  <c r="AA20" i="3"/>
  <c r="Z20" i="3"/>
  <c r="Y20" i="3"/>
  <c r="X20" i="3"/>
  <c r="I20" i="3"/>
  <c r="G20" i="3"/>
  <c r="F20" i="3"/>
  <c r="H20" i="3" s="1"/>
  <c r="E20" i="3"/>
  <c r="D20" i="3"/>
  <c r="AI19" i="3"/>
  <c r="AH19" i="3"/>
  <c r="AG19" i="3"/>
  <c r="AF19" i="3"/>
  <c r="AE19" i="3"/>
  <c r="AD19" i="3"/>
  <c r="AC19" i="3"/>
  <c r="AB19" i="3"/>
  <c r="AA19" i="3"/>
  <c r="Z19" i="3"/>
  <c r="Y19" i="3"/>
  <c r="X19" i="3"/>
  <c r="G19" i="3"/>
  <c r="F19" i="3"/>
  <c r="E19" i="3"/>
  <c r="D19" i="3"/>
  <c r="AI18" i="3"/>
  <c r="AH18" i="3"/>
  <c r="AG18" i="3"/>
  <c r="AF18" i="3"/>
  <c r="AE18" i="3"/>
  <c r="AD18" i="3"/>
  <c r="AC18" i="3"/>
  <c r="AB18" i="3"/>
  <c r="AA18" i="3"/>
  <c r="Z18" i="3"/>
  <c r="Y18" i="3"/>
  <c r="X18" i="3"/>
  <c r="I18" i="3"/>
  <c r="G18" i="3"/>
  <c r="F18" i="3"/>
  <c r="H18" i="3" s="1"/>
  <c r="E18" i="3"/>
  <c r="D18" i="3"/>
  <c r="AI17" i="3"/>
  <c r="AH17" i="3"/>
  <c r="AG17" i="3"/>
  <c r="AF17" i="3"/>
  <c r="AE17" i="3"/>
  <c r="AD17" i="3"/>
  <c r="AC17" i="3"/>
  <c r="AB17" i="3"/>
  <c r="AA17" i="3"/>
  <c r="Z17" i="3"/>
  <c r="Y17" i="3"/>
  <c r="X17" i="3"/>
  <c r="G17" i="3"/>
  <c r="F17" i="3"/>
  <c r="H17" i="3" s="1"/>
  <c r="E17" i="3"/>
  <c r="D17" i="3"/>
  <c r="AI16" i="3"/>
  <c r="AH16" i="3"/>
  <c r="AG16" i="3"/>
  <c r="AF16" i="3"/>
  <c r="AE16" i="3"/>
  <c r="AD16" i="3"/>
  <c r="AC16" i="3"/>
  <c r="AB16" i="3"/>
  <c r="AA16" i="3"/>
  <c r="Z16" i="3"/>
  <c r="Y16" i="3"/>
  <c r="X16" i="3"/>
  <c r="I16" i="3"/>
  <c r="G16" i="3"/>
  <c r="F16" i="3"/>
  <c r="H16" i="3" s="1"/>
  <c r="E16" i="3"/>
  <c r="D16" i="3"/>
  <c r="AI15" i="3"/>
  <c r="AH15" i="3"/>
  <c r="AG15" i="3"/>
  <c r="AF15" i="3"/>
  <c r="AE15" i="3"/>
  <c r="AD15" i="3"/>
  <c r="AC15" i="3"/>
  <c r="AB15" i="3"/>
  <c r="AA15" i="3"/>
  <c r="Z15" i="3"/>
  <c r="Y15" i="3"/>
  <c r="X15" i="3"/>
  <c r="G15" i="3"/>
  <c r="F15" i="3"/>
  <c r="H15" i="3" s="1"/>
  <c r="E15" i="3"/>
  <c r="D15" i="3"/>
  <c r="AI14" i="3"/>
  <c r="AH14" i="3"/>
  <c r="AG14" i="3"/>
  <c r="AF14" i="3"/>
  <c r="AE14" i="3"/>
  <c r="AD14" i="3"/>
  <c r="AC14" i="3"/>
  <c r="AB14" i="3"/>
  <c r="AA14" i="3"/>
  <c r="Z14" i="3"/>
  <c r="Y14" i="3"/>
  <c r="X14" i="3"/>
  <c r="G14" i="3"/>
  <c r="F14" i="3"/>
  <c r="H14" i="3" s="1"/>
  <c r="E14" i="3"/>
  <c r="D14" i="3"/>
  <c r="AI13" i="3"/>
  <c r="AH13" i="3"/>
  <c r="AG13" i="3"/>
  <c r="AF13" i="3"/>
  <c r="AE13" i="3"/>
  <c r="AD13" i="3"/>
  <c r="AC13" i="3"/>
  <c r="AB13" i="3"/>
  <c r="AA13" i="3"/>
  <c r="Z13" i="3"/>
  <c r="Y13" i="3"/>
  <c r="X13" i="3"/>
  <c r="G13" i="3"/>
  <c r="F13" i="3"/>
  <c r="E13" i="3"/>
  <c r="D13" i="3"/>
  <c r="AI12" i="3"/>
  <c r="AH12" i="3"/>
  <c r="AG12" i="3"/>
  <c r="AF12" i="3"/>
  <c r="AE12" i="3"/>
  <c r="AD12" i="3"/>
  <c r="AC12" i="3"/>
  <c r="AB12" i="3"/>
  <c r="AA12" i="3"/>
  <c r="Z12" i="3"/>
  <c r="Y12" i="3"/>
  <c r="X12" i="3"/>
  <c r="I12" i="3"/>
  <c r="G12" i="3"/>
  <c r="F12" i="3"/>
  <c r="O6" i="3" s="1"/>
  <c r="E12" i="3"/>
  <c r="D12" i="3"/>
  <c r="V3" i="3"/>
  <c r="U3" i="3"/>
  <c r="T3" i="3"/>
  <c r="S3" i="3"/>
  <c r="R3" i="3"/>
  <c r="Q3" i="3"/>
  <c r="P3" i="3"/>
  <c r="O3" i="3"/>
  <c r="N3" i="3"/>
  <c r="M3" i="3"/>
  <c r="L3" i="3"/>
  <c r="K3" i="3"/>
  <c r="U2" i="3"/>
  <c r="T2" i="3"/>
  <c r="V1" i="3"/>
  <c r="U1" i="3"/>
  <c r="T1" i="3"/>
  <c r="S1" i="3"/>
  <c r="R1" i="3"/>
  <c r="Q1" i="3"/>
  <c r="P1" i="3"/>
  <c r="O1" i="3"/>
  <c r="N1" i="3"/>
  <c r="M1" i="3"/>
  <c r="L1" i="3"/>
  <c r="K1" i="3"/>
  <c r="G63" i="1"/>
  <c r="G60" i="1"/>
  <c r="G59" i="1"/>
  <c r="G56" i="1"/>
  <c r="G53" i="1"/>
  <c r="G50" i="1"/>
  <c r="G48" i="1"/>
  <c r="G47" i="1"/>
  <c r="I55" i="5"/>
  <c r="G45" i="1"/>
  <c r="I54" i="4"/>
  <c r="I54" i="3"/>
  <c r="G44" i="1"/>
  <c r="I53" i="4"/>
  <c r="I53" i="3"/>
  <c r="I52" i="4"/>
  <c r="G42" i="1"/>
  <c r="I51" i="3"/>
  <c r="I50" i="4"/>
  <c r="I50" i="3"/>
  <c r="G40" i="1"/>
  <c r="I49" i="3"/>
  <c r="I48" i="4"/>
  <c r="I48" i="3"/>
  <c r="I47" i="4"/>
  <c r="I47" i="3"/>
  <c r="I46" i="4"/>
  <c r="G36" i="1"/>
  <c r="I45" i="4"/>
  <c r="I45" i="3"/>
  <c r="I44" i="4"/>
  <c r="I44" i="3"/>
  <c r="I43" i="3"/>
  <c r="G33" i="1"/>
  <c r="I42" i="3"/>
  <c r="G32" i="1"/>
  <c r="I41" i="5"/>
  <c r="I41" i="4"/>
  <c r="I41" i="3"/>
  <c r="I40" i="3"/>
  <c r="I39" i="5"/>
  <c r="I39" i="3"/>
  <c r="G29" i="1"/>
  <c r="I37" i="4"/>
  <c r="I37" i="3"/>
  <c r="I36" i="4"/>
  <c r="G26" i="1"/>
  <c r="I35" i="4"/>
  <c r="I35" i="3"/>
  <c r="G25" i="1"/>
  <c r="I34" i="3"/>
  <c r="G24" i="1"/>
  <c r="I33" i="5"/>
  <c r="I33" i="4"/>
  <c r="I33" i="3"/>
  <c r="I32" i="3"/>
  <c r="I31" i="5"/>
  <c r="I31" i="4"/>
  <c r="I31" i="3"/>
  <c r="I29" i="5"/>
  <c r="I29" i="4"/>
  <c r="I29" i="3"/>
  <c r="G19" i="1"/>
  <c r="I28" i="3"/>
  <c r="I27" i="5"/>
  <c r="I27" i="4"/>
  <c r="I27" i="3"/>
  <c r="I26" i="4"/>
  <c r="I26" i="3"/>
  <c r="I25" i="5"/>
  <c r="I25" i="4"/>
  <c r="I25" i="3"/>
  <c r="G15" i="1"/>
  <c r="I24" i="3"/>
  <c r="I23" i="5"/>
  <c r="I23" i="4"/>
  <c r="I23" i="3"/>
  <c r="I22" i="4"/>
  <c r="I21" i="4"/>
  <c r="I21" i="3"/>
  <c r="G11" i="1"/>
  <c r="I20" i="4"/>
  <c r="I19" i="4"/>
  <c r="I19" i="3"/>
  <c r="G9" i="1"/>
  <c r="I18" i="4"/>
  <c r="I17" i="5"/>
  <c r="I17" i="4"/>
  <c r="I17" i="3"/>
  <c r="G7" i="1"/>
  <c r="I15" i="5"/>
  <c r="I15" i="3"/>
  <c r="G5" i="1"/>
  <c r="I14" i="4"/>
  <c r="I14" i="3"/>
  <c r="I13" i="4"/>
  <c r="I13" i="3"/>
  <c r="I12" i="4"/>
  <c r="AD66" i="1"/>
  <c r="AB66" i="1"/>
  <c r="AA66" i="1"/>
  <c r="Z66" i="1"/>
  <c r="O24" i="12"/>
  <c r="H66" i="1"/>
  <c r="G66" i="1"/>
  <c r="E66" i="1"/>
  <c r="D66" i="1"/>
  <c r="D24" i="12" s="1"/>
  <c r="AD65" i="1"/>
  <c r="AB65" i="1"/>
  <c r="AA65" i="1"/>
  <c r="Z65" i="1"/>
  <c r="H65" i="1"/>
  <c r="G65" i="1"/>
  <c r="E65" i="1"/>
  <c r="D65" i="1"/>
  <c r="AD64" i="1"/>
  <c r="AB64" i="1"/>
  <c r="AA64" i="1"/>
  <c r="Z64" i="1"/>
  <c r="H64" i="1"/>
  <c r="F64" i="1" s="1"/>
  <c r="H13" i="9" s="1"/>
  <c r="G64" i="1"/>
  <c r="E64" i="1"/>
  <c r="D64" i="1"/>
  <c r="D13" i="9" s="1"/>
  <c r="AD63" i="1"/>
  <c r="AB63" i="1"/>
  <c r="AA63" i="1"/>
  <c r="Z63" i="1"/>
  <c r="H63" i="1"/>
  <c r="E63" i="1"/>
  <c r="D63" i="1"/>
  <c r="D19" i="13" s="1"/>
  <c r="AD62" i="1"/>
  <c r="AB62" i="1"/>
  <c r="AA62" i="1"/>
  <c r="Z62" i="1"/>
  <c r="O12" i="11"/>
  <c r="H62" i="1"/>
  <c r="G62" i="1"/>
  <c r="E62" i="1"/>
  <c r="D62" i="1"/>
  <c r="AD61" i="1"/>
  <c r="AB61" i="1"/>
  <c r="AA61" i="1"/>
  <c r="Z61" i="1"/>
  <c r="H61" i="1"/>
  <c r="G61" i="1"/>
  <c r="E61" i="1"/>
  <c r="D61" i="1"/>
  <c r="AD60" i="1"/>
  <c r="AB60" i="1"/>
  <c r="AA60" i="1"/>
  <c r="Z60" i="1"/>
  <c r="H60" i="1"/>
  <c r="E60" i="1"/>
  <c r="D60" i="1"/>
  <c r="D22" i="12" s="1"/>
  <c r="AD59" i="1"/>
  <c r="AB59" i="1"/>
  <c r="AA59" i="1"/>
  <c r="Z59" i="1"/>
  <c r="H59" i="1"/>
  <c r="E59" i="1"/>
  <c r="D59" i="1"/>
  <c r="D21" i="12" s="1"/>
  <c r="AD58" i="1"/>
  <c r="AB58" i="1"/>
  <c r="AA58" i="1"/>
  <c r="Z58" i="1"/>
  <c r="O20" i="12"/>
  <c r="H58" i="1"/>
  <c r="G58" i="1"/>
  <c r="E58" i="1"/>
  <c r="D58" i="1"/>
  <c r="AD57" i="1"/>
  <c r="AB57" i="1"/>
  <c r="AA57" i="1"/>
  <c r="Z57" i="1"/>
  <c r="O12" i="9"/>
  <c r="H57" i="1"/>
  <c r="F57" i="1" s="1"/>
  <c r="H12" i="9" s="1"/>
  <c r="G57" i="1"/>
  <c r="E57" i="1"/>
  <c r="D57" i="1"/>
  <c r="D12" i="9" s="1"/>
  <c r="AD56" i="1"/>
  <c r="AB56" i="1"/>
  <c r="AA56" i="1"/>
  <c r="Z56" i="1"/>
  <c r="H56" i="1"/>
  <c r="E56" i="1"/>
  <c r="D56" i="1"/>
  <c r="D18" i="13" s="1"/>
  <c r="AD55" i="1"/>
  <c r="AB55" i="1"/>
  <c r="AA55" i="1"/>
  <c r="Z55" i="1"/>
  <c r="H55" i="1"/>
  <c r="F55" i="1" s="1"/>
  <c r="H11" i="9" s="1"/>
  <c r="G55" i="1"/>
  <c r="E55" i="1"/>
  <c r="D55" i="1"/>
  <c r="D11" i="9" s="1"/>
  <c r="AD54" i="1"/>
  <c r="AB54" i="1"/>
  <c r="AA54" i="1"/>
  <c r="Z54" i="1"/>
  <c r="H54" i="1"/>
  <c r="G54" i="1"/>
  <c r="E54" i="1"/>
  <c r="D54" i="1"/>
  <c r="AB53" i="1"/>
  <c r="AA53" i="1"/>
  <c r="Z53" i="1"/>
  <c r="H53" i="1"/>
  <c r="F53" i="1" s="1"/>
  <c r="E53" i="1"/>
  <c r="D53" i="1"/>
  <c r="AB52" i="1"/>
  <c r="AA52" i="1"/>
  <c r="Z52" i="1"/>
  <c r="H52" i="1"/>
  <c r="F52" i="1" s="1"/>
  <c r="H14" i="12" s="1"/>
  <c r="G52" i="1"/>
  <c r="E52" i="1"/>
  <c r="D52" i="1"/>
  <c r="AB51" i="1"/>
  <c r="AA51" i="1"/>
  <c r="Z51" i="1"/>
  <c r="H51" i="1"/>
  <c r="F51" i="1" s="1"/>
  <c r="H18" i="15" s="1"/>
  <c r="G51" i="1"/>
  <c r="E51" i="1"/>
  <c r="D51" i="1"/>
  <c r="AB50" i="1"/>
  <c r="AA50" i="1"/>
  <c r="Z50" i="1"/>
  <c r="H50" i="1"/>
  <c r="F50" i="1" s="1"/>
  <c r="E50" i="1"/>
  <c r="D50" i="1"/>
  <c r="AB49" i="1"/>
  <c r="AA49" i="1"/>
  <c r="H49" i="1"/>
  <c r="F49" i="1" s="1"/>
  <c r="G49" i="1"/>
  <c r="E49" i="1"/>
  <c r="D49" i="1"/>
  <c r="AB48" i="1"/>
  <c r="AA48" i="1"/>
  <c r="Z48" i="1"/>
  <c r="H48" i="1"/>
  <c r="F48" i="1" s="1"/>
  <c r="E48" i="1"/>
  <c r="D48" i="1"/>
  <c r="AB47" i="1"/>
  <c r="Z47" i="1"/>
  <c r="O17" i="15"/>
  <c r="H47" i="1"/>
  <c r="F47" i="1" s="1"/>
  <c r="H13" i="12" s="1"/>
  <c r="E47" i="1"/>
  <c r="D47" i="1"/>
  <c r="D13" i="12" s="1"/>
  <c r="AB46" i="1"/>
  <c r="Z46" i="1"/>
  <c r="H46" i="1"/>
  <c r="F46" i="1" s="1"/>
  <c r="G46" i="1"/>
  <c r="E46" i="1"/>
  <c r="D46" i="1"/>
  <c r="AD45" i="1"/>
  <c r="AB45" i="1"/>
  <c r="AA45" i="1"/>
  <c r="Z45" i="1"/>
  <c r="O5" i="11"/>
  <c r="H45" i="1"/>
  <c r="F45" i="1" s="1"/>
  <c r="E45" i="1"/>
  <c r="D45" i="1"/>
  <c r="AB44" i="1"/>
  <c r="AA44" i="1"/>
  <c r="Z44" i="1"/>
  <c r="O6" i="9"/>
  <c r="H44" i="1"/>
  <c r="F44" i="1" s="1"/>
  <c r="H6" i="9" s="1"/>
  <c r="E44" i="1"/>
  <c r="D44" i="1"/>
  <c r="D6" i="9" s="1"/>
  <c r="AB43" i="1"/>
  <c r="AA43" i="1"/>
  <c r="Z43" i="1"/>
  <c r="H43" i="1"/>
  <c r="F43" i="1" s="1"/>
  <c r="H12" i="13" s="1"/>
  <c r="G43" i="1"/>
  <c r="E43" i="1"/>
  <c r="D43" i="1"/>
  <c r="D12" i="13" s="1"/>
  <c r="AB42" i="1"/>
  <c r="AA42" i="1"/>
  <c r="Z42" i="1"/>
  <c r="O11" i="12"/>
  <c r="H42" i="1"/>
  <c r="F42" i="1" s="1"/>
  <c r="H11" i="12" s="1"/>
  <c r="E42" i="1"/>
  <c r="D42" i="1"/>
  <c r="D11" i="12" s="1"/>
  <c r="AB41" i="1"/>
  <c r="AA41" i="1"/>
  <c r="Z41" i="1"/>
  <c r="H41" i="1"/>
  <c r="G41" i="1"/>
  <c r="E41" i="1"/>
  <c r="D41" i="1"/>
  <c r="D5" i="9" s="1"/>
  <c r="AA40" i="1"/>
  <c r="Z40" i="1"/>
  <c r="H40" i="1"/>
  <c r="F40" i="1" s="1"/>
  <c r="E40" i="1"/>
  <c r="D40" i="1"/>
  <c r="AA39" i="1"/>
  <c r="H39" i="1"/>
  <c r="G39" i="1"/>
  <c r="E39" i="1"/>
  <c r="D39" i="1"/>
  <c r="AB38" i="1"/>
  <c r="AA38" i="1"/>
  <c r="Z38" i="1"/>
  <c r="H38" i="1"/>
  <c r="G38" i="1"/>
  <c r="E38" i="1"/>
  <c r="D38" i="1"/>
  <c r="AB37" i="1"/>
  <c r="AA37" i="1"/>
  <c r="Z37" i="1"/>
  <c r="H37" i="1"/>
  <c r="G37" i="1"/>
  <c r="E37" i="1"/>
  <c r="D37" i="1"/>
  <c r="D17" i="15" s="1"/>
  <c r="AB36" i="1"/>
  <c r="AA36" i="1"/>
  <c r="Z36" i="1"/>
  <c r="O8" i="13"/>
  <c r="H36" i="1"/>
  <c r="F8" i="13" s="1"/>
  <c r="E36" i="1"/>
  <c r="D36" i="1"/>
  <c r="D8" i="13" s="1"/>
  <c r="AB35" i="1"/>
  <c r="AA35" i="1"/>
  <c r="H35" i="1"/>
  <c r="F35" i="1" s="1"/>
  <c r="G35" i="1"/>
  <c r="E35" i="1"/>
  <c r="D35" i="1"/>
  <c r="AB34" i="1"/>
  <c r="AA34" i="1"/>
  <c r="O6" i="12"/>
  <c r="H34" i="1"/>
  <c r="F6" i="12" s="1"/>
  <c r="G34" i="1"/>
  <c r="E34" i="1"/>
  <c r="D34" i="1"/>
  <c r="AB33" i="1"/>
  <c r="AA33" i="1"/>
  <c r="H33" i="1"/>
  <c r="F4" i="9" s="1"/>
  <c r="E33" i="1"/>
  <c r="D33" i="1"/>
  <c r="D4" i="9" s="1"/>
  <c r="AB32" i="1"/>
  <c r="AA32" i="1"/>
  <c r="Z32" i="1"/>
  <c r="H32" i="1"/>
  <c r="F10" i="12" s="1"/>
  <c r="E32" i="1"/>
  <c r="D32" i="1"/>
  <c r="D10" i="12" s="1"/>
  <c r="AB31" i="1"/>
  <c r="AA31" i="1"/>
  <c r="Z31" i="1"/>
  <c r="H31" i="1"/>
  <c r="F3" i="16" s="1"/>
  <c r="G31" i="1"/>
  <c r="E31" i="1"/>
  <c r="E3" i="16" s="1"/>
  <c r="D31" i="1"/>
  <c r="D3" i="16" s="1"/>
  <c r="AA30" i="1"/>
  <c r="Z30" i="1"/>
  <c r="H30" i="1"/>
  <c r="G30" i="1"/>
  <c r="E30" i="1"/>
  <c r="D30" i="1"/>
  <c r="AB29" i="1"/>
  <c r="AA29" i="1"/>
  <c r="Z29" i="1"/>
  <c r="H29" i="1"/>
  <c r="F15" i="15" s="1"/>
  <c r="E29" i="1"/>
  <c r="E15" i="15" s="1"/>
  <c r="D29" i="1"/>
  <c r="D15" i="15" s="1"/>
  <c r="AB28" i="1"/>
  <c r="AA28" i="1"/>
  <c r="Z28" i="1"/>
  <c r="H28" i="1"/>
  <c r="G28" i="1"/>
  <c r="E28" i="1"/>
  <c r="D28" i="1"/>
  <c r="D5" i="12" s="1"/>
  <c r="AB27" i="1"/>
  <c r="AA27" i="1"/>
  <c r="Z27" i="1"/>
  <c r="H27" i="1"/>
  <c r="F7" i="13" s="1"/>
  <c r="G27" i="1"/>
  <c r="E27" i="1"/>
  <c r="D27" i="1"/>
  <c r="D7" i="13" s="1"/>
  <c r="AB26" i="1"/>
  <c r="AA26" i="1"/>
  <c r="Z26" i="1"/>
  <c r="O14" i="15"/>
  <c r="H26" i="1"/>
  <c r="F14" i="15" s="1"/>
  <c r="E26" i="1"/>
  <c r="E14" i="15" s="1"/>
  <c r="D26" i="1"/>
  <c r="D14" i="15" s="1"/>
  <c r="AB25" i="1"/>
  <c r="AA25" i="1"/>
  <c r="Z25" i="1"/>
  <c r="H25" i="1"/>
  <c r="F4" i="12" s="1"/>
  <c r="E25" i="1"/>
  <c r="D25" i="1"/>
  <c r="D7" i="15" s="1"/>
  <c r="AA24" i="1"/>
  <c r="H24" i="1"/>
  <c r="E24" i="1"/>
  <c r="D24" i="1"/>
  <c r="AB23" i="1"/>
  <c r="AA23" i="1"/>
  <c r="Z23" i="1"/>
  <c r="H23" i="1"/>
  <c r="F13" i="15" s="1"/>
  <c r="G23" i="1"/>
  <c r="E23" i="1"/>
  <c r="E13" i="15" s="1"/>
  <c r="D23" i="1"/>
  <c r="D13" i="15" s="1"/>
  <c r="AB22" i="1"/>
  <c r="AA22" i="1"/>
  <c r="Z22" i="1"/>
  <c r="O11" i="13"/>
  <c r="H22" i="1"/>
  <c r="F11" i="13" s="1"/>
  <c r="E22" i="1"/>
  <c r="D22" i="1"/>
  <c r="D11" i="13" s="1"/>
  <c r="AB21" i="1"/>
  <c r="AA21" i="1"/>
  <c r="Z21" i="1"/>
  <c r="H21" i="1"/>
  <c r="F12" i="15" s="1"/>
  <c r="G21" i="1"/>
  <c r="E21" i="1"/>
  <c r="E12" i="15" s="1"/>
  <c r="D21" i="1"/>
  <c r="D12" i="15" s="1"/>
  <c r="AB20" i="1"/>
  <c r="X11" i="15" s="1"/>
  <c r="AA20" i="1"/>
  <c r="Z20" i="1"/>
  <c r="H20" i="1"/>
  <c r="F11" i="15" s="1"/>
  <c r="G20" i="1"/>
  <c r="E20" i="1"/>
  <c r="E11" i="15" s="1"/>
  <c r="D20" i="1"/>
  <c r="D11" i="15" s="1"/>
  <c r="AA19" i="1"/>
  <c r="Z19" i="1"/>
  <c r="O10" i="15"/>
  <c r="H19" i="1"/>
  <c r="F10" i="15" s="1"/>
  <c r="E19" i="1"/>
  <c r="E10" i="15" s="1"/>
  <c r="D19" i="1"/>
  <c r="D10" i="15" s="1"/>
  <c r="AB18" i="1"/>
  <c r="AA18" i="1"/>
  <c r="Z18" i="1"/>
  <c r="H18" i="1"/>
  <c r="F9" i="15" s="1"/>
  <c r="G18" i="1"/>
  <c r="E18" i="1"/>
  <c r="E9" i="15" s="1"/>
  <c r="D18" i="1"/>
  <c r="D9" i="15" s="1"/>
  <c r="AB17" i="1"/>
  <c r="AA17" i="1"/>
  <c r="H17" i="1"/>
  <c r="G17" i="1"/>
  <c r="E17" i="1"/>
  <c r="D17" i="1"/>
  <c r="AB16" i="1"/>
  <c r="AA16" i="1"/>
  <c r="Z16" i="1"/>
  <c r="H16" i="1"/>
  <c r="G16" i="1"/>
  <c r="E16" i="1"/>
  <c r="D16" i="1"/>
  <c r="AB15" i="1"/>
  <c r="AA15" i="1"/>
  <c r="Z15" i="1"/>
  <c r="H15" i="1"/>
  <c r="F5" i="13" s="1"/>
  <c r="E15" i="1"/>
  <c r="D15" i="1"/>
  <c r="AB14" i="1"/>
  <c r="AA14" i="1"/>
  <c r="Z14" i="1"/>
  <c r="O9" i="12"/>
  <c r="H14" i="1"/>
  <c r="F9" i="12" s="1"/>
  <c r="G14" i="1"/>
  <c r="E14" i="1"/>
  <c r="D14" i="1"/>
  <c r="D9" i="12" s="1"/>
  <c r="AB13" i="1"/>
  <c r="AA13" i="1"/>
  <c r="Z13" i="1"/>
  <c r="H13" i="1"/>
  <c r="G13" i="1"/>
  <c r="E13" i="1"/>
  <c r="D13" i="1"/>
  <c r="AB12" i="1"/>
  <c r="Z12" i="1"/>
  <c r="O3" i="12"/>
  <c r="H12" i="1"/>
  <c r="G12" i="1"/>
  <c r="E12" i="1"/>
  <c r="D12" i="1"/>
  <c r="D3" i="12" s="1"/>
  <c r="AB11" i="1"/>
  <c r="AA11" i="1"/>
  <c r="Z11" i="1"/>
  <c r="H11" i="1"/>
  <c r="F5" i="15" s="1"/>
  <c r="E11" i="1"/>
  <c r="D11" i="1"/>
  <c r="D5" i="15" s="1"/>
  <c r="Z10" i="1"/>
  <c r="O3" i="13"/>
  <c r="H10" i="1"/>
  <c r="G10" i="1"/>
  <c r="E10" i="1"/>
  <c r="D10" i="1"/>
  <c r="AA9" i="1"/>
  <c r="Z9" i="1"/>
  <c r="H9" i="1"/>
  <c r="E9" i="1"/>
  <c r="D9" i="1"/>
  <c r="AB8" i="1"/>
  <c r="X10" i="13" s="1"/>
  <c r="AA8" i="1"/>
  <c r="Z8" i="1"/>
  <c r="O10" i="13"/>
  <c r="H8" i="1"/>
  <c r="F10" i="13" s="1"/>
  <c r="E8" i="1"/>
  <c r="D8" i="1"/>
  <c r="D10" i="13" s="1"/>
  <c r="AD7" i="1"/>
  <c r="AB7" i="1"/>
  <c r="AA7" i="1"/>
  <c r="Z7" i="1"/>
  <c r="H7" i="1"/>
  <c r="F7" i="12" s="1"/>
  <c r="E7" i="1"/>
  <c r="D7" i="1"/>
  <c r="AB6" i="1"/>
  <c r="AA6" i="1"/>
  <c r="Z6" i="1"/>
  <c r="H6" i="1"/>
  <c r="G6" i="1"/>
  <c r="E6" i="1"/>
  <c r="D6" i="1"/>
  <c r="AB5" i="1"/>
  <c r="AA5" i="1"/>
  <c r="Z5" i="1"/>
  <c r="H5" i="1"/>
  <c r="E5" i="1"/>
  <c r="D5" i="1"/>
  <c r="D4" i="13" s="1"/>
  <c r="AB4" i="1"/>
  <c r="AA4" i="1"/>
  <c r="Z4" i="1"/>
  <c r="H4" i="1"/>
  <c r="F3" i="9" s="1"/>
  <c r="G4" i="1"/>
  <c r="E4" i="1"/>
  <c r="D4" i="1"/>
  <c r="AB3" i="1"/>
  <c r="AA3" i="1"/>
  <c r="Z3" i="1"/>
  <c r="H3" i="1"/>
  <c r="E3" i="1"/>
  <c r="D3" i="1"/>
  <c r="AP8" i="16" l="1"/>
  <c r="AO8" i="16"/>
  <c r="J4" i="16"/>
  <c r="AH3" i="16"/>
  <c r="AR8" i="16"/>
  <c r="AR5" i="16"/>
  <c r="AN8" i="13"/>
  <c r="AQ13" i="13"/>
  <c r="AP13" i="13"/>
  <c r="AO13" i="13"/>
  <c r="AJ20" i="13"/>
  <c r="AM13" i="13"/>
  <c r="AH20" i="13"/>
  <c r="AG20" i="13"/>
  <c r="AG23" i="13" s="1"/>
  <c r="AI12" i="13"/>
  <c r="AM19" i="13"/>
  <c r="AH12" i="13"/>
  <c r="AI4" i="13"/>
  <c r="AH7" i="13"/>
  <c r="AI7" i="13"/>
  <c r="AM5" i="13"/>
  <c r="AL13" i="13"/>
  <c r="AK13" i="13"/>
  <c r="AK19" i="13"/>
  <c r="AM10" i="13"/>
  <c r="AN13" i="13"/>
  <c r="AL19" i="13"/>
  <c r="AG12" i="13"/>
  <c r="AQ21" i="13"/>
  <c r="AJ19" i="13"/>
  <c r="AL10" i="13"/>
  <c r="AI3" i="12"/>
  <c r="AR25" i="12"/>
  <c r="AJ24" i="12"/>
  <c r="AJ27" i="12" s="1"/>
  <c r="AN22" i="12"/>
  <c r="AN27" i="12" s="1"/>
  <c r="AR20" i="12"/>
  <c r="AR27" i="12" s="1"/>
  <c r="AJ15" i="12"/>
  <c r="AJ10" i="12"/>
  <c r="AN8" i="12"/>
  <c r="AR6" i="12"/>
  <c r="AJ5" i="12"/>
  <c r="AR3" i="12"/>
  <c r="AM9" i="12"/>
  <c r="AI6" i="12"/>
  <c r="AM4" i="12"/>
  <c r="AH25" i="12"/>
  <c r="AH20" i="12"/>
  <c r="AL14" i="12"/>
  <c r="AP12" i="12"/>
  <c r="AL9" i="12"/>
  <c r="AP7" i="12"/>
  <c r="AH6" i="12"/>
  <c r="AL4" i="12"/>
  <c r="AK23" i="12"/>
  <c r="AO21" i="12"/>
  <c r="AO27" i="12" s="1"/>
  <c r="AK14" i="12"/>
  <c r="AO12" i="12"/>
  <c r="AK9" i="12"/>
  <c r="AO7" i="12"/>
  <c r="AG6" i="12"/>
  <c r="AK4" i="12"/>
  <c r="AH5" i="12"/>
  <c r="AN3" i="12"/>
  <c r="AM6" i="12"/>
  <c r="AO3" i="12"/>
  <c r="AL6" i="12"/>
  <c r="AO4" i="12"/>
  <c r="AN9" i="12"/>
  <c r="AJ9" i="12"/>
  <c r="AN7" i="12"/>
  <c r="AR5" i="12"/>
  <c r="AJ4" i="12"/>
  <c r="AJ16" i="12" s="1"/>
  <c r="AI9" i="12"/>
  <c r="AM7" i="12"/>
  <c r="AQ5" i="12"/>
  <c r="AP24" i="12"/>
  <c r="AP27" i="12" s="1"/>
  <c r="AH23" i="12"/>
  <c r="AL21" i="12"/>
  <c r="AL27" i="12" s="1"/>
  <c r="AP15" i="12"/>
  <c r="AH14" i="12"/>
  <c r="AL12" i="12"/>
  <c r="AP10" i="12"/>
  <c r="AH9" i="12"/>
  <c r="AL7" i="12"/>
  <c r="AP5" i="12"/>
  <c r="AH4" i="12"/>
  <c r="AH16" i="12" s="1"/>
  <c r="AK6" i="12"/>
  <c r="AK16" i="12" s="1"/>
  <c r="AI4" i="12"/>
  <c r="AO24" i="12"/>
  <c r="AK21" i="12"/>
  <c r="AK27" i="12" s="1"/>
  <c r="AO15" i="12"/>
  <c r="AK12" i="12"/>
  <c r="AO10" i="12"/>
  <c r="AG9" i="12"/>
  <c r="AK7" i="12"/>
  <c r="AO5" i="12"/>
  <c r="AG4" i="12"/>
  <c r="AN4" i="12"/>
  <c r="AN24" i="12"/>
  <c r="AN15" i="12"/>
  <c r="AN10" i="12"/>
  <c r="AR8" i="12"/>
  <c r="AJ7" i="12"/>
  <c r="AN5" i="12"/>
  <c r="AM3" i="12"/>
  <c r="AR9" i="12"/>
  <c r="AN6" i="12"/>
  <c r="AR4" i="12"/>
  <c r="AQ9" i="12"/>
  <c r="AQ4" i="12"/>
  <c r="AM24" i="12"/>
  <c r="AM27" i="12" s="1"/>
  <c r="AQ22" i="12"/>
  <c r="AQ27" i="12" s="1"/>
  <c r="AI21" i="12"/>
  <c r="AI27" i="12" s="1"/>
  <c r="AM15" i="12"/>
  <c r="AQ13" i="12"/>
  <c r="AI12" i="12"/>
  <c r="AM10" i="12"/>
  <c r="AQ8" i="12"/>
  <c r="AI7" i="12"/>
  <c r="AM5" i="12"/>
  <c r="AI5" i="12"/>
  <c r="AO6" i="12"/>
  <c r="Z33" i="12"/>
  <c r="AG3" i="12"/>
  <c r="AL24" i="12"/>
  <c r="AP22" i="12"/>
  <c r="AH21" i="12"/>
  <c r="AL15" i="12"/>
  <c r="AP13" i="12"/>
  <c r="AH12" i="12"/>
  <c r="AL10" i="12"/>
  <c r="AP8" i="12"/>
  <c r="AH7" i="12"/>
  <c r="AL5" i="12"/>
  <c r="AG5" i="12"/>
  <c r="AP9" i="12"/>
  <c r="AP3" i="12"/>
  <c r="AP16" i="12" s="1"/>
  <c r="AQ3" i="12"/>
  <c r="AQ16" i="12" s="1"/>
  <c r="AG19" i="11"/>
  <c r="AP19" i="11"/>
  <c r="AH19" i="11"/>
  <c r="AL19" i="11"/>
  <c r="AP7" i="11"/>
  <c r="AM16" i="11"/>
  <c r="AM19" i="11" s="1"/>
  <c r="AQ14" i="11"/>
  <c r="AI13" i="11"/>
  <c r="AI19" i="11" s="1"/>
  <c r="AM7" i="11"/>
  <c r="AQ5" i="11"/>
  <c r="AI4" i="11"/>
  <c r="AL16" i="11"/>
  <c r="AP14" i="11"/>
  <c r="AH13" i="11"/>
  <c r="AL7" i="11"/>
  <c r="AP5" i="11"/>
  <c r="AH4" i="11"/>
  <c r="AH8" i="11" s="1"/>
  <c r="AK16" i="11"/>
  <c r="AK19" i="11" s="1"/>
  <c r="AO14" i="11"/>
  <c r="AO19" i="11" s="1"/>
  <c r="AK7" i="11"/>
  <c r="AO5" i="11"/>
  <c r="AG4" i="11"/>
  <c r="AG8" i="11" s="1"/>
  <c r="AR17" i="11"/>
  <c r="AJ16" i="11"/>
  <c r="AJ19" i="11" s="1"/>
  <c r="AN14" i="11"/>
  <c r="AN19" i="11" s="1"/>
  <c r="AR12" i="11"/>
  <c r="AR19" i="11" s="1"/>
  <c r="AJ7" i="11"/>
  <c r="AJ8" i="11" s="1"/>
  <c r="AN5" i="11"/>
  <c r="AN8" i="11" s="1"/>
  <c r="AP6" i="11"/>
  <c r="AM3" i="11"/>
  <c r="AM6" i="11"/>
  <c r="AO3" i="11"/>
  <c r="AK6" i="11"/>
  <c r="AP3" i="11"/>
  <c r="AR7" i="11"/>
  <c r="AJ6" i="11"/>
  <c r="AN4" i="11"/>
  <c r="AQ3" i="11"/>
  <c r="AQ7" i="11"/>
  <c r="AI6" i="11"/>
  <c r="AI8" i="11" s="1"/>
  <c r="AM4" i="11"/>
  <c r="AR3" i="11"/>
  <c r="AH6" i="11"/>
  <c r="AL4" i="11"/>
  <c r="AL8" i="11" s="1"/>
  <c r="AO7" i="11"/>
  <c r="AG6" i="11"/>
  <c r="AK4" i="11"/>
  <c r="AK8" i="11" s="1"/>
  <c r="AN16" i="11"/>
  <c r="AR14" i="11"/>
  <c r="AN7" i="11"/>
  <c r="AJ4" i="11"/>
  <c r="AQ17" i="11"/>
  <c r="AI16" i="11"/>
  <c r="AM14" i="11"/>
  <c r="AQ12" i="11"/>
  <c r="AI7" i="11"/>
  <c r="AM5" i="11"/>
  <c r="AG7" i="11"/>
  <c r="AQ6" i="11"/>
  <c r="AO6" i="11"/>
  <c r="AN6" i="11"/>
  <c r="AP4" i="11"/>
  <c r="AR5" i="11"/>
  <c r="AG7" i="9"/>
  <c r="AR7" i="9"/>
  <c r="R6" i="17"/>
  <c r="AH6" i="17"/>
  <c r="AK22" i="9"/>
  <c r="AL22" i="9"/>
  <c r="AP3" i="9"/>
  <c r="AO3" i="9"/>
  <c r="AO7" i="9" s="1"/>
  <c r="AR5" i="9"/>
  <c r="AK11" i="9"/>
  <c r="AK16" i="9" s="1"/>
  <c r="AM3" i="9"/>
  <c r="AM7" i="9" s="1"/>
  <c r="AP5" i="9"/>
  <c r="AH4" i="9"/>
  <c r="AH7" i="9" s="1"/>
  <c r="AM11" i="9"/>
  <c r="AM16" i="9" s="1"/>
  <c r="AI13" i="9"/>
  <c r="AI16" i="9" s="1"/>
  <c r="AG6" i="17" s="1"/>
  <c r="AQ22" i="9"/>
  <c r="AL3" i="9"/>
  <c r="AL7" i="9" s="1"/>
  <c r="AO5" i="9"/>
  <c r="AG4" i="9"/>
  <c r="AN11" i="9"/>
  <c r="AN16" i="9" s="1"/>
  <c r="AJ13" i="9"/>
  <c r="AJ16" i="9" s="1"/>
  <c r="AR22" i="9"/>
  <c r="AQ5" i="9"/>
  <c r="AK3" i="9"/>
  <c r="AK7" i="9" s="1"/>
  <c r="AN5" i="9"/>
  <c r="AO11" i="9"/>
  <c r="AO16" i="9" s="1"/>
  <c r="AK13" i="9"/>
  <c r="Z22" i="9"/>
  <c r="AQ3" i="9"/>
  <c r="AN3" i="9"/>
  <c r="AL11" i="9"/>
  <c r="AL16" i="9" s="1"/>
  <c r="AL23" i="13"/>
  <c r="AM3" i="13"/>
  <c r="AI13" i="13"/>
  <c r="AM11" i="13"/>
  <c r="AQ9" i="13"/>
  <c r="AI8" i="13"/>
  <c r="AM6" i="13"/>
  <c r="AN3" i="13"/>
  <c r="AH13" i="13"/>
  <c r="AL11" i="13"/>
  <c r="AP9" i="13"/>
  <c r="AH8" i="13"/>
  <c r="AL6" i="13"/>
  <c r="AO3" i="13"/>
  <c r="AO18" i="13"/>
  <c r="AG13" i="13"/>
  <c r="AK11" i="13"/>
  <c r="AO9" i="13"/>
  <c r="AG8" i="13"/>
  <c r="AK6" i="13"/>
  <c r="J20" i="13"/>
  <c r="Z20" i="13" s="1"/>
  <c r="AC20" i="13" s="1"/>
  <c r="AP3" i="13"/>
  <c r="AR21" i="13"/>
  <c r="AN18" i="13"/>
  <c r="AN23" i="13" s="1"/>
  <c r="AR12" i="13"/>
  <c r="AJ11" i="13"/>
  <c r="AN9" i="13"/>
  <c r="AR7" i="13"/>
  <c r="AJ6" i="13"/>
  <c r="AM21" i="13"/>
  <c r="AM23" i="13" s="1"/>
  <c r="AQ19" i="13"/>
  <c r="AQ23" i="13" s="1"/>
  <c r="AI18" i="13"/>
  <c r="AI23" i="13" s="1"/>
  <c r="AM12" i="13"/>
  <c r="AQ10" i="13"/>
  <c r="AI9" i="13"/>
  <c r="AM7" i="13"/>
  <c r="AQ5" i="13"/>
  <c r="AJ5" i="13"/>
  <c r="AL21" i="13"/>
  <c r="AP19" i="13"/>
  <c r="AP23" i="13" s="1"/>
  <c r="AH18" i="13"/>
  <c r="AH23" i="13" s="1"/>
  <c r="AL12" i="13"/>
  <c r="AP10" i="13"/>
  <c r="AH9" i="13"/>
  <c r="AL7" i="13"/>
  <c r="AP5" i="13"/>
  <c r="AL5" i="13"/>
  <c r="AG3" i="13"/>
  <c r="AG7" i="13"/>
  <c r="AK5" i="13"/>
  <c r="AJ13" i="13"/>
  <c r="AR9" i="13"/>
  <c r="AR3" i="13"/>
  <c r="AP12" i="13"/>
  <c r="AH11" i="13"/>
  <c r="AL9" i="13"/>
  <c r="AP7" i="13"/>
  <c r="AH6" i="13"/>
  <c r="AK18" i="13"/>
  <c r="AK9" i="13"/>
  <c r="AN21" i="13"/>
  <c r="AR19" i="13"/>
  <c r="AJ18" i="13"/>
  <c r="AJ23" i="13" s="1"/>
  <c r="AN12" i="13"/>
  <c r="AR10" i="13"/>
  <c r="AJ9" i="13"/>
  <c r="AN7" i="13"/>
  <c r="AR5" i="13"/>
  <c r="AK21" i="13"/>
  <c r="AO19" i="13"/>
  <c r="AK12" i="13"/>
  <c r="AO10" i="13"/>
  <c r="AG9" i="13"/>
  <c r="AK7" i="13"/>
  <c r="AO5" i="13"/>
  <c r="AH3" i="13"/>
  <c r="AR11" i="13"/>
  <c r="AJ10" i="13"/>
  <c r="AR6" i="13"/>
  <c r="AI3" i="13"/>
  <c r="AQ11" i="13"/>
  <c r="AI10" i="13"/>
  <c r="AM8" i="13"/>
  <c r="AQ6" i="13"/>
  <c r="AI5" i="13"/>
  <c r="AJ3" i="13"/>
  <c r="AP11" i="13"/>
  <c r="AH10" i="13"/>
  <c r="AL8" i="13"/>
  <c r="AP6" i="13"/>
  <c r="AH5" i="13"/>
  <c r="AK3" i="13"/>
  <c r="AO11" i="13"/>
  <c r="AG10" i="13"/>
  <c r="AK8" i="13"/>
  <c r="AO6" i="13"/>
  <c r="AG5" i="13"/>
  <c r="AL3" i="13"/>
  <c r="AN11" i="13"/>
  <c r="AJ8" i="13"/>
  <c r="AN6" i="13"/>
  <c r="AQ12" i="13"/>
  <c r="AI11" i="13"/>
  <c r="AQ7" i="13"/>
  <c r="AI6" i="13"/>
  <c r="AO21" i="13"/>
  <c r="AO12" i="13"/>
  <c r="AO7" i="13"/>
  <c r="AG4" i="16"/>
  <c r="AG5" i="16" s="1"/>
  <c r="AH4" i="16"/>
  <c r="AH5" i="16" s="1"/>
  <c r="AI4" i="16"/>
  <c r="AI5" i="16" s="1"/>
  <c r="AJ4" i="16"/>
  <c r="AJ5" i="16" s="1"/>
  <c r="AK4" i="16"/>
  <c r="AK5" i="16" s="1"/>
  <c r="AL4" i="16"/>
  <c r="AL5" i="16" s="1"/>
  <c r="AM4" i="16"/>
  <c r="AM5" i="16" s="1"/>
  <c r="AN4" i="16"/>
  <c r="AN5" i="16" s="1"/>
  <c r="AO4" i="16"/>
  <c r="AO5" i="16" s="1"/>
  <c r="AA5" i="16"/>
  <c r="S4" i="16"/>
  <c r="AP4" i="16"/>
  <c r="AP5" i="16" s="1"/>
  <c r="AQ4" i="16"/>
  <c r="AQ5" i="16" s="1"/>
  <c r="AJ3" i="16"/>
  <c r="AR7" i="16"/>
  <c r="AP7" i="16"/>
  <c r="AP10" i="16" s="1"/>
  <c r="AI3" i="16"/>
  <c r="AQ7" i="16"/>
  <c r="AQ3" i="16"/>
  <c r="AR3" i="16"/>
  <c r="AQ8" i="16"/>
  <c r="AO10" i="16"/>
  <c r="AM8" i="16"/>
  <c r="AL8" i="16"/>
  <c r="Y10" i="16"/>
  <c r="AK8" i="16"/>
  <c r="AJ8" i="16"/>
  <c r="AJ10" i="16" s="1"/>
  <c r="R10" i="17" s="1"/>
  <c r="AG7" i="16"/>
  <c r="AG10" i="16" s="1"/>
  <c r="AI8" i="16"/>
  <c r="AH7" i="16"/>
  <c r="AH8" i="16"/>
  <c r="AI7" i="16"/>
  <c r="AK7" i="16"/>
  <c r="AL7" i="16"/>
  <c r="AM7" i="16"/>
  <c r="AN7" i="16"/>
  <c r="AN10" i="16" s="1"/>
  <c r="AG3" i="16"/>
  <c r="AO7" i="16"/>
  <c r="AK3" i="16"/>
  <c r="AL3" i="16"/>
  <c r="AM3" i="16"/>
  <c r="AN3" i="16"/>
  <c r="AO3" i="16"/>
  <c r="AP22" i="9"/>
  <c r="AN22" i="9"/>
  <c r="Z16" i="16"/>
  <c r="S20" i="13"/>
  <c r="Z29" i="13"/>
  <c r="AD16" i="11"/>
  <c r="AC16" i="11"/>
  <c r="AE16" i="11"/>
  <c r="S16" i="11"/>
  <c r="J7" i="11"/>
  <c r="Z7" i="11" s="1"/>
  <c r="AC7" i="11" s="1"/>
  <c r="T6" i="11"/>
  <c r="T7" i="11"/>
  <c r="AC6" i="11"/>
  <c r="AD6" i="11"/>
  <c r="AE6" i="11"/>
  <c r="S6" i="11"/>
  <c r="AE7" i="11"/>
  <c r="Z25" i="11"/>
  <c r="AD25" i="11" s="1"/>
  <c r="Q10" i="16"/>
  <c r="Q3" i="12"/>
  <c r="Q12" i="12"/>
  <c r="V70" i="1"/>
  <c r="AF27" i="1"/>
  <c r="AG47" i="1"/>
  <c r="R69" i="1"/>
  <c r="Q69" i="1"/>
  <c r="P67" i="1"/>
  <c r="AG24" i="1"/>
  <c r="AH24" i="1"/>
  <c r="X68" i="1"/>
  <c r="U68" i="1"/>
  <c r="AC65" i="1"/>
  <c r="AO65" i="1" s="1"/>
  <c r="AM30" i="1"/>
  <c r="AF44" i="1"/>
  <c r="P14" i="11"/>
  <c r="T14" i="11" s="1"/>
  <c r="AJ67" i="1"/>
  <c r="W67" i="1"/>
  <c r="X67" i="1"/>
  <c r="S67" i="1"/>
  <c r="R67" i="1"/>
  <c r="Q67" i="1"/>
  <c r="AH25" i="1"/>
  <c r="AH64" i="1"/>
  <c r="AC37" i="1"/>
  <c r="AG37" i="1" s="1"/>
  <c r="R70" i="1"/>
  <c r="AC42" i="1"/>
  <c r="AL42" i="1" s="1"/>
  <c r="P11" i="12"/>
  <c r="J11" i="12" s="1"/>
  <c r="Z11" i="12" s="1"/>
  <c r="AE11" i="12" s="1"/>
  <c r="P6" i="12"/>
  <c r="J6" i="12" s="1"/>
  <c r="Z6" i="12" s="1"/>
  <c r="AE6" i="12" s="1"/>
  <c r="AC34" i="1"/>
  <c r="AJ34" i="1" s="1"/>
  <c r="Z3" i="16"/>
  <c r="P11" i="13"/>
  <c r="J11" i="13" s="1"/>
  <c r="Z11" i="13" s="1"/>
  <c r="AE11" i="13" s="1"/>
  <c r="AC22" i="1"/>
  <c r="AM22" i="1" s="1"/>
  <c r="P9" i="15"/>
  <c r="J9" i="15" s="1"/>
  <c r="Z9" i="15" s="1"/>
  <c r="AE9" i="15" s="1"/>
  <c r="P12" i="11"/>
  <c r="J12" i="11" s="1"/>
  <c r="AC62" i="1"/>
  <c r="AM62" i="1" s="1"/>
  <c r="P14" i="15"/>
  <c r="J14" i="15" s="1"/>
  <c r="Z14" i="15" s="1"/>
  <c r="AE14" i="15" s="1"/>
  <c r="AC26" i="1"/>
  <c r="AG26" i="1" s="1"/>
  <c r="AH26" i="1"/>
  <c r="P20" i="12"/>
  <c r="J20" i="12" s="1"/>
  <c r="AC58" i="1"/>
  <c r="AN58" i="1" s="1"/>
  <c r="AN27" i="1"/>
  <c r="AF45" i="1"/>
  <c r="AC31" i="1"/>
  <c r="AJ31" i="1" s="1"/>
  <c r="S68" i="1"/>
  <c r="AM27" i="1"/>
  <c r="AJ30" i="1"/>
  <c r="AO45" i="1"/>
  <c r="S69" i="1"/>
  <c r="AJ3" i="1"/>
  <c r="AM3" i="1"/>
  <c r="AG6" i="1"/>
  <c r="AL10" i="1"/>
  <c r="AL3" i="1"/>
  <c r="AL6" i="1"/>
  <c r="AG46" i="1"/>
  <c r="P15" i="11"/>
  <c r="S15" i="11" s="1"/>
  <c r="AL43" i="1"/>
  <c r="AH7" i="1"/>
  <c r="AG13" i="1"/>
  <c r="AN16" i="1"/>
  <c r="AJ50" i="1"/>
  <c r="AJ53" i="1"/>
  <c r="AF64" i="1"/>
  <c r="AG7" i="1"/>
  <c r="AF13" i="1"/>
  <c r="AM19" i="1"/>
  <c r="AG53" i="1"/>
  <c r="AL19" i="1"/>
  <c r="AC68" i="1"/>
  <c r="AJ68" i="1" s="1"/>
  <c r="AG4" i="1"/>
  <c r="AF7" i="1"/>
  <c r="AF16" i="1"/>
  <c r="AF22" i="1"/>
  <c r="AJ44" i="1"/>
  <c r="AL50" i="1"/>
  <c r="AF53" i="1"/>
  <c r="AJ70" i="1"/>
  <c r="V67" i="1"/>
  <c r="AH6" i="1"/>
  <c r="AJ46" i="1"/>
  <c r="AH66" i="1"/>
  <c r="AI47" i="1"/>
  <c r="AG25" i="1"/>
  <c r="AN28" i="1"/>
  <c r="AL46" i="1"/>
  <c r="AG66" i="1"/>
  <c r="AJ13" i="1"/>
  <c r="AG28" i="1"/>
  <c r="AI57" i="1"/>
  <c r="AG64" i="1"/>
  <c r="AF66" i="1"/>
  <c r="AL30" i="1"/>
  <c r="AH19" i="1"/>
  <c r="AI66" i="1"/>
  <c r="AH4" i="1"/>
  <c r="AJ10" i="1"/>
  <c r="AG16" i="1"/>
  <c r="AG22" i="1"/>
  <c r="AM50" i="1"/>
  <c r="AI64" i="1"/>
  <c r="AF4" i="1"/>
  <c r="AO7" i="1"/>
  <c r="AG44" i="1"/>
  <c r="AH47" i="1"/>
  <c r="X70" i="1"/>
  <c r="U67" i="1"/>
  <c r="AC55" i="1"/>
  <c r="AF55" i="1" s="1"/>
  <c r="AG11" i="1"/>
  <c r="AF29" i="1"/>
  <c r="Q70" i="1"/>
  <c r="P7" i="16"/>
  <c r="S7" i="16" s="1"/>
  <c r="AH29" i="1"/>
  <c r="AG35" i="1"/>
  <c r="AF47" i="1"/>
  <c r="AH11" i="1"/>
  <c r="AG29" i="1"/>
  <c r="AN32" i="1"/>
  <c r="AF35" i="1"/>
  <c r="AH49" i="1"/>
  <c r="AM32" i="1"/>
  <c r="AH5" i="1"/>
  <c r="AF11" i="1"/>
  <c r="AN23" i="1"/>
  <c r="AL32" i="1"/>
  <c r="AH51" i="1"/>
  <c r="AM10" i="1"/>
  <c r="AC15" i="1"/>
  <c r="AH15" i="1" s="1"/>
  <c r="AG5" i="1"/>
  <c r="AN8" i="1"/>
  <c r="AM23" i="1"/>
  <c r="AH48" i="1"/>
  <c r="AG51" i="1"/>
  <c r="AG65" i="1"/>
  <c r="AF5" i="1"/>
  <c r="AG8" i="1"/>
  <c r="AH45" i="1"/>
  <c r="AG48" i="1"/>
  <c r="AF51" i="1"/>
  <c r="AG45" i="1"/>
  <c r="AL48" i="1"/>
  <c r="O70" i="1"/>
  <c r="V68" i="1"/>
  <c r="AA10" i="16"/>
  <c r="E23" i="17" s="1"/>
  <c r="H23" i="17" s="1"/>
  <c r="AE11" i="9"/>
  <c r="F7" i="16"/>
  <c r="F15" i="11"/>
  <c r="AE13" i="11"/>
  <c r="AE17" i="11"/>
  <c r="AE23" i="11"/>
  <c r="H12" i="3"/>
  <c r="H24" i="3"/>
  <c r="H40" i="3"/>
  <c r="H56" i="3"/>
  <c r="K6" i="3"/>
  <c r="N7" i="3" s="1"/>
  <c r="M6" i="3"/>
  <c r="N6" i="3"/>
  <c r="H59" i="3"/>
  <c r="H28" i="3"/>
  <c r="H51" i="3"/>
  <c r="H19" i="3"/>
  <c r="K5" i="3" s="1"/>
  <c r="H36" i="3"/>
  <c r="H60" i="3"/>
  <c r="AL67" i="1"/>
  <c r="AF67" i="1"/>
  <c r="AG67" i="1"/>
  <c r="AH67" i="1"/>
  <c r="AO67" i="1"/>
  <c r="AI67" i="1"/>
  <c r="AM67" i="1"/>
  <c r="AN67" i="1"/>
  <c r="AF70" i="1"/>
  <c r="AG70" i="1"/>
  <c r="AL70" i="1"/>
  <c r="AH70" i="1"/>
  <c r="AI70" i="1"/>
  <c r="AM70" i="1"/>
  <c r="AN70" i="1"/>
  <c r="AO70" i="1"/>
  <c r="P70" i="1"/>
  <c r="W68" i="1"/>
  <c r="O67" i="1"/>
  <c r="R68" i="1"/>
  <c r="Q68" i="1"/>
  <c r="X69" i="1"/>
  <c r="P68" i="1"/>
  <c r="W69" i="1"/>
  <c r="V69" i="1"/>
  <c r="AC69" i="1"/>
  <c r="AG57" i="1"/>
  <c r="AI59" i="1"/>
  <c r="AF57" i="1"/>
  <c r="AM12" i="1"/>
  <c r="AN60" i="1"/>
  <c r="AL41" i="1"/>
  <c r="AM60" i="1"/>
  <c r="AG17" i="1"/>
  <c r="AF17" i="1"/>
  <c r="AF56" i="1"/>
  <c r="AF23" i="1"/>
  <c r="AN54" i="1"/>
  <c r="AO56" i="1"/>
  <c r="AN63" i="1"/>
  <c r="AN36" i="1"/>
  <c r="AG54" i="1"/>
  <c r="AM63" i="1"/>
  <c r="AJ35" i="1"/>
  <c r="AJ41" i="1"/>
  <c r="AM41" i="1"/>
  <c r="AF40" i="1"/>
  <c r="AN56" i="1"/>
  <c r="AN14" i="1"/>
  <c r="AM14" i="1"/>
  <c r="AG33" i="1"/>
  <c r="AM39" i="1"/>
  <c r="AL63" i="1"/>
  <c r="AF33" i="1"/>
  <c r="AL36" i="1"/>
  <c r="AO54" i="1"/>
  <c r="AM61" i="1"/>
  <c r="AO63" i="1"/>
  <c r="AN12" i="1"/>
  <c r="AH18" i="1"/>
  <c r="AJ21" i="1"/>
  <c r="AL61" i="1"/>
  <c r="AI49" i="1"/>
  <c r="AH38" i="1"/>
  <c r="AM38" i="1"/>
  <c r="AI60" i="1"/>
  <c r="AL39" i="1"/>
  <c r="AG20" i="1"/>
  <c r="AM56" i="1"/>
  <c r="AL14" i="1"/>
  <c r="AF54" i="1"/>
  <c r="AH17" i="1"/>
  <c r="AH9" i="1"/>
  <c r="AL12" i="1"/>
  <c r="AG18" i="1"/>
  <c r="AM21" i="1"/>
  <c r="AN52" i="1"/>
  <c r="AH59" i="1"/>
  <c r="AO61" i="1"/>
  <c r="AN43" i="1"/>
  <c r="AG49" i="1"/>
  <c r="AM52" i="1"/>
  <c r="AM59" i="1"/>
  <c r="AF60" i="1"/>
  <c r="AH20" i="1"/>
  <c r="AG36" i="1"/>
  <c r="AJ61" i="1"/>
  <c r="AG9" i="1"/>
  <c r="AF18" i="1"/>
  <c r="AL21" i="1"/>
  <c r="AH40" i="1"/>
  <c r="AG40" i="1"/>
  <c r="AM43" i="1"/>
  <c r="AL49" i="1"/>
  <c r="AL52" i="1"/>
  <c r="AH57" i="1"/>
  <c r="AL59" i="1"/>
  <c r="AH39" i="1"/>
  <c r="S51" i="1"/>
  <c r="P6" i="13"/>
  <c r="J6" i="13" s="1"/>
  <c r="Z6" i="13" s="1"/>
  <c r="AE6" i="13" s="1"/>
  <c r="P15" i="12"/>
  <c r="P21" i="12"/>
  <c r="P3" i="13"/>
  <c r="R30" i="1"/>
  <c r="P9" i="12"/>
  <c r="P35" i="1"/>
  <c r="O4" i="1"/>
  <c r="U40" i="1"/>
  <c r="O9" i="1"/>
  <c r="P3" i="12"/>
  <c r="P7" i="15"/>
  <c r="J7" i="15" s="1"/>
  <c r="Z7" i="15" s="1"/>
  <c r="AE7" i="15" s="1"/>
  <c r="S5" i="1"/>
  <c r="P11" i="15"/>
  <c r="P10" i="13"/>
  <c r="P15" i="15"/>
  <c r="P18" i="13"/>
  <c r="P23" i="12"/>
  <c r="P7" i="13"/>
  <c r="P10" i="12"/>
  <c r="P13" i="13"/>
  <c r="J13" i="13" s="1"/>
  <c r="Z13" i="13" s="1"/>
  <c r="AE13" i="13" s="1"/>
  <c r="W46" i="1"/>
  <c r="P10" i="15"/>
  <c r="P13" i="9"/>
  <c r="P4" i="12"/>
  <c r="J4" i="12" s="1"/>
  <c r="Z4" i="12" s="1"/>
  <c r="AE4" i="12" s="1"/>
  <c r="U17" i="1"/>
  <c r="P5" i="9"/>
  <c r="O52" i="1"/>
  <c r="P12" i="13"/>
  <c r="P12" i="9"/>
  <c r="P22" i="12"/>
  <c r="W45" i="1"/>
  <c r="P19" i="13"/>
  <c r="T19" i="13" s="1"/>
  <c r="P12" i="15"/>
  <c r="P24" i="12"/>
  <c r="P13" i="15"/>
  <c r="P8" i="13"/>
  <c r="D3" i="15"/>
  <c r="O8" i="15"/>
  <c r="H30" i="4"/>
  <c r="H26" i="4"/>
  <c r="H43" i="4"/>
  <c r="H18" i="5"/>
  <c r="H39" i="5"/>
  <c r="H55" i="5"/>
  <c r="R66" i="1"/>
  <c r="H42" i="4"/>
  <c r="H53" i="4"/>
  <c r="H59" i="4"/>
  <c r="H49" i="5"/>
  <c r="H40" i="5"/>
  <c r="H32" i="4"/>
  <c r="H34" i="5"/>
  <c r="H27" i="4"/>
  <c r="H24" i="4"/>
  <c r="H53" i="5"/>
  <c r="H40" i="4"/>
  <c r="H51" i="4"/>
  <c r="H36" i="5"/>
  <c r="H39" i="4"/>
  <c r="H45" i="4"/>
  <c r="H17" i="4"/>
  <c r="H22" i="4"/>
  <c r="H33" i="4"/>
  <c r="H30" i="5"/>
  <c r="H48" i="5"/>
  <c r="H16" i="5"/>
  <c r="H21" i="5"/>
  <c r="H42" i="5"/>
  <c r="H44" i="4"/>
  <c r="H61" i="4"/>
  <c r="H45" i="5"/>
  <c r="H50" i="5"/>
  <c r="H41" i="4"/>
  <c r="H27" i="5"/>
  <c r="H29" i="4"/>
  <c r="H22" i="5"/>
  <c r="H31" i="5"/>
  <c r="H18" i="4"/>
  <c r="H23" i="4"/>
  <c r="H34" i="4"/>
  <c r="H47" i="5"/>
  <c r="O8" i="5"/>
  <c r="H50" i="4"/>
  <c r="H46" i="5"/>
  <c r="H35" i="5"/>
  <c r="H55" i="4"/>
  <c r="H14" i="5"/>
  <c r="H19" i="5"/>
  <c r="H56" i="5"/>
  <c r="H61" i="5"/>
  <c r="R8" i="5"/>
  <c r="H54" i="4"/>
  <c r="H21" i="4"/>
  <c r="H28" i="5"/>
  <c r="M8" i="4"/>
  <c r="H54" i="5"/>
  <c r="H25" i="4"/>
  <c r="H36" i="4"/>
  <c r="H43" i="5"/>
  <c r="H13" i="4"/>
  <c r="H46" i="4"/>
  <c r="H57" i="4"/>
  <c r="H26" i="5"/>
  <c r="H37" i="5"/>
  <c r="H56" i="4"/>
  <c r="H15" i="5"/>
  <c r="H38" i="4"/>
  <c r="H62" i="5"/>
  <c r="H16" i="4"/>
  <c r="H49" i="4"/>
  <c r="H24" i="5"/>
  <c r="H51" i="5"/>
  <c r="H15" i="4"/>
  <c r="H48" i="4"/>
  <c r="H60" i="4"/>
  <c r="H44" i="5"/>
  <c r="H14" i="4"/>
  <c r="H35" i="4"/>
  <c r="H52" i="4"/>
  <c r="H32" i="5"/>
  <c r="H38" i="5"/>
  <c r="H19" i="4"/>
  <c r="H62" i="4"/>
  <c r="H57" i="5"/>
  <c r="H28" i="4"/>
  <c r="S8" i="5"/>
  <c r="H13" i="5"/>
  <c r="H58" i="4"/>
  <c r="H59" i="5"/>
  <c r="H41" i="5"/>
  <c r="H20" i="4"/>
  <c r="H23" i="5"/>
  <c r="H29" i="5"/>
  <c r="H58" i="5"/>
  <c r="N8" i="5"/>
  <c r="H47" i="4"/>
  <c r="H31" i="4"/>
  <c r="H52" i="5"/>
  <c r="H60" i="5"/>
  <c r="H37" i="4"/>
  <c r="E13" i="11"/>
  <c r="F58" i="1"/>
  <c r="H20" i="12" s="1"/>
  <c r="F20" i="12"/>
  <c r="U18" i="1"/>
  <c r="F66" i="1"/>
  <c r="H24" i="12" s="1"/>
  <c r="F24" i="12"/>
  <c r="F63" i="1"/>
  <c r="F19" i="13"/>
  <c r="X13" i="15"/>
  <c r="F60" i="1"/>
  <c r="H22" i="12" s="1"/>
  <c r="F22" i="12"/>
  <c r="W12" i="15"/>
  <c r="V12" i="15"/>
  <c r="D20" i="12"/>
  <c r="F4" i="13"/>
  <c r="F65" i="1"/>
  <c r="H13" i="11" s="1"/>
  <c r="F13" i="11"/>
  <c r="F54" i="1"/>
  <c r="F62" i="1"/>
  <c r="H12" i="11" s="1"/>
  <c r="F12" i="11"/>
  <c r="F59" i="1"/>
  <c r="H21" i="12" s="1"/>
  <c r="F21" i="12"/>
  <c r="X15" i="15"/>
  <c r="F56" i="1"/>
  <c r="F18" i="13"/>
  <c r="W15" i="15"/>
  <c r="F61" i="1"/>
  <c r="H23" i="12" s="1"/>
  <c r="F23" i="12"/>
  <c r="Y12" i="9"/>
  <c r="W9" i="15"/>
  <c r="O18" i="15"/>
  <c r="V18" i="13"/>
  <c r="O3" i="15"/>
  <c r="O24" i="15" s="1"/>
  <c r="U65" i="1"/>
  <c r="T13" i="11"/>
  <c r="V6" i="13"/>
  <c r="O7" i="15"/>
  <c r="X10" i="15"/>
  <c r="V10" i="15"/>
  <c r="V21" i="12"/>
  <c r="W21" i="12"/>
  <c r="X12" i="15"/>
  <c r="D18" i="15"/>
  <c r="W11" i="15"/>
  <c r="X9" i="15"/>
  <c r="O4" i="15"/>
  <c r="O23" i="13"/>
  <c r="AJ56" i="1"/>
  <c r="W13" i="15"/>
  <c r="X7" i="15"/>
  <c r="V13" i="15"/>
  <c r="V9" i="15"/>
  <c r="V23" i="12"/>
  <c r="X14" i="15"/>
  <c r="W14" i="15"/>
  <c r="V14" i="15"/>
  <c r="W10" i="15"/>
  <c r="X21" i="12"/>
  <c r="P18" i="15"/>
  <c r="J18" i="15" s="1"/>
  <c r="Z18" i="15" s="1"/>
  <c r="AE18" i="15" s="1"/>
  <c r="Y24" i="12"/>
  <c r="O9" i="15"/>
  <c r="W17" i="15"/>
  <c r="D4" i="15"/>
  <c r="E4" i="15"/>
  <c r="P5" i="15"/>
  <c r="J5" i="15" s="1"/>
  <c r="Z5" i="15" s="1"/>
  <c r="AE5" i="15" s="1"/>
  <c r="P17" i="15"/>
  <c r="V15" i="15"/>
  <c r="V11" i="15"/>
  <c r="X8" i="15"/>
  <c r="W3" i="13"/>
  <c r="Q19" i="11"/>
  <c r="V11" i="13"/>
  <c r="D6" i="15"/>
  <c r="E17" i="15"/>
  <c r="V22" i="12"/>
  <c r="F6" i="15"/>
  <c r="O13" i="11"/>
  <c r="O19" i="11" s="1"/>
  <c r="F12" i="9"/>
  <c r="V13" i="11"/>
  <c r="W23" i="12"/>
  <c r="W13" i="11"/>
  <c r="X23" i="12"/>
  <c r="Y19" i="13"/>
  <c r="X13" i="11"/>
  <c r="AC13" i="11" s="1"/>
  <c r="Y23" i="12"/>
  <c r="O7" i="12"/>
  <c r="V9" i="12"/>
  <c r="V3" i="16"/>
  <c r="V5" i="16" s="1"/>
  <c r="F13" i="9"/>
  <c r="Y13" i="11"/>
  <c r="AD13" i="11" s="1"/>
  <c r="X11" i="9"/>
  <c r="AC11" i="9" s="1"/>
  <c r="W24" i="12"/>
  <c r="X24" i="12"/>
  <c r="O16" i="9"/>
  <c r="S11" i="9"/>
  <c r="Q16" i="9"/>
  <c r="V17" i="15"/>
  <c r="D9" i="13"/>
  <c r="V13" i="9"/>
  <c r="W10" i="12"/>
  <c r="X17" i="15"/>
  <c r="W3" i="16"/>
  <c r="W5" i="16" s="1"/>
  <c r="W13" i="9"/>
  <c r="P6" i="15"/>
  <c r="J6" i="15" s="1"/>
  <c r="Z6" i="15" s="1"/>
  <c r="AE6" i="15" s="1"/>
  <c r="X3" i="16"/>
  <c r="X5" i="16" s="1"/>
  <c r="V11" i="9"/>
  <c r="X13" i="9"/>
  <c r="W31" i="1"/>
  <c r="W6" i="15"/>
  <c r="W11" i="9"/>
  <c r="Y13" i="9"/>
  <c r="V24" i="12"/>
  <c r="W18" i="13"/>
  <c r="X6" i="12"/>
  <c r="W13" i="12"/>
  <c r="V5" i="12"/>
  <c r="E7" i="15"/>
  <c r="V20" i="12"/>
  <c r="X22" i="12"/>
  <c r="Y18" i="13"/>
  <c r="AL16" i="1"/>
  <c r="F26" i="1"/>
  <c r="H14" i="15" s="1"/>
  <c r="P9" i="13"/>
  <c r="J9" i="13" s="1"/>
  <c r="Z9" i="13" s="1"/>
  <c r="AE9" i="13" s="1"/>
  <c r="F3" i="13"/>
  <c r="S26" i="1"/>
  <c r="F6" i="13"/>
  <c r="V13" i="12"/>
  <c r="V7" i="15"/>
  <c r="W20" i="12"/>
  <c r="Y22" i="12"/>
  <c r="X6" i="15"/>
  <c r="W6" i="12"/>
  <c r="X5" i="12"/>
  <c r="Y11" i="9"/>
  <c r="AD11" i="9" s="1"/>
  <c r="V6" i="12"/>
  <c r="O9" i="13"/>
  <c r="W5" i="12"/>
  <c r="W22" i="12"/>
  <c r="P13" i="12"/>
  <c r="J13" i="12" s="1"/>
  <c r="Z13" i="12" s="1"/>
  <c r="AE13" i="12" s="1"/>
  <c r="W7" i="15"/>
  <c r="V12" i="11"/>
  <c r="X20" i="12"/>
  <c r="O4" i="12"/>
  <c r="E16" i="15"/>
  <c r="W10" i="13"/>
  <c r="W12" i="11"/>
  <c r="Y20" i="12"/>
  <c r="F12" i="13"/>
  <c r="V4" i="15"/>
  <c r="F11" i="9"/>
  <c r="V12" i="9"/>
  <c r="X12" i="11"/>
  <c r="V19" i="13"/>
  <c r="V3" i="11"/>
  <c r="W12" i="12"/>
  <c r="F8" i="15"/>
  <c r="W16" i="15"/>
  <c r="W12" i="9"/>
  <c r="Y12" i="11"/>
  <c r="W19" i="13"/>
  <c r="Y21" i="12"/>
  <c r="X18" i="13"/>
  <c r="V12" i="12"/>
  <c r="V8" i="15"/>
  <c r="X12" i="9"/>
  <c r="X19" i="13"/>
  <c r="D6" i="12"/>
  <c r="O27" i="12"/>
  <c r="AE25" i="12"/>
  <c r="Q27" i="12"/>
  <c r="AA19" i="11"/>
  <c r="E20" i="17" s="1"/>
  <c r="H20" i="17" s="1"/>
  <c r="T11" i="9"/>
  <c r="AE14" i="16"/>
  <c r="AE8" i="16"/>
  <c r="AC14" i="16"/>
  <c r="T16" i="16"/>
  <c r="AD8" i="16"/>
  <c r="AC8" i="16"/>
  <c r="S16" i="16"/>
  <c r="S3" i="16"/>
  <c r="P5" i="16"/>
  <c r="X3" i="15"/>
  <c r="O16" i="15"/>
  <c r="W5" i="15"/>
  <c r="X30" i="1"/>
  <c r="W9" i="12"/>
  <c r="D23" i="12"/>
  <c r="X3" i="13"/>
  <c r="W9" i="13"/>
  <c r="F4" i="15"/>
  <c r="X5" i="15"/>
  <c r="F7" i="15"/>
  <c r="E18" i="15"/>
  <c r="O13" i="13"/>
  <c r="F11" i="12"/>
  <c r="F18" i="15"/>
  <c r="E8" i="15"/>
  <c r="F14" i="12"/>
  <c r="X9" i="13"/>
  <c r="O10" i="12"/>
  <c r="Q9" i="12"/>
  <c r="W8" i="15"/>
  <c r="D8" i="12"/>
  <c r="D13" i="11"/>
  <c r="Y13" i="12"/>
  <c r="E3" i="15"/>
  <c r="X4" i="15"/>
  <c r="O13" i="12"/>
  <c r="W8" i="13"/>
  <c r="V18" i="15"/>
  <c r="F3" i="15"/>
  <c r="E6" i="15"/>
  <c r="F17" i="15"/>
  <c r="O4" i="13"/>
  <c r="O5" i="12"/>
  <c r="X3" i="12"/>
  <c r="X8" i="13"/>
  <c r="P3" i="15"/>
  <c r="O6" i="15"/>
  <c r="D16" i="15"/>
  <c r="W18" i="15"/>
  <c r="W4" i="15"/>
  <c r="F13" i="12"/>
  <c r="F5" i="12"/>
  <c r="W3" i="12"/>
  <c r="V12" i="13"/>
  <c r="X18" i="15"/>
  <c r="P4" i="11"/>
  <c r="J4" i="11" s="1"/>
  <c r="Z4" i="11" s="1"/>
  <c r="AE4" i="11" s="1"/>
  <c r="F9" i="13"/>
  <c r="V3" i="12"/>
  <c r="W6" i="13"/>
  <c r="W12" i="13"/>
  <c r="V3" i="15"/>
  <c r="V24" i="15" s="1"/>
  <c r="F16" i="15"/>
  <c r="X11" i="13"/>
  <c r="V10" i="13"/>
  <c r="W3" i="15"/>
  <c r="E5" i="15"/>
  <c r="V6" i="15"/>
  <c r="D8" i="15"/>
  <c r="W11" i="13"/>
  <c r="D13" i="13"/>
  <c r="AJ16" i="1"/>
  <c r="W7" i="12"/>
  <c r="D4" i="12"/>
  <c r="V16" i="15"/>
  <c r="D5" i="13"/>
  <c r="X7" i="12"/>
  <c r="O12" i="12"/>
  <c r="V13" i="13"/>
  <c r="O6" i="13"/>
  <c r="H13" i="13"/>
  <c r="F12" i="12"/>
  <c r="V10" i="12"/>
  <c r="V3" i="13"/>
  <c r="V5" i="15"/>
  <c r="X16" i="15"/>
  <c r="Q23" i="13"/>
  <c r="AE5" i="13"/>
  <c r="T29" i="13"/>
  <c r="AE27" i="13"/>
  <c r="AC27" i="13"/>
  <c r="AE21" i="13"/>
  <c r="AD21" i="13"/>
  <c r="X13" i="13"/>
  <c r="H12" i="12"/>
  <c r="P7" i="12"/>
  <c r="J7" i="12" s="1"/>
  <c r="Z7" i="12" s="1"/>
  <c r="AE7" i="12" s="1"/>
  <c r="W14" i="12"/>
  <c r="D15" i="12"/>
  <c r="D6" i="13"/>
  <c r="D7" i="12"/>
  <c r="Q14" i="12"/>
  <c r="W4" i="12"/>
  <c r="F3" i="12"/>
  <c r="W4" i="13"/>
  <c r="D3" i="13"/>
  <c r="V5" i="13"/>
  <c r="X12" i="13"/>
  <c r="D14" i="12"/>
  <c r="O8" i="12"/>
  <c r="P8" i="12"/>
  <c r="J8" i="12" s="1"/>
  <c r="Z8" i="12" s="1"/>
  <c r="AE8" i="12" s="1"/>
  <c r="D12" i="12"/>
  <c r="V8" i="13"/>
  <c r="X14" i="12"/>
  <c r="V14" i="12"/>
  <c r="O3" i="11"/>
  <c r="E5" i="11"/>
  <c r="V4" i="12"/>
  <c r="X4" i="13"/>
  <c r="W5" i="13"/>
  <c r="F13" i="13"/>
  <c r="X7" i="13"/>
  <c r="W13" i="13"/>
  <c r="X10" i="12"/>
  <c r="W3" i="11"/>
  <c r="X11" i="12"/>
  <c r="W11" i="12"/>
  <c r="S5" i="13"/>
  <c r="V11" i="12"/>
  <c r="X4" i="12"/>
  <c r="V4" i="13"/>
  <c r="H15" i="12"/>
  <c r="O14" i="12"/>
  <c r="X5" i="13"/>
  <c r="AC5" i="13" s="1"/>
  <c r="V7" i="13"/>
  <c r="X13" i="12"/>
  <c r="X9" i="12"/>
  <c r="F5" i="11"/>
  <c r="W3" i="9"/>
  <c r="V7" i="12"/>
  <c r="X12" i="12"/>
  <c r="W7" i="13"/>
  <c r="V9" i="13"/>
  <c r="S29" i="13"/>
  <c r="AA14" i="13"/>
  <c r="AA23" i="13"/>
  <c r="E22" i="17" s="1"/>
  <c r="H22" i="17" s="1"/>
  <c r="AC21" i="13"/>
  <c r="S33" i="12"/>
  <c r="AD25" i="12"/>
  <c r="AA16" i="12"/>
  <c r="AE31" i="12"/>
  <c r="AC31" i="12"/>
  <c r="AC25" i="12"/>
  <c r="W15" i="12"/>
  <c r="V3" i="9"/>
  <c r="V15" i="12"/>
  <c r="X3" i="11"/>
  <c r="X15" i="12"/>
  <c r="S49" i="1"/>
  <c r="F25" i="1"/>
  <c r="F37" i="1"/>
  <c r="H17" i="15" s="1"/>
  <c r="D3" i="11"/>
  <c r="R57" i="1"/>
  <c r="X3" i="9"/>
  <c r="S14" i="1"/>
  <c r="F22" i="1"/>
  <c r="H11" i="13" s="1"/>
  <c r="AM47" i="1"/>
  <c r="V6" i="9"/>
  <c r="F34" i="1"/>
  <c r="AM40" i="1"/>
  <c r="E3" i="11"/>
  <c r="F8" i="12"/>
  <c r="F14" i="1"/>
  <c r="F18" i="1"/>
  <c r="H9" i="15" s="1"/>
  <c r="S8" i="1"/>
  <c r="AF36" i="1"/>
  <c r="V5" i="9"/>
  <c r="V8" i="12"/>
  <c r="AH32" i="1"/>
  <c r="W8" i="12"/>
  <c r="AJ18" i="1"/>
  <c r="X8" i="12"/>
  <c r="F15" i="12"/>
  <c r="AM16" i="1"/>
  <c r="T33" i="12"/>
  <c r="AA27" i="12"/>
  <c r="E21" i="17" s="1"/>
  <c r="H21" i="17" s="1"/>
  <c r="AC23" i="11"/>
  <c r="S25" i="11"/>
  <c r="T25" i="11"/>
  <c r="AA8" i="11"/>
  <c r="P37" i="1"/>
  <c r="V50" i="1"/>
  <c r="X55" i="1"/>
  <c r="AG41" i="1"/>
  <c r="O3" i="9"/>
  <c r="O7" i="9" s="1"/>
  <c r="P5" i="11"/>
  <c r="AG61" i="1"/>
  <c r="D4" i="11"/>
  <c r="AN11" i="1"/>
  <c r="AL56" i="1"/>
  <c r="E4" i="11"/>
  <c r="F41" i="1"/>
  <c r="H5" i="9" s="1"/>
  <c r="U47" i="1"/>
  <c r="AI56" i="1"/>
  <c r="AH56" i="1"/>
  <c r="W8" i="1"/>
  <c r="AG56" i="1"/>
  <c r="D3" i="9"/>
  <c r="D5" i="11"/>
  <c r="Q10" i="1"/>
  <c r="D12" i="11"/>
  <c r="Q7" i="1"/>
  <c r="P43" i="1"/>
  <c r="AN53" i="1"/>
  <c r="F5" i="9"/>
  <c r="E12" i="11"/>
  <c r="V39" i="1"/>
  <c r="AJ25" i="1"/>
  <c r="X5" i="9"/>
  <c r="V37" i="1"/>
  <c r="O55" i="1"/>
  <c r="AG43" i="1"/>
  <c r="AG23" i="1"/>
  <c r="W5" i="9"/>
  <c r="O50" i="1"/>
  <c r="W6" i="1"/>
  <c r="F6" i="9"/>
  <c r="Q12" i="1"/>
  <c r="V44" i="1"/>
  <c r="F8" i="1"/>
  <c r="H10" i="13" s="1"/>
  <c r="S18" i="1"/>
  <c r="O22" i="1"/>
  <c r="S34" i="1"/>
  <c r="S62" i="1"/>
  <c r="S65" i="1"/>
  <c r="AM11" i="1"/>
  <c r="H5" i="11"/>
  <c r="AM53" i="1"/>
  <c r="AG32" i="1"/>
  <c r="AF10" i="1"/>
  <c r="W6" i="9"/>
  <c r="W4" i="9"/>
  <c r="F4" i="11"/>
  <c r="AL11" i="1"/>
  <c r="X6" i="9"/>
  <c r="X4" i="9"/>
  <c r="F11" i="1"/>
  <c r="H5" i="15" s="1"/>
  <c r="F13" i="1"/>
  <c r="H6" i="15" s="1"/>
  <c r="AG3" i="1"/>
  <c r="AL51" i="1"/>
  <c r="AF32" i="1"/>
  <c r="AN9" i="1"/>
  <c r="AG63" i="1"/>
  <c r="AF30" i="1"/>
  <c r="AM9" i="1"/>
  <c r="O4" i="11"/>
  <c r="V5" i="11"/>
  <c r="U37" i="1"/>
  <c r="AF63" i="1"/>
  <c r="AO49" i="1"/>
  <c r="AL27" i="1"/>
  <c r="AJ9" i="1"/>
  <c r="P6" i="9"/>
  <c r="J6" i="9" s="1"/>
  <c r="Z6" i="9" s="1"/>
  <c r="AE6" i="9" s="1"/>
  <c r="P4" i="9"/>
  <c r="W5" i="11"/>
  <c r="S13" i="1"/>
  <c r="AN49" i="1"/>
  <c r="AJ27" i="1"/>
  <c r="AN7" i="1"/>
  <c r="X5" i="11"/>
  <c r="AF43" i="1"/>
  <c r="AM49" i="1"/>
  <c r="AH27" i="1"/>
  <c r="AL7" i="1"/>
  <c r="F3" i="11"/>
  <c r="AF41" i="1"/>
  <c r="AJ49" i="1"/>
  <c r="W4" i="11"/>
  <c r="AM17" i="1"/>
  <c r="F30" i="1"/>
  <c r="H16" i="15" s="1"/>
  <c r="X4" i="11"/>
  <c r="T14" i="9"/>
  <c r="T22" i="9"/>
  <c r="AA16" i="9"/>
  <c r="E19" i="17" s="1"/>
  <c r="AE14" i="9"/>
  <c r="AE20" i="9"/>
  <c r="V41" i="1"/>
  <c r="AJ54" i="1"/>
  <c r="AN31" i="1"/>
  <c r="W36" i="1"/>
  <c r="S47" i="1"/>
  <c r="F9" i="1"/>
  <c r="H4" i="15" s="1"/>
  <c r="AH3" i="1"/>
  <c r="AF61" i="1"/>
  <c r="AI54" i="1"/>
  <c r="AN47" i="1"/>
  <c r="AN40" i="1"/>
  <c r="AH23" i="1"/>
  <c r="AJ14" i="1"/>
  <c r="AM7" i="1"/>
  <c r="W18" i="1"/>
  <c r="AH16" i="1"/>
  <c r="W65" i="1"/>
  <c r="AO60" i="1"/>
  <c r="AO66" i="1"/>
  <c r="AO59" i="1"/>
  <c r="AL47" i="1"/>
  <c r="AL40" i="1"/>
  <c r="AG21" i="1"/>
  <c r="AG14" i="1"/>
  <c r="AJ7" i="1"/>
  <c r="F21" i="1"/>
  <c r="H12" i="15" s="1"/>
  <c r="F27" i="1"/>
  <c r="F28" i="1"/>
  <c r="AN66" i="1"/>
  <c r="AN59" i="1"/>
  <c r="AL53" i="1"/>
  <c r="AJ47" i="1"/>
  <c r="AJ40" i="1"/>
  <c r="AF21" i="1"/>
  <c r="AF14" i="1"/>
  <c r="AI7" i="1"/>
  <c r="AL66" i="1"/>
  <c r="AH53" i="1"/>
  <c r="AN38" i="1"/>
  <c r="AN20" i="1"/>
  <c r="AN13" i="1"/>
  <c r="O3" i="1"/>
  <c r="F4" i="1"/>
  <c r="O15" i="1"/>
  <c r="AJ66" i="1"/>
  <c r="AJ38" i="1"/>
  <c r="AN29" i="1"/>
  <c r="AM20" i="1"/>
  <c r="AM13" i="1"/>
  <c r="AJ6" i="1"/>
  <c r="F29" i="1"/>
  <c r="H15" i="15" s="1"/>
  <c r="Q50" i="1"/>
  <c r="AH52" i="1"/>
  <c r="AL45" i="1"/>
  <c r="AM36" i="1"/>
  <c r="AM29" i="1"/>
  <c r="AJ20" i="1"/>
  <c r="AH13" i="1"/>
  <c r="AL5" i="1"/>
  <c r="V19" i="1"/>
  <c r="F38" i="1"/>
  <c r="U42" i="1"/>
  <c r="AG52" i="1"/>
  <c r="AI45" i="1"/>
  <c r="AL29" i="1"/>
  <c r="AJ5" i="1"/>
  <c r="AF50" i="1"/>
  <c r="U24" i="1"/>
  <c r="U7" i="1"/>
  <c r="F20" i="1"/>
  <c r="H11" i="15" s="1"/>
  <c r="S61" i="1"/>
  <c r="AN3" i="1"/>
  <c r="AH14" i="1"/>
  <c r="F31" i="1"/>
  <c r="H3" i="16" s="1"/>
  <c r="S42" i="1"/>
  <c r="AF52" i="1"/>
  <c r="AN44" i="1"/>
  <c r="AJ36" i="1"/>
  <c r="AJ29" i="1"/>
  <c r="AN18" i="1"/>
  <c r="AH12" i="1"/>
  <c r="O26" i="1"/>
  <c r="O42" i="1"/>
  <c r="S52" i="1"/>
  <c r="AI63" i="1"/>
  <c r="AN51" i="1"/>
  <c r="AH44" i="1"/>
  <c r="AH36" i="1"/>
  <c r="AM18" i="1"/>
  <c r="AG12" i="1"/>
  <c r="AG27" i="1"/>
  <c r="P22" i="1"/>
  <c r="P41" i="1"/>
  <c r="AL25" i="1"/>
  <c r="O11" i="1"/>
  <c r="U8" i="1"/>
  <c r="O29" i="1"/>
  <c r="P42" i="1"/>
  <c r="U50" i="1"/>
  <c r="AH63" i="1"/>
  <c r="AM51" i="1"/>
  <c r="AH43" i="1"/>
  <c r="AL18" i="1"/>
  <c r="AF12" i="1"/>
  <c r="Q6" i="1"/>
  <c r="P23" i="1"/>
  <c r="W26" i="1"/>
  <c r="F33" i="1"/>
  <c r="Q46" i="1"/>
  <c r="F19" i="1"/>
  <c r="H10" i="15" s="1"/>
  <c r="W55" i="1"/>
  <c r="Q3" i="1"/>
  <c r="F5" i="1"/>
  <c r="F6" i="1"/>
  <c r="P10" i="1"/>
  <c r="U10" i="1"/>
  <c r="F12" i="1"/>
  <c r="F15" i="1"/>
  <c r="Q41" i="1"/>
  <c r="X65" i="1"/>
  <c r="AI61" i="1"/>
  <c r="AG59" i="1"/>
  <c r="AM54" i="1"/>
  <c r="AJ52" i="1"/>
  <c r="AH50" i="1"/>
  <c r="AF48" i="1"/>
  <c r="AN45" i="1"/>
  <c r="AG39" i="1"/>
  <c r="AJ32" i="1"/>
  <c r="AH30" i="1"/>
  <c r="AF28" i="1"/>
  <c r="AN25" i="1"/>
  <c r="AL23" i="1"/>
  <c r="AG19" i="1"/>
  <c r="AJ12" i="1"/>
  <c r="AH10" i="1"/>
  <c r="AF8" i="1"/>
  <c r="AN5" i="1"/>
  <c r="P19" i="1"/>
  <c r="AM65" i="1"/>
  <c r="AJ63" i="1"/>
  <c r="AH61" i="1"/>
  <c r="AF59" i="1"/>
  <c r="AL54" i="1"/>
  <c r="AG50" i="1"/>
  <c r="AO47" i="1"/>
  <c r="AM45" i="1"/>
  <c r="AJ43" i="1"/>
  <c r="AH41" i="1"/>
  <c r="AF39" i="1"/>
  <c r="AG30" i="1"/>
  <c r="AM25" i="1"/>
  <c r="AJ23" i="1"/>
  <c r="AH21" i="1"/>
  <c r="AF19" i="1"/>
  <c r="AG10" i="1"/>
  <c r="AM5" i="1"/>
  <c r="AO64" i="1"/>
  <c r="W47" i="1"/>
  <c r="F24" i="1"/>
  <c r="AN64" i="1"/>
  <c r="AJ51" i="1"/>
  <c r="AN24" i="1"/>
  <c r="AN4" i="1"/>
  <c r="P9" i="1"/>
  <c r="F16" i="1"/>
  <c r="H7" i="15" s="1"/>
  <c r="Q18" i="1"/>
  <c r="Q27" i="1"/>
  <c r="S29" i="1"/>
  <c r="O39" i="1"/>
  <c r="P47" i="1"/>
  <c r="AM64" i="1"/>
  <c r="AH60" i="1"/>
  <c r="AM44" i="1"/>
  <c r="AF38" i="1"/>
  <c r="AN35" i="1"/>
  <c r="AL33" i="1"/>
  <c r="AM24" i="1"/>
  <c r="AL13" i="1"/>
  <c r="AM4" i="1"/>
  <c r="U43" i="1"/>
  <c r="AG38" i="1"/>
  <c r="AM33" i="1"/>
  <c r="AJ11" i="1"/>
  <c r="S6" i="1"/>
  <c r="U36" i="1"/>
  <c r="P39" i="1"/>
  <c r="Q47" i="1"/>
  <c r="AL64" i="1"/>
  <c r="AG60" i="1"/>
  <c r="AO57" i="1"/>
  <c r="AF49" i="1"/>
  <c r="AN46" i="1"/>
  <c r="AL44" i="1"/>
  <c r="AM35" i="1"/>
  <c r="AL24" i="1"/>
  <c r="AF9" i="1"/>
  <c r="AN6" i="1"/>
  <c r="AL4" i="1"/>
  <c r="AJ45" i="1"/>
  <c r="AH54" i="1"/>
  <c r="P44" i="1"/>
  <c r="S44" i="1"/>
  <c r="AL60" i="1"/>
  <c r="AJ60" i="1"/>
  <c r="F7" i="1"/>
  <c r="O43" i="1"/>
  <c r="W44" i="1"/>
  <c r="Q4" i="1"/>
  <c r="U39" i="1"/>
  <c r="S50" i="1"/>
  <c r="P65" i="1"/>
  <c r="S15" i="1"/>
  <c r="AM66" i="1"/>
  <c r="AJ64" i="1"/>
  <c r="AN57" i="1"/>
  <c r="AM46" i="1"/>
  <c r="AL35" i="1"/>
  <c r="AJ24" i="1"/>
  <c r="AF20" i="1"/>
  <c r="AN17" i="1"/>
  <c r="AM6" i="1"/>
  <c r="AJ4" i="1"/>
  <c r="U48" i="1"/>
  <c r="O44" i="1"/>
  <c r="AL38" i="1"/>
  <c r="AL9" i="1"/>
  <c r="F39" i="1"/>
  <c r="H9" i="13" s="1"/>
  <c r="U44" i="1"/>
  <c r="AF25" i="1"/>
  <c r="AL20" i="1"/>
  <c r="Q26" i="1"/>
  <c r="P7" i="1"/>
  <c r="O23" i="1"/>
  <c r="F36" i="1"/>
  <c r="S58" i="1"/>
  <c r="AJ57" i="1"/>
  <c r="AN50" i="1"/>
  <c r="AH35" i="1"/>
  <c r="AN30" i="1"/>
  <c r="AL28" i="1"/>
  <c r="AJ17" i="1"/>
  <c r="AN10" i="1"/>
  <c r="AL8" i="1"/>
  <c r="Q55" i="1"/>
  <c r="R65" i="1"/>
  <c r="AN61" i="1"/>
  <c r="AJ48" i="1"/>
  <c r="AH46" i="1"/>
  <c r="AN41" i="1"/>
  <c r="AJ28" i="1"/>
  <c r="AF24" i="1"/>
  <c r="AN21" i="1"/>
  <c r="AJ8" i="1"/>
  <c r="AF3" i="1"/>
  <c r="W48" i="1"/>
  <c r="X16" i="1"/>
  <c r="S22" i="1"/>
  <c r="F17" i="1"/>
  <c r="H8" i="15" s="1"/>
  <c r="AN48" i="1"/>
  <c r="S31" i="1"/>
  <c r="AJ59" i="1"/>
  <c r="AJ39" i="1"/>
  <c r="AJ19" i="1"/>
  <c r="AM57" i="1"/>
  <c r="W50" i="1"/>
  <c r="AL57" i="1"/>
  <c r="AM48" i="1"/>
  <c r="AN39" i="1"/>
  <c r="AM28" i="1"/>
  <c r="AN19" i="1"/>
  <c r="AL17" i="1"/>
  <c r="AM8" i="1"/>
  <c r="U26" i="1"/>
  <c r="O8" i="1"/>
  <c r="Q8" i="1"/>
  <c r="O58" i="1"/>
  <c r="V65" i="1"/>
  <c r="AF46" i="1"/>
  <c r="AH28" i="1"/>
  <c r="AH8" i="1"/>
  <c r="AF6" i="1"/>
  <c r="U5" i="1"/>
  <c r="W43" i="1"/>
  <c r="V31" i="1"/>
  <c r="V47" i="1"/>
  <c r="Q52" i="1"/>
  <c r="S55" i="1"/>
  <c r="S33" i="1"/>
  <c r="S60" i="1"/>
  <c r="AA7" i="9"/>
  <c r="AC20" i="9"/>
  <c r="AD14" i="9"/>
  <c r="S22" i="9"/>
  <c r="P55" i="1"/>
  <c r="V55" i="1"/>
  <c r="I22" i="5"/>
  <c r="P4" i="5"/>
  <c r="W3" i="1"/>
  <c r="V3" i="1"/>
  <c r="U3" i="1"/>
  <c r="P3" i="1"/>
  <c r="Q19" i="1"/>
  <c r="S19" i="1"/>
  <c r="W39" i="1"/>
  <c r="Q39" i="1"/>
  <c r="S39" i="1"/>
  <c r="U8" i="4"/>
  <c r="P18" i="1"/>
  <c r="V18" i="1"/>
  <c r="P31" i="1"/>
  <c r="Q20" i="1"/>
  <c r="W20" i="1"/>
  <c r="I18" i="5"/>
  <c r="AD35" i="1"/>
  <c r="S3" i="1"/>
  <c r="I16" i="4"/>
  <c r="P24" i="1"/>
  <c r="I49" i="5"/>
  <c r="I56" i="5"/>
  <c r="V14" i="1"/>
  <c r="U14" i="1"/>
  <c r="X14" i="1"/>
  <c r="Q14" i="1"/>
  <c r="O14" i="1"/>
  <c r="R14" i="1"/>
  <c r="P14" i="1"/>
  <c r="X46" i="1"/>
  <c r="R46" i="1"/>
  <c r="V36" i="1"/>
  <c r="P36" i="1"/>
  <c r="P13" i="1"/>
  <c r="I47" i="5"/>
  <c r="I60" i="5"/>
  <c r="K4" i="5"/>
  <c r="P5" i="1"/>
  <c r="P4" i="1"/>
  <c r="W15" i="1"/>
  <c r="V15" i="1"/>
  <c r="U15" i="1"/>
  <c r="P15" i="1"/>
  <c r="Q15" i="1"/>
  <c r="O59" i="1"/>
  <c r="X59" i="1"/>
  <c r="W59" i="1"/>
  <c r="V59" i="1"/>
  <c r="V8" i="1"/>
  <c r="P8" i="1"/>
  <c r="R24" i="1"/>
  <c r="I45" i="5"/>
  <c r="H20" i="5"/>
  <c r="V8" i="5"/>
  <c r="Q8" i="5"/>
  <c r="P8" i="5"/>
  <c r="P7" i="3"/>
  <c r="O7" i="3"/>
  <c r="AD36" i="1"/>
  <c r="Q22" i="1"/>
  <c r="V23" i="1"/>
  <c r="Q42" i="1"/>
  <c r="W42" i="1"/>
  <c r="V42" i="1"/>
  <c r="U63" i="1"/>
  <c r="R63" i="1"/>
  <c r="I20" i="5"/>
  <c r="L6" i="3"/>
  <c r="V7" i="3" s="1"/>
  <c r="AD11" i="1"/>
  <c r="AD17" i="1"/>
  <c r="O8" i="3"/>
  <c r="V61" i="1"/>
  <c r="U55" i="1"/>
  <c r="S66" i="1"/>
  <c r="P4" i="3"/>
  <c r="I36" i="5"/>
  <c r="AD5" i="1"/>
  <c r="I43" i="5"/>
  <c r="I57" i="5"/>
  <c r="I14" i="5"/>
  <c r="I42" i="5"/>
  <c r="L8" i="3"/>
  <c r="AD9" i="1"/>
  <c r="Y4" i="15" s="1"/>
  <c r="U22" i="1"/>
  <c r="N8" i="3"/>
  <c r="N2" i="4"/>
  <c r="T2" i="4"/>
  <c r="AD15" i="1"/>
  <c r="U52" i="1"/>
  <c r="P52" i="1"/>
  <c r="W11" i="1"/>
  <c r="U11" i="1"/>
  <c r="G3" i="1"/>
  <c r="S8" i="3"/>
  <c r="O12" i="1"/>
  <c r="U13" i="1"/>
  <c r="U8" i="3"/>
  <c r="N4" i="3"/>
  <c r="K4" i="4"/>
  <c r="AD25" i="1"/>
  <c r="AD42" i="1"/>
  <c r="P11" i="1"/>
  <c r="R52" i="1"/>
  <c r="I19" i="5"/>
  <c r="K2" i="3"/>
  <c r="V2" i="3"/>
  <c r="M2" i="3"/>
  <c r="P2" i="3"/>
  <c r="O2" i="3"/>
  <c r="N2" i="3"/>
  <c r="L2" i="3"/>
  <c r="S2" i="3"/>
  <c r="R2" i="3"/>
  <c r="Q2" i="3"/>
  <c r="Q4" i="3"/>
  <c r="T4" i="3"/>
  <c r="T8" i="3"/>
  <c r="H61" i="3"/>
  <c r="H17" i="5"/>
  <c r="V6" i="5"/>
  <c r="U6" i="5"/>
  <c r="T6" i="5"/>
  <c r="S6" i="5"/>
  <c r="R6" i="5"/>
  <c r="P6" i="5"/>
  <c r="O6" i="5"/>
  <c r="N6" i="5"/>
  <c r="L6" i="5"/>
  <c r="X4" i="1"/>
  <c r="AD53" i="1"/>
  <c r="X12" i="1"/>
  <c r="R12" i="1"/>
  <c r="W23" i="1"/>
  <c r="V28" i="1"/>
  <c r="P28" i="1"/>
  <c r="T8" i="5"/>
  <c r="V34" i="1"/>
  <c r="Q34" i="1"/>
  <c r="W34" i="1"/>
  <c r="U34" i="1"/>
  <c r="P34" i="1"/>
  <c r="V22" i="1"/>
  <c r="Q36" i="1"/>
  <c r="S36" i="1"/>
  <c r="S7" i="1"/>
  <c r="V12" i="1"/>
  <c r="W27" i="1"/>
  <c r="U27" i="1"/>
  <c r="W33" i="1"/>
  <c r="P49" i="1"/>
  <c r="X66" i="1"/>
  <c r="U66" i="1"/>
  <c r="V66" i="1"/>
  <c r="Q8" i="3"/>
  <c r="L4" i="3"/>
  <c r="S4" i="3"/>
  <c r="T4" i="4"/>
  <c r="Q6" i="5"/>
  <c r="AD21" i="1"/>
  <c r="Y12" i="15" s="1"/>
  <c r="I16" i="5"/>
  <c r="Q62" i="1"/>
  <c r="X62" i="1"/>
  <c r="V62" i="1"/>
  <c r="U62" i="1"/>
  <c r="P62" i="1"/>
  <c r="W62" i="1"/>
  <c r="R62" i="1"/>
  <c r="S37" i="1"/>
  <c r="Q37" i="1"/>
  <c r="V52" i="1"/>
  <c r="P50" i="1"/>
  <c r="X52" i="1"/>
  <c r="I62" i="5"/>
  <c r="P4" i="4"/>
  <c r="U4" i="5"/>
  <c r="I53" i="5"/>
  <c r="AD19" i="1"/>
  <c r="Y10" i="15" s="1"/>
  <c r="I12" i="5"/>
  <c r="U33" i="1"/>
  <c r="V33" i="1"/>
  <c r="Q33" i="1"/>
  <c r="P33" i="1"/>
  <c r="O33" i="1"/>
  <c r="S11" i="1"/>
  <c r="V6" i="1"/>
  <c r="U6" i="1"/>
  <c r="P6" i="1"/>
  <c r="V7" i="1"/>
  <c r="U9" i="1"/>
  <c r="Q25" i="1"/>
  <c r="W37" i="1"/>
  <c r="O65" i="1"/>
  <c r="I59" i="5"/>
  <c r="AD40" i="1"/>
  <c r="Y7" i="12" s="1"/>
  <c r="W13" i="1"/>
  <c r="V13" i="1"/>
  <c r="Q13" i="1"/>
  <c r="R58" i="1"/>
  <c r="V58" i="1"/>
  <c r="X58" i="1"/>
  <c r="W58" i="1"/>
  <c r="U58" i="1"/>
  <c r="Q58" i="1"/>
  <c r="F10" i="1"/>
  <c r="U6" i="4"/>
  <c r="O13" i="1"/>
  <c r="AD29" i="1"/>
  <c r="Y15" i="15" s="1"/>
  <c r="O34" i="1"/>
  <c r="Q56" i="1"/>
  <c r="P58" i="1"/>
  <c r="O62" i="1"/>
  <c r="I40" i="5"/>
  <c r="W22" i="1"/>
  <c r="Q9" i="1"/>
  <c r="Q11" i="1"/>
  <c r="F32" i="1"/>
  <c r="F3" i="1"/>
  <c r="H8" i="12" s="1"/>
  <c r="V26" i="1"/>
  <c r="V11" i="1"/>
  <c r="O6" i="1"/>
  <c r="W7" i="1"/>
  <c r="V9" i="1"/>
  <c r="F23" i="1"/>
  <c r="H13" i="15" s="1"/>
  <c r="P26" i="1"/>
  <c r="O47" i="1"/>
  <c r="U51" i="1"/>
  <c r="R64" i="1"/>
  <c r="P64" i="1"/>
  <c r="O64" i="1"/>
  <c r="V64" i="1"/>
  <c r="I51" i="5"/>
  <c r="K4" i="3"/>
  <c r="L8" i="5"/>
  <c r="T4" i="5"/>
  <c r="H33" i="5"/>
  <c r="AD37" i="1"/>
  <c r="Y17" i="15" s="1"/>
  <c r="AD18" i="1"/>
  <c r="Y9" i="15" s="1"/>
  <c r="AD41" i="1"/>
  <c r="R4" i="4"/>
  <c r="AD51" i="1"/>
  <c r="W61" i="1"/>
  <c r="R61" i="1"/>
  <c r="S2" i="5"/>
  <c r="I26" i="5"/>
  <c r="O31" i="1"/>
  <c r="O61" i="1"/>
  <c r="I32" i="5"/>
  <c r="AD3" i="1"/>
  <c r="O7" i="1"/>
  <c r="O18" i="1"/>
  <c r="Q31" i="1"/>
  <c r="Q61" i="1"/>
  <c r="I30" i="5"/>
  <c r="K6" i="5"/>
  <c r="AD8" i="1"/>
  <c r="Y10" i="13" s="1"/>
  <c r="Q10" i="13"/>
  <c r="AD23" i="1"/>
  <c r="Y13" i="15" s="1"/>
  <c r="S43" i="1"/>
  <c r="V6" i="3"/>
  <c r="H13" i="3"/>
  <c r="U6" i="3"/>
  <c r="T6" i="3"/>
  <c r="Q6" i="3"/>
  <c r="S6" i="3"/>
  <c r="R6" i="3"/>
  <c r="P6" i="3"/>
  <c r="H26" i="3"/>
  <c r="I38" i="5"/>
  <c r="AD28" i="1"/>
  <c r="M4" i="3"/>
  <c r="K8" i="3"/>
  <c r="Q4" i="4"/>
  <c r="AD10" i="1"/>
  <c r="Q3" i="13"/>
  <c r="AD27" i="1"/>
  <c r="P38" i="1"/>
  <c r="U31" i="1"/>
  <c r="U41" i="1"/>
  <c r="Q44" i="1"/>
  <c r="I24" i="5"/>
  <c r="V4" i="4"/>
  <c r="AD20" i="1"/>
  <c r="Y11" i="15" s="1"/>
  <c r="AD44" i="1"/>
  <c r="AD46" i="1"/>
  <c r="O36" i="1"/>
  <c r="R55" i="1"/>
  <c r="Q65" i="1"/>
  <c r="V8" i="3"/>
  <c r="T8" i="4"/>
  <c r="P8" i="4"/>
  <c r="N8" i="4"/>
  <c r="V8" i="4"/>
  <c r="L4" i="4"/>
  <c r="U8" i="5"/>
  <c r="K8" i="5"/>
  <c r="M8" i="5"/>
  <c r="H25" i="5"/>
  <c r="AD14" i="1"/>
  <c r="AD43" i="1"/>
  <c r="Y12" i="13" s="1"/>
  <c r="I58" i="5"/>
  <c r="M4" i="4"/>
  <c r="AD32" i="1"/>
  <c r="AD50" i="1"/>
  <c r="U4" i="3"/>
  <c r="N4" i="4"/>
  <c r="V4" i="5"/>
  <c r="AD13" i="1"/>
  <c r="V4" i="3"/>
  <c r="Z33" i="1"/>
  <c r="P6" i="4"/>
  <c r="O6" i="4"/>
  <c r="N6" i="4"/>
  <c r="K6" i="4"/>
  <c r="T6" i="4"/>
  <c r="S6" i="4"/>
  <c r="R6" i="4"/>
  <c r="Q6" i="4"/>
  <c r="M6" i="4"/>
  <c r="H12" i="4"/>
  <c r="L6" i="4"/>
  <c r="V6" i="4"/>
  <c r="O4" i="4"/>
  <c r="N4" i="5"/>
  <c r="AD31" i="1"/>
  <c r="Y3" i="16" s="1"/>
  <c r="Y5" i="16" s="1"/>
  <c r="V2" i="4"/>
  <c r="U2" i="4"/>
  <c r="M6" i="5"/>
  <c r="AD6" i="1"/>
  <c r="AD22" i="1"/>
  <c r="Y11" i="13" s="1"/>
  <c r="I50" i="5"/>
  <c r="I52" i="5"/>
  <c r="R2" i="5"/>
  <c r="Q2" i="5"/>
  <c r="P2" i="5"/>
  <c r="M2" i="5"/>
  <c r="I35" i="5"/>
  <c r="AD4" i="1"/>
  <c r="AD24" i="1"/>
  <c r="L2" i="4"/>
  <c r="L8" i="4"/>
  <c r="K8" i="4"/>
  <c r="AD38" i="1"/>
  <c r="M2" i="4"/>
  <c r="O8" i="4"/>
  <c r="L4" i="5"/>
  <c r="AD12" i="1"/>
  <c r="AD16" i="1"/>
  <c r="M4" i="5"/>
  <c r="AD34" i="1"/>
  <c r="AD39" i="1"/>
  <c r="O2" i="4"/>
  <c r="Q8" i="4"/>
  <c r="AD52" i="1"/>
  <c r="P2" i="4"/>
  <c r="R8" i="4"/>
  <c r="AD30" i="1"/>
  <c r="Q2" i="4"/>
  <c r="S8" i="4"/>
  <c r="AD48" i="1"/>
  <c r="R8" i="3"/>
  <c r="P8" i="3"/>
  <c r="H55" i="3"/>
  <c r="R2" i="4"/>
  <c r="X6" i="1"/>
  <c r="AD26" i="1"/>
  <c r="Y14" i="15" s="1"/>
  <c r="M8" i="3"/>
  <c r="R13" i="1"/>
  <c r="Q10" i="15"/>
  <c r="Q12" i="15"/>
  <c r="Q7" i="15"/>
  <c r="Q9" i="13"/>
  <c r="X24" i="15" l="1"/>
  <c r="W24" i="15"/>
  <c r="AL10" i="16"/>
  <c r="AK10" i="16"/>
  <c r="AI10" i="16"/>
  <c r="Q10" i="17" s="1"/>
  <c r="Z4" i="16"/>
  <c r="J5" i="16"/>
  <c r="AN10" i="17"/>
  <c r="AR10" i="16"/>
  <c r="AP10" i="17" s="1"/>
  <c r="AD20" i="13"/>
  <c r="AL14" i="13"/>
  <c r="AQ14" i="13"/>
  <c r="AE20" i="13"/>
  <c r="AO23" i="13"/>
  <c r="AI8" i="17"/>
  <c r="S8" i="17"/>
  <c r="AV8" i="17" s="1"/>
  <c r="R8" i="17"/>
  <c r="AH8" i="17"/>
  <c r="AH27" i="12"/>
  <c r="P8" i="17" s="1"/>
  <c r="AM16" i="12"/>
  <c r="AO16" i="12"/>
  <c r="AI16" i="12"/>
  <c r="AG16" i="12"/>
  <c r="AN16" i="12"/>
  <c r="Y8" i="17"/>
  <c r="BB8" i="17" s="1"/>
  <c r="AO8" i="17"/>
  <c r="AB8" i="17"/>
  <c r="I8" i="17"/>
  <c r="AR16" i="12"/>
  <c r="AN8" i="17"/>
  <c r="X8" i="17"/>
  <c r="BA8" i="17" s="1"/>
  <c r="AL16" i="12"/>
  <c r="V16" i="12"/>
  <c r="AF7" i="17"/>
  <c r="P7" i="17"/>
  <c r="AS7" i="17" s="1"/>
  <c r="S7" i="17"/>
  <c r="AV7" i="17" s="1"/>
  <c r="AI7" i="17"/>
  <c r="AH7" i="17"/>
  <c r="R7" i="17"/>
  <c r="T7" i="17"/>
  <c r="AJ7" i="17"/>
  <c r="AG7" i="17"/>
  <c r="Q7" i="17"/>
  <c r="AT7" i="17" s="1"/>
  <c r="AL7" i="17"/>
  <c r="V7" i="17"/>
  <c r="AY7" i="17" s="1"/>
  <c r="O7" i="17"/>
  <c r="AE7" i="17"/>
  <c r="AQ19" i="11"/>
  <c r="AP8" i="11"/>
  <c r="AR8" i="11"/>
  <c r="AB7" i="17"/>
  <c r="I7" i="17"/>
  <c r="AC7" i="17" s="1"/>
  <c r="AO8" i="11"/>
  <c r="AQ8" i="11"/>
  <c r="AM8" i="11"/>
  <c r="P6" i="17"/>
  <c r="AF6" i="17"/>
  <c r="AK6" i="17"/>
  <c r="U6" i="17"/>
  <c r="AX6" i="17" s="1"/>
  <c r="AN7" i="9"/>
  <c r="AQ7" i="9"/>
  <c r="AM6" i="17"/>
  <c r="W6" i="17"/>
  <c r="AZ6" i="17" s="1"/>
  <c r="AP7" i="9"/>
  <c r="I6" i="17"/>
  <c r="AB6" i="17"/>
  <c r="T6" i="17"/>
  <c r="AJ6" i="17"/>
  <c r="Z6" i="17"/>
  <c r="AP6" i="17"/>
  <c r="AI6" i="17"/>
  <c r="S6" i="17"/>
  <c r="AV6" i="17" s="1"/>
  <c r="AU6" i="17"/>
  <c r="AE6" i="17"/>
  <c r="O6" i="17"/>
  <c r="Q6" i="17"/>
  <c r="AT6" i="17" s="1"/>
  <c r="AO9" i="17"/>
  <c r="Y9" i="17"/>
  <c r="BB9" i="17" s="1"/>
  <c r="AR14" i="13"/>
  <c r="AG14" i="13"/>
  <c r="AN14" i="13"/>
  <c r="T9" i="17"/>
  <c r="AJ9" i="17"/>
  <c r="AH14" i="13"/>
  <c r="AO14" i="13"/>
  <c r="AJ14" i="13"/>
  <c r="AB9" i="17"/>
  <c r="I9" i="17"/>
  <c r="AC9" i="17" s="1"/>
  <c r="AR23" i="13"/>
  <c r="AP14" i="13"/>
  <c r="AM14" i="13"/>
  <c r="AI14" i="13"/>
  <c r="AK14" i="13"/>
  <c r="AK23" i="13"/>
  <c r="AI10" i="17"/>
  <c r="T10" i="17"/>
  <c r="AJ10" i="17"/>
  <c r="O10" i="17"/>
  <c r="AE10" i="17"/>
  <c r="AH10" i="16"/>
  <c r="AB10" i="17"/>
  <c r="I10" i="17"/>
  <c r="AG10" i="17"/>
  <c r="W10" i="17"/>
  <c r="AM10" i="17"/>
  <c r="AH10" i="17"/>
  <c r="X10" i="17"/>
  <c r="AM10" i="16"/>
  <c r="U10" i="17" s="1"/>
  <c r="V10" i="17"/>
  <c r="AL10" i="17"/>
  <c r="AQ10" i="16"/>
  <c r="AO10" i="17" s="1"/>
  <c r="S10" i="17"/>
  <c r="V14" i="13"/>
  <c r="AD7" i="11"/>
  <c r="AM15" i="1"/>
  <c r="AI55" i="1"/>
  <c r="AN22" i="1"/>
  <c r="AH65" i="1"/>
  <c r="AL65" i="1"/>
  <c r="AD9" i="15"/>
  <c r="AJ22" i="1"/>
  <c r="AF65" i="1"/>
  <c r="S14" i="11"/>
  <c r="AI65" i="1"/>
  <c r="AH55" i="1"/>
  <c r="AN65" i="1"/>
  <c r="AL55" i="1"/>
  <c r="AO55" i="1"/>
  <c r="AN62" i="1"/>
  <c r="AH22" i="1"/>
  <c r="AL22" i="1"/>
  <c r="AJ65" i="1"/>
  <c r="AJ55" i="1"/>
  <c r="AN55" i="1"/>
  <c r="AE3" i="16"/>
  <c r="S9" i="15"/>
  <c r="T12" i="11"/>
  <c r="AF26" i="1"/>
  <c r="AM55" i="1"/>
  <c r="AC6" i="13"/>
  <c r="AC9" i="15"/>
  <c r="AJ62" i="1"/>
  <c r="S14" i="15"/>
  <c r="AO62" i="1"/>
  <c r="AG62" i="1"/>
  <c r="AC18" i="15"/>
  <c r="AL15" i="1"/>
  <c r="AN37" i="1"/>
  <c r="AM37" i="1"/>
  <c r="AM42" i="1"/>
  <c r="AG42" i="1"/>
  <c r="AF37" i="1"/>
  <c r="AJ42" i="1"/>
  <c r="AN42" i="1"/>
  <c r="AM26" i="1"/>
  <c r="J14" i="11"/>
  <c r="Z14" i="11" s="1"/>
  <c r="AC14" i="11" s="1"/>
  <c r="AD14" i="15"/>
  <c r="AH62" i="1"/>
  <c r="AF42" i="1"/>
  <c r="AF31" i="1"/>
  <c r="AF62" i="1"/>
  <c r="AJ37" i="1"/>
  <c r="S12" i="11"/>
  <c r="AL31" i="1"/>
  <c r="AD11" i="13"/>
  <c r="AM31" i="1"/>
  <c r="AC4" i="12"/>
  <c r="AH34" i="1"/>
  <c r="AC6" i="15"/>
  <c r="AN34" i="1"/>
  <c r="AC13" i="12"/>
  <c r="AH37" i="1"/>
  <c r="AN15" i="1"/>
  <c r="AL26" i="1"/>
  <c r="AC11" i="12"/>
  <c r="AH31" i="1"/>
  <c r="AC9" i="13"/>
  <c r="S6" i="12"/>
  <c r="AC11" i="13"/>
  <c r="AH42" i="1"/>
  <c r="AF15" i="1"/>
  <c r="AJ15" i="1"/>
  <c r="AC13" i="13"/>
  <c r="S6" i="13"/>
  <c r="AM68" i="1"/>
  <c r="AL34" i="1"/>
  <c r="AF34" i="1"/>
  <c r="S11" i="12"/>
  <c r="AG31" i="1"/>
  <c r="AG34" i="1"/>
  <c r="AD13" i="12"/>
  <c r="AC6" i="12"/>
  <c r="AM34" i="1"/>
  <c r="AL37" i="1"/>
  <c r="S11" i="13"/>
  <c r="AC7" i="12"/>
  <c r="P19" i="11"/>
  <c r="S19" i="11" s="1"/>
  <c r="AG15" i="1"/>
  <c r="AL62" i="1"/>
  <c r="AJ26" i="1"/>
  <c r="S11" i="15"/>
  <c r="J11" i="15"/>
  <c r="Z11" i="15" s="1"/>
  <c r="AD11" i="15" s="1"/>
  <c r="AI58" i="1"/>
  <c r="AG58" i="1"/>
  <c r="AF58" i="1"/>
  <c r="S4" i="9"/>
  <c r="J4" i="9"/>
  <c r="Z4" i="9" s="1"/>
  <c r="AE4" i="9" s="1"/>
  <c r="AC6" i="9"/>
  <c r="S20" i="12"/>
  <c r="T22" i="12"/>
  <c r="J22" i="12"/>
  <c r="Z22" i="12" s="1"/>
  <c r="AE22" i="12" s="1"/>
  <c r="AL68" i="1"/>
  <c r="AG55" i="1"/>
  <c r="T15" i="11"/>
  <c r="J15" i="11"/>
  <c r="Z15" i="11" s="1"/>
  <c r="AC5" i="15"/>
  <c r="Z20" i="12"/>
  <c r="AD20" i="12" s="1"/>
  <c r="S5" i="11"/>
  <c r="J5" i="11"/>
  <c r="Z5" i="11" s="1"/>
  <c r="AE5" i="11" s="1"/>
  <c r="AN68" i="1"/>
  <c r="S9" i="12"/>
  <c r="J9" i="12"/>
  <c r="Z9" i="12" s="1"/>
  <c r="AE9" i="12" s="1"/>
  <c r="AH58" i="1"/>
  <c r="AO68" i="1"/>
  <c r="S13" i="9"/>
  <c r="J13" i="9"/>
  <c r="Z13" i="9" s="1"/>
  <c r="AE13" i="9" s="1"/>
  <c r="S3" i="13"/>
  <c r="J3" i="13"/>
  <c r="Z12" i="11"/>
  <c r="S10" i="15"/>
  <c r="J10" i="15"/>
  <c r="Z10" i="15" s="1"/>
  <c r="AE10" i="15" s="1"/>
  <c r="AI62" i="1"/>
  <c r="T21" i="12"/>
  <c r="J21" i="12"/>
  <c r="Z21" i="12" s="1"/>
  <c r="AE21" i="12" s="1"/>
  <c r="S12" i="13"/>
  <c r="J12" i="13"/>
  <c r="Z12" i="13" s="1"/>
  <c r="AE12" i="13" s="1"/>
  <c r="S17" i="15"/>
  <c r="J17" i="15"/>
  <c r="Z17" i="15" s="1"/>
  <c r="AE17" i="15" s="1"/>
  <c r="AL58" i="1"/>
  <c r="AN26" i="1"/>
  <c r="S15" i="12"/>
  <c r="J15" i="12"/>
  <c r="Z15" i="12" s="1"/>
  <c r="AE15" i="12" s="1"/>
  <c r="T3" i="12"/>
  <c r="J3" i="12"/>
  <c r="S5" i="9"/>
  <c r="J5" i="9"/>
  <c r="Z5" i="9" s="1"/>
  <c r="AE5" i="9" s="1"/>
  <c r="AM58" i="1"/>
  <c r="AD7" i="12"/>
  <c r="T10" i="12"/>
  <c r="J10" i="12"/>
  <c r="Z10" i="12" s="1"/>
  <c r="AE10" i="12" s="1"/>
  <c r="S12" i="9"/>
  <c r="J12" i="9"/>
  <c r="AO58" i="1"/>
  <c r="J3" i="15"/>
  <c r="S8" i="13"/>
  <c r="J8" i="13"/>
  <c r="Z8" i="13" s="1"/>
  <c r="AE8" i="13" s="1"/>
  <c r="S7" i="13"/>
  <c r="J7" i="13"/>
  <c r="Z7" i="13" s="1"/>
  <c r="AE7" i="13" s="1"/>
  <c r="T7" i="16"/>
  <c r="J7" i="16"/>
  <c r="P10" i="16"/>
  <c r="T20" i="12"/>
  <c r="S13" i="15"/>
  <c r="J13" i="15"/>
  <c r="Z13" i="15" s="1"/>
  <c r="AE13" i="15" s="1"/>
  <c r="T23" i="12"/>
  <c r="J23" i="12"/>
  <c r="Z23" i="12" s="1"/>
  <c r="AE23" i="12" s="1"/>
  <c r="AI68" i="1"/>
  <c r="AF68" i="1"/>
  <c r="AG68" i="1"/>
  <c r="AH68" i="1"/>
  <c r="AJ58" i="1"/>
  <c r="T24" i="12"/>
  <c r="J24" i="12"/>
  <c r="Z24" i="12" s="1"/>
  <c r="AE24" i="12" s="1"/>
  <c r="S18" i="13"/>
  <c r="J18" i="13"/>
  <c r="Z18" i="13" s="1"/>
  <c r="AE18" i="13" s="1"/>
  <c r="S12" i="15"/>
  <c r="J12" i="15"/>
  <c r="Z12" i="15" s="1"/>
  <c r="AE12" i="15" s="1"/>
  <c r="S15" i="15"/>
  <c r="J15" i="15"/>
  <c r="Z15" i="15" s="1"/>
  <c r="AE15" i="15" s="1"/>
  <c r="AC14" i="15"/>
  <c r="S3" i="12"/>
  <c r="S19" i="13"/>
  <c r="J19" i="13"/>
  <c r="Z19" i="13" s="1"/>
  <c r="AE19" i="13" s="1"/>
  <c r="S10" i="13"/>
  <c r="J10" i="13"/>
  <c r="Z10" i="13" s="1"/>
  <c r="D20" i="17"/>
  <c r="G20" i="17" s="1"/>
  <c r="R5" i="3"/>
  <c r="O5" i="3"/>
  <c r="R7" i="3"/>
  <c r="N5" i="3"/>
  <c r="M7" i="3"/>
  <c r="K7" i="3"/>
  <c r="AM69" i="1"/>
  <c r="AI69" i="1"/>
  <c r="AJ69" i="1"/>
  <c r="AO69" i="1"/>
  <c r="AF69" i="1"/>
  <c r="AG69" i="1"/>
  <c r="AH69" i="1"/>
  <c r="AL69" i="1"/>
  <c r="AN69" i="1"/>
  <c r="S21" i="12"/>
  <c r="S22" i="12"/>
  <c r="T13" i="9"/>
  <c r="T10" i="13"/>
  <c r="S23" i="12"/>
  <c r="S18" i="15"/>
  <c r="Q29" i="1"/>
  <c r="P57" i="1"/>
  <c r="V30" i="1"/>
  <c r="P12" i="12"/>
  <c r="P4" i="13"/>
  <c r="V29" i="1"/>
  <c r="W30" i="1"/>
  <c r="O21" i="1"/>
  <c r="P21" i="1"/>
  <c r="Q51" i="1"/>
  <c r="V25" i="1"/>
  <c r="V10" i="1"/>
  <c r="S20" i="1"/>
  <c r="O38" i="1"/>
  <c r="W29" i="1"/>
  <c r="Q30" i="1"/>
  <c r="S4" i="12"/>
  <c r="P29" i="1"/>
  <c r="U12" i="1"/>
  <c r="S30" i="1"/>
  <c r="V40" i="1"/>
  <c r="S4" i="1"/>
  <c r="Q40" i="1"/>
  <c r="S10" i="1"/>
  <c r="V38" i="1"/>
  <c r="P30" i="1"/>
  <c r="T3" i="13"/>
  <c r="X56" i="1"/>
  <c r="W12" i="1"/>
  <c r="O30" i="1"/>
  <c r="O5" i="1"/>
  <c r="S25" i="1"/>
  <c r="P51" i="1"/>
  <c r="V4" i="1"/>
  <c r="R38" i="1"/>
  <c r="T12" i="15"/>
  <c r="X54" i="1"/>
  <c r="V51" i="1"/>
  <c r="U4" i="1"/>
  <c r="P16" i="15"/>
  <c r="R51" i="1"/>
  <c r="T18" i="13"/>
  <c r="W4" i="1"/>
  <c r="P20" i="1"/>
  <c r="V49" i="1"/>
  <c r="O51" i="1"/>
  <c r="R56" i="1"/>
  <c r="O10" i="1"/>
  <c r="X63" i="1"/>
  <c r="Q5" i="1"/>
  <c r="W38" i="1"/>
  <c r="S38" i="1"/>
  <c r="X38" i="1"/>
  <c r="P45" i="1"/>
  <c r="X61" i="1"/>
  <c r="P66" i="1"/>
  <c r="R54" i="1"/>
  <c r="V5" i="1"/>
  <c r="S35" i="1"/>
  <c r="O46" i="1"/>
  <c r="S12" i="1"/>
  <c r="W49" i="1"/>
  <c r="U61" i="1"/>
  <c r="O66" i="1"/>
  <c r="Q59" i="1"/>
  <c r="Q38" i="1"/>
  <c r="V46" i="1"/>
  <c r="U30" i="1"/>
  <c r="O25" i="1"/>
  <c r="V21" i="1"/>
  <c r="V45" i="1"/>
  <c r="X64" i="1"/>
  <c r="U23" i="1"/>
  <c r="Q66" i="1"/>
  <c r="P59" i="1"/>
  <c r="U45" i="1"/>
  <c r="S21" i="1"/>
  <c r="W25" i="1"/>
  <c r="Q23" i="1"/>
  <c r="S59" i="1"/>
  <c r="W51" i="1"/>
  <c r="W17" i="1"/>
  <c r="R59" i="1"/>
  <c r="U25" i="1"/>
  <c r="S17" i="1"/>
  <c r="P3" i="9"/>
  <c r="S13" i="13"/>
  <c r="U29" i="1"/>
  <c r="U38" i="1"/>
  <c r="X5" i="1"/>
  <c r="U21" i="1"/>
  <c r="O49" i="1"/>
  <c r="U59" i="1"/>
  <c r="O20" i="1"/>
  <c r="P25" i="1"/>
  <c r="W10" i="1"/>
  <c r="P8" i="15"/>
  <c r="R32" i="1"/>
  <c r="W16" i="1"/>
  <c r="W32" i="1"/>
  <c r="S53" i="1"/>
  <c r="S28" i="1"/>
  <c r="U28" i="1"/>
  <c r="P27" i="1"/>
  <c r="O57" i="1"/>
  <c r="V53" i="1"/>
  <c r="P40" i="1"/>
  <c r="W54" i="1"/>
  <c r="P16" i="1"/>
  <c r="U64" i="1"/>
  <c r="O27" i="1"/>
  <c r="S57" i="1"/>
  <c r="W24" i="1"/>
  <c r="U46" i="1"/>
  <c r="P16" i="9"/>
  <c r="S16" i="9" s="1"/>
  <c r="P60" i="1"/>
  <c r="U57" i="1"/>
  <c r="W57" i="1"/>
  <c r="P17" i="1"/>
  <c r="W5" i="1"/>
  <c r="V24" i="1"/>
  <c r="W21" i="1"/>
  <c r="V48" i="1"/>
  <c r="O63" i="1"/>
  <c r="U20" i="1"/>
  <c r="O60" i="1"/>
  <c r="R60" i="1"/>
  <c r="S24" i="1"/>
  <c r="V56" i="1"/>
  <c r="X57" i="1"/>
  <c r="P61" i="1"/>
  <c r="U35" i="1"/>
  <c r="W14" i="1"/>
  <c r="X24" i="1"/>
  <c r="Q43" i="1"/>
  <c r="S45" i="1"/>
  <c r="S23" i="1"/>
  <c r="P14" i="12"/>
  <c r="T9" i="12"/>
  <c r="S56" i="1"/>
  <c r="P32" i="1"/>
  <c r="Q32" i="1"/>
  <c r="W28" i="1"/>
  <c r="U32" i="1"/>
  <c r="P5" i="12"/>
  <c r="O28" i="1"/>
  <c r="Q54" i="1"/>
  <c r="O53" i="1"/>
  <c r="Q28" i="1"/>
  <c r="V60" i="1"/>
  <c r="Q35" i="1"/>
  <c r="T10" i="15"/>
  <c r="U53" i="1"/>
  <c r="P46" i="1"/>
  <c r="V27" i="1"/>
  <c r="P23" i="13"/>
  <c r="S23" i="13" s="1"/>
  <c r="W60" i="1"/>
  <c r="V17" i="1"/>
  <c r="W56" i="1"/>
  <c r="O17" i="1"/>
  <c r="W35" i="1"/>
  <c r="X32" i="1"/>
  <c r="V16" i="1"/>
  <c r="U49" i="1"/>
  <c r="P3" i="11"/>
  <c r="R49" i="1"/>
  <c r="U60" i="1"/>
  <c r="S9" i="1"/>
  <c r="W66" i="1"/>
  <c r="P56" i="1"/>
  <c r="O56" i="1"/>
  <c r="Q17" i="1"/>
  <c r="P63" i="1"/>
  <c r="O35" i="1"/>
  <c r="P48" i="1"/>
  <c r="Q21" i="1"/>
  <c r="W64" i="1"/>
  <c r="S46" i="1"/>
  <c r="S64" i="1"/>
  <c r="P4" i="15"/>
  <c r="J4" i="15" s="1"/>
  <c r="Z4" i="15" s="1"/>
  <c r="AE4" i="15" s="1"/>
  <c r="T12" i="9"/>
  <c r="P53" i="1"/>
  <c r="Q16" i="1"/>
  <c r="V32" i="1"/>
  <c r="P54" i="1"/>
  <c r="R16" i="1"/>
  <c r="S40" i="1"/>
  <c r="W9" i="1"/>
  <c r="W41" i="1"/>
  <c r="X17" i="1"/>
  <c r="W53" i="1"/>
  <c r="O16" i="1"/>
  <c r="Q53" i="1"/>
  <c r="S32" i="1"/>
  <c r="O48" i="1"/>
  <c r="U54" i="1"/>
  <c r="S16" i="1"/>
  <c r="O40" i="1"/>
  <c r="V57" i="1"/>
  <c r="Q60" i="1"/>
  <c r="V35" i="1"/>
  <c r="S27" i="1"/>
  <c r="X60" i="1"/>
  <c r="O54" i="1"/>
  <c r="Q57" i="1"/>
  <c r="V63" i="1"/>
  <c r="S63" i="1"/>
  <c r="Q45" i="1"/>
  <c r="W40" i="1"/>
  <c r="U16" i="1"/>
  <c r="S48" i="1"/>
  <c r="V54" i="1"/>
  <c r="S54" i="1"/>
  <c r="W63" i="1"/>
  <c r="Q24" i="1"/>
  <c r="O24" i="1"/>
  <c r="U19" i="1"/>
  <c r="Q48" i="1"/>
  <c r="O41" i="1"/>
  <c r="Q64" i="1"/>
  <c r="O32" i="1"/>
  <c r="X9" i="1"/>
  <c r="O45" i="1"/>
  <c r="Q49" i="1"/>
  <c r="W52" i="1"/>
  <c r="P12" i="1"/>
  <c r="Q63" i="1"/>
  <c r="O19" i="1"/>
  <c r="W19" i="1"/>
  <c r="V43" i="1"/>
  <c r="U56" i="1"/>
  <c r="S41" i="1"/>
  <c r="V20" i="1"/>
  <c r="Y6" i="15"/>
  <c r="AD6" i="15" s="1"/>
  <c r="Y8" i="15"/>
  <c r="L5" i="5"/>
  <c r="Y7" i="15"/>
  <c r="AD7" i="15" s="1"/>
  <c r="Y16" i="15"/>
  <c r="K5" i="5"/>
  <c r="U5" i="5"/>
  <c r="N5" i="5"/>
  <c r="Q17" i="15"/>
  <c r="T17" i="15" s="1"/>
  <c r="F45" i="17"/>
  <c r="E25" i="17"/>
  <c r="H19" i="17"/>
  <c r="H25" i="17" s="1"/>
  <c r="S9" i="13"/>
  <c r="F46" i="17"/>
  <c r="S7" i="15"/>
  <c r="S7" i="12"/>
  <c r="M44" i="17"/>
  <c r="P27" i="12"/>
  <c r="F44" i="17"/>
  <c r="R20" i="1"/>
  <c r="Q11" i="15"/>
  <c r="T11" i="15" s="1"/>
  <c r="AC7" i="15"/>
  <c r="J46" i="17"/>
  <c r="J44" i="17"/>
  <c r="H47" i="17"/>
  <c r="X18" i="1"/>
  <c r="Q9" i="15"/>
  <c r="T9" i="15" s="1"/>
  <c r="Q4" i="15"/>
  <c r="Y18" i="15"/>
  <c r="AD18" i="15" s="1"/>
  <c r="Y5" i="15"/>
  <c r="AD5" i="15" s="1"/>
  <c r="R11" i="1"/>
  <c r="Q5" i="15"/>
  <c r="T5" i="15" s="1"/>
  <c r="S13" i="11"/>
  <c r="S3" i="15"/>
  <c r="Q6" i="15"/>
  <c r="T6" i="15" s="1"/>
  <c r="F47" i="17"/>
  <c r="F10" i="17" s="1"/>
  <c r="M43" i="17"/>
  <c r="S5" i="15"/>
  <c r="Q3" i="15"/>
  <c r="R26" i="1"/>
  <c r="Q14" i="15"/>
  <c r="T14" i="15" s="1"/>
  <c r="S10" i="12"/>
  <c r="V27" i="12"/>
  <c r="X29" i="1"/>
  <c r="Q15" i="15"/>
  <c r="T15" i="15" s="1"/>
  <c r="R23" i="1"/>
  <c r="Q13" i="15"/>
  <c r="T13" i="15" s="1"/>
  <c r="Q8" i="15"/>
  <c r="M45" i="17"/>
  <c r="J45" i="17"/>
  <c r="Q18" i="15"/>
  <c r="T18" i="15" s="1"/>
  <c r="M47" i="17"/>
  <c r="M46" i="17"/>
  <c r="J47" i="17"/>
  <c r="F43" i="17"/>
  <c r="J43" i="17"/>
  <c r="S6" i="15"/>
  <c r="AC3" i="16"/>
  <c r="T9" i="13"/>
  <c r="O14" i="13"/>
  <c r="H6" i="12"/>
  <c r="Q6" i="12"/>
  <c r="T6" i="12" s="1"/>
  <c r="R31" i="1"/>
  <c r="Q3" i="16"/>
  <c r="Y6" i="12"/>
  <c r="AD6" i="12" s="1"/>
  <c r="Q15" i="12"/>
  <c r="T15" i="12" s="1"/>
  <c r="AD3" i="16"/>
  <c r="S24" i="12"/>
  <c r="T7" i="15"/>
  <c r="O16" i="12"/>
  <c r="AE25" i="11"/>
  <c r="AC25" i="11"/>
  <c r="S13" i="12"/>
  <c r="S5" i="16"/>
  <c r="R27" i="1"/>
  <c r="Q7" i="13"/>
  <c r="T7" i="13" s="1"/>
  <c r="Y4" i="13"/>
  <c r="Y3" i="15"/>
  <c r="H4" i="13"/>
  <c r="H3" i="15"/>
  <c r="Q13" i="13"/>
  <c r="T13" i="13" s="1"/>
  <c r="W27" i="12"/>
  <c r="Y13" i="13"/>
  <c r="AD13" i="13" s="1"/>
  <c r="R15" i="1"/>
  <c r="Q5" i="13"/>
  <c r="T5" i="13" s="1"/>
  <c r="S8" i="12"/>
  <c r="R22" i="1"/>
  <c r="Q11" i="13"/>
  <c r="T11" i="13" s="1"/>
  <c r="Y23" i="13"/>
  <c r="W23" i="13"/>
  <c r="R42" i="1"/>
  <c r="Q11" i="12"/>
  <c r="T11" i="12" s="1"/>
  <c r="R25" i="1"/>
  <c r="Q4" i="12"/>
  <c r="T4" i="12" s="1"/>
  <c r="Y8" i="13"/>
  <c r="H7" i="12"/>
  <c r="Y12" i="12"/>
  <c r="Y9" i="13"/>
  <c r="AD9" i="13" s="1"/>
  <c r="H7" i="13"/>
  <c r="H10" i="12"/>
  <c r="H8" i="13"/>
  <c r="X23" i="13"/>
  <c r="Y11" i="12"/>
  <c r="AD11" i="12" s="1"/>
  <c r="H3" i="13"/>
  <c r="H3" i="12"/>
  <c r="H5" i="13"/>
  <c r="H9" i="12"/>
  <c r="Y6" i="13"/>
  <c r="AD6" i="13" s="1"/>
  <c r="Y5" i="12"/>
  <c r="Y3" i="12"/>
  <c r="Y3" i="13"/>
  <c r="Y8" i="12"/>
  <c r="AD8" i="12" s="1"/>
  <c r="W16" i="9"/>
  <c r="V23" i="13"/>
  <c r="R28" i="1"/>
  <c r="Q5" i="12"/>
  <c r="Q6" i="13"/>
  <c r="T6" i="13" s="1"/>
  <c r="W19" i="11"/>
  <c r="Y4" i="12"/>
  <c r="AD4" i="12" s="1"/>
  <c r="Y14" i="12"/>
  <c r="H5" i="12"/>
  <c r="H6" i="13"/>
  <c r="X16" i="9"/>
  <c r="Q12" i="13"/>
  <c r="T12" i="13" s="1"/>
  <c r="Q13" i="12"/>
  <c r="T13" i="12" s="1"/>
  <c r="R3" i="1"/>
  <c r="Q4" i="13"/>
  <c r="W14" i="13"/>
  <c r="X34" i="1"/>
  <c r="Q8" i="13"/>
  <c r="T8" i="13" s="1"/>
  <c r="H4" i="12"/>
  <c r="Y15" i="12"/>
  <c r="Y5" i="13"/>
  <c r="AD5" i="13" s="1"/>
  <c r="Y9" i="12"/>
  <c r="X14" i="13"/>
  <c r="X7" i="1"/>
  <c r="Y10" i="12"/>
  <c r="Y7" i="13"/>
  <c r="D22" i="17"/>
  <c r="G22" i="17" s="1"/>
  <c r="AD33" i="12"/>
  <c r="AC33" i="12"/>
  <c r="X27" i="12"/>
  <c r="Y16" i="9"/>
  <c r="Y27" i="12"/>
  <c r="R5" i="1"/>
  <c r="W16" i="12"/>
  <c r="X11" i="1"/>
  <c r="R40" i="1"/>
  <c r="Q7" i="12"/>
  <c r="X3" i="1"/>
  <c r="AC8" i="12"/>
  <c r="X16" i="12"/>
  <c r="X35" i="1"/>
  <c r="Q8" i="12"/>
  <c r="T8" i="12" s="1"/>
  <c r="X13" i="1"/>
  <c r="W7" i="9"/>
  <c r="X19" i="11"/>
  <c r="O8" i="11"/>
  <c r="V16" i="9"/>
  <c r="Y3" i="11"/>
  <c r="Y3" i="9"/>
  <c r="S6" i="9"/>
  <c r="X8" i="11"/>
  <c r="AC4" i="11"/>
  <c r="S4" i="11"/>
  <c r="Y19" i="11"/>
  <c r="V19" i="11"/>
  <c r="R4" i="1"/>
  <c r="Q3" i="11"/>
  <c r="Q3" i="9"/>
  <c r="X7" i="9"/>
  <c r="W8" i="11"/>
  <c r="Y6" i="9"/>
  <c r="AD6" i="9" s="1"/>
  <c r="H3" i="11"/>
  <c r="H3" i="9"/>
  <c r="X44" i="1"/>
  <c r="Q6" i="9"/>
  <c r="T6" i="9" s="1"/>
  <c r="Y5" i="9"/>
  <c r="Y5" i="11"/>
  <c r="H4" i="9"/>
  <c r="H4" i="11"/>
  <c r="R41" i="1"/>
  <c r="Q5" i="9"/>
  <c r="T5" i="9" s="1"/>
  <c r="Q5" i="11"/>
  <c r="T5" i="11" s="1"/>
  <c r="V4" i="11"/>
  <c r="V8" i="11" s="1"/>
  <c r="V4" i="9"/>
  <c r="V7" i="9" s="1"/>
  <c r="AC22" i="9"/>
  <c r="AO51" i="1"/>
  <c r="AI51" i="1"/>
  <c r="AO5" i="1"/>
  <c r="AI5" i="1"/>
  <c r="X42" i="1"/>
  <c r="AI35" i="1"/>
  <c r="AO35" i="1"/>
  <c r="AO20" i="1"/>
  <c r="AI20" i="1"/>
  <c r="AI16" i="1"/>
  <c r="AO16" i="1"/>
  <c r="AO23" i="1"/>
  <c r="AI23" i="1"/>
  <c r="AI36" i="1"/>
  <c r="AO36" i="1"/>
  <c r="AI3" i="1"/>
  <c r="AO3" i="1"/>
  <c r="AO29" i="1"/>
  <c r="AI29" i="1"/>
  <c r="AO11" i="1"/>
  <c r="AI11" i="1"/>
  <c r="AI10" i="1"/>
  <c r="AO10" i="1"/>
  <c r="AO25" i="1"/>
  <c r="AI25" i="1"/>
  <c r="R18" i="1"/>
  <c r="AI15" i="1"/>
  <c r="AO15" i="1"/>
  <c r="AO13" i="1"/>
  <c r="AI13" i="1"/>
  <c r="AO9" i="1"/>
  <c r="AI9" i="1"/>
  <c r="AI39" i="1"/>
  <c r="AO39" i="1"/>
  <c r="AI44" i="1"/>
  <c r="AO44" i="1"/>
  <c r="AO34" i="1"/>
  <c r="AI34" i="1"/>
  <c r="AO42" i="1"/>
  <c r="AI42" i="1"/>
  <c r="AI48" i="1"/>
  <c r="AO48" i="1"/>
  <c r="AO40" i="1"/>
  <c r="AI40" i="1"/>
  <c r="X49" i="1"/>
  <c r="AI17" i="1"/>
  <c r="AO17" i="1"/>
  <c r="AI14" i="1"/>
  <c r="AO14" i="1"/>
  <c r="AO12" i="1"/>
  <c r="AI12" i="1"/>
  <c r="AI19" i="1"/>
  <c r="AO19" i="1"/>
  <c r="AO53" i="1"/>
  <c r="AI53" i="1"/>
  <c r="AO32" i="1"/>
  <c r="AI32" i="1"/>
  <c r="AI30" i="1"/>
  <c r="AO30" i="1"/>
  <c r="AI38" i="1"/>
  <c r="AO38" i="1"/>
  <c r="AI24" i="1"/>
  <c r="AO24" i="1"/>
  <c r="AI8" i="1"/>
  <c r="AO8" i="1"/>
  <c r="X31" i="1"/>
  <c r="AI18" i="1"/>
  <c r="AO18" i="1"/>
  <c r="X40" i="1"/>
  <c r="AI26" i="1"/>
  <c r="AO26" i="1"/>
  <c r="AH33" i="1"/>
  <c r="AN33" i="1"/>
  <c r="AJ33" i="1"/>
  <c r="AO21" i="1"/>
  <c r="AI21" i="1"/>
  <c r="AO31" i="1"/>
  <c r="AI31" i="1"/>
  <c r="AO22" i="1"/>
  <c r="AI22" i="1"/>
  <c r="AO43" i="1"/>
  <c r="AI43" i="1"/>
  <c r="AI6" i="1"/>
  <c r="AO6" i="1"/>
  <c r="AI37" i="1"/>
  <c r="AO37" i="1"/>
  <c r="AO52" i="1"/>
  <c r="AI52" i="1"/>
  <c r="AO41" i="1"/>
  <c r="AI41" i="1"/>
  <c r="AI28" i="1"/>
  <c r="AO28" i="1"/>
  <c r="AI50" i="1"/>
  <c r="AO50" i="1"/>
  <c r="AI46" i="1"/>
  <c r="AO46" i="1"/>
  <c r="AI4" i="1"/>
  <c r="AO4" i="1"/>
  <c r="AI27" i="1"/>
  <c r="AO27" i="1"/>
  <c r="D19" i="17"/>
  <c r="V7" i="4"/>
  <c r="S7" i="4"/>
  <c r="T7" i="4"/>
  <c r="L7" i="4"/>
  <c r="K7" i="4"/>
  <c r="O7" i="4"/>
  <c r="N7" i="4"/>
  <c r="M7" i="4"/>
  <c r="U7" i="4"/>
  <c r="R7" i="4"/>
  <c r="Q7" i="4"/>
  <c r="P7" i="4"/>
  <c r="X50" i="1"/>
  <c r="R50" i="1"/>
  <c r="R8" i="1"/>
  <c r="X8" i="1"/>
  <c r="X28" i="1"/>
  <c r="U7" i="3"/>
  <c r="R37" i="1"/>
  <c r="X37" i="1"/>
  <c r="M5" i="5"/>
  <c r="U5" i="3"/>
  <c r="R6" i="1"/>
  <c r="R17" i="1"/>
  <c r="R36" i="1"/>
  <c r="X36" i="1"/>
  <c r="P5" i="5"/>
  <c r="Q7" i="3"/>
  <c r="X51" i="1"/>
  <c r="S5" i="5"/>
  <c r="Q5" i="5"/>
  <c r="L5" i="3"/>
  <c r="U9" i="3"/>
  <c r="S9" i="3"/>
  <c r="R9" i="3"/>
  <c r="Q9" i="3"/>
  <c r="P9" i="3"/>
  <c r="O9" i="3"/>
  <c r="N9" i="3"/>
  <c r="M9" i="3"/>
  <c r="V9" i="3"/>
  <c r="T9" i="3"/>
  <c r="L9" i="3"/>
  <c r="K9" i="3"/>
  <c r="R21" i="1"/>
  <c r="X21" i="1"/>
  <c r="V5" i="5"/>
  <c r="X10" i="1"/>
  <c r="R10" i="1"/>
  <c r="X23" i="1"/>
  <c r="X27" i="1"/>
  <c r="X39" i="1"/>
  <c r="R39" i="1"/>
  <c r="R7" i="5"/>
  <c r="Q7" i="5"/>
  <c r="P7" i="5"/>
  <c r="M7" i="5"/>
  <c r="V7" i="5"/>
  <c r="U7" i="5"/>
  <c r="T7" i="5"/>
  <c r="S7" i="5"/>
  <c r="O7" i="5"/>
  <c r="N7" i="5"/>
  <c r="L7" i="5"/>
  <c r="K7" i="5"/>
  <c r="M5" i="3"/>
  <c r="R35" i="1"/>
  <c r="T9" i="4"/>
  <c r="S9" i="4"/>
  <c r="R9" i="4"/>
  <c r="O9" i="4"/>
  <c r="V9" i="4"/>
  <c r="Q9" i="4"/>
  <c r="P9" i="4"/>
  <c r="U9" i="4"/>
  <c r="L9" i="4"/>
  <c r="K9" i="4"/>
  <c r="N9" i="4"/>
  <c r="M9" i="4"/>
  <c r="V5" i="4"/>
  <c r="S5" i="4"/>
  <c r="U5" i="4"/>
  <c r="R5" i="4"/>
  <c r="Q5" i="4"/>
  <c r="T5" i="4"/>
  <c r="P5" i="4"/>
  <c r="O5" i="4"/>
  <c r="M5" i="4"/>
  <c r="N5" i="4"/>
  <c r="L5" i="4"/>
  <c r="K5" i="4"/>
  <c r="R29" i="1"/>
  <c r="O5" i="5"/>
  <c r="R5" i="5"/>
  <c r="S5" i="3"/>
  <c r="V5" i="3"/>
  <c r="T5" i="3"/>
  <c r="T5" i="5"/>
  <c r="R34" i="1"/>
  <c r="AD33" i="1"/>
  <c r="X22" i="1"/>
  <c r="R53" i="1"/>
  <c r="X53" i="1"/>
  <c r="R48" i="1"/>
  <c r="X48" i="1"/>
  <c r="X25" i="1"/>
  <c r="Q5" i="3"/>
  <c r="S7" i="3"/>
  <c r="X47" i="1"/>
  <c r="R47" i="1"/>
  <c r="R44" i="1"/>
  <c r="X26" i="1"/>
  <c r="L7" i="3"/>
  <c r="N9" i="5"/>
  <c r="M9" i="5"/>
  <c r="L9" i="5"/>
  <c r="V9" i="5"/>
  <c r="U9" i="5"/>
  <c r="T9" i="5"/>
  <c r="S9" i="5"/>
  <c r="R9" i="5"/>
  <c r="Q9" i="5"/>
  <c r="K9" i="5"/>
  <c r="O9" i="5"/>
  <c r="P9" i="5"/>
  <c r="R19" i="1"/>
  <c r="X19" i="1"/>
  <c r="X43" i="1"/>
  <c r="R43" i="1"/>
  <c r="X41" i="1"/>
  <c r="R9" i="1"/>
  <c r="R7" i="1"/>
  <c r="T7" i="3"/>
  <c r="X15" i="1"/>
  <c r="P5" i="3"/>
  <c r="X20" i="1"/>
  <c r="X45" i="1"/>
  <c r="R45" i="1"/>
  <c r="AC10" i="15" l="1"/>
  <c r="Y10" i="17"/>
  <c r="Z10" i="17"/>
  <c r="AK10" i="17"/>
  <c r="Z5" i="16"/>
  <c r="AC4" i="16"/>
  <c r="AD4" i="16"/>
  <c r="AE4" i="16"/>
  <c r="AC10" i="17"/>
  <c r="AJ8" i="17"/>
  <c r="T8" i="17"/>
  <c r="AW8" i="17" s="1"/>
  <c r="AK8" i="17"/>
  <c r="U8" i="17"/>
  <c r="AX8" i="17" s="1"/>
  <c r="Z8" i="17"/>
  <c r="BC8" i="17" s="1"/>
  <c r="AP8" i="17"/>
  <c r="AE8" i="17"/>
  <c r="O8" i="17"/>
  <c r="AR8" i="17" s="1"/>
  <c r="AU8" i="17"/>
  <c r="AL8" i="17"/>
  <c r="V8" i="17"/>
  <c r="AY8" i="17" s="1"/>
  <c r="C21" i="17"/>
  <c r="AF8" i="17"/>
  <c r="AS8" i="17" s="1"/>
  <c r="AC8" i="17"/>
  <c r="Q8" i="17"/>
  <c r="AG8" i="17"/>
  <c r="AM8" i="17"/>
  <c r="AM12" i="17" s="1"/>
  <c r="W8" i="17"/>
  <c r="AZ8" i="17" s="1"/>
  <c r="AM7" i="17"/>
  <c r="W7" i="17"/>
  <c r="AZ7" i="17" s="1"/>
  <c r="Z7" i="17"/>
  <c r="AP7" i="17"/>
  <c r="AR7" i="17"/>
  <c r="AU7" i="17"/>
  <c r="AW7" i="17"/>
  <c r="X7" i="17"/>
  <c r="X12" i="17" s="1"/>
  <c r="AN7" i="17"/>
  <c r="U7" i="17"/>
  <c r="AK7" i="17"/>
  <c r="AK12" i="17" s="1"/>
  <c r="Y7" i="17"/>
  <c r="AO7" i="17"/>
  <c r="AN6" i="17"/>
  <c r="X6" i="17"/>
  <c r="BA6" i="17" s="1"/>
  <c r="V6" i="17"/>
  <c r="AL6" i="17"/>
  <c r="AC6" i="17"/>
  <c r="Y6" i="17"/>
  <c r="AO6" i="17"/>
  <c r="AO12" i="17" s="1"/>
  <c r="BC6" i="17"/>
  <c r="AW6" i="17"/>
  <c r="AR6" i="17"/>
  <c r="AS6" i="17"/>
  <c r="AN9" i="17"/>
  <c r="X9" i="17"/>
  <c r="BA9" i="17" s="1"/>
  <c r="AM9" i="17"/>
  <c r="W9" i="17"/>
  <c r="AZ9" i="17" s="1"/>
  <c r="AB12" i="17"/>
  <c r="AF9" i="17"/>
  <c r="P9" i="17"/>
  <c r="AS9" i="17" s="1"/>
  <c r="S9" i="17"/>
  <c r="AI9" i="17"/>
  <c r="AI12" i="17" s="1"/>
  <c r="AH9" i="17"/>
  <c r="R9" i="17"/>
  <c r="AW9" i="17"/>
  <c r="V9" i="17"/>
  <c r="AL9" i="17"/>
  <c r="AL12" i="17"/>
  <c r="Z9" i="17"/>
  <c r="AP9" i="17"/>
  <c r="AH12" i="17"/>
  <c r="U9" i="17"/>
  <c r="AK9" i="17"/>
  <c r="AJ12" i="17"/>
  <c r="AG9" i="17"/>
  <c r="Q9" i="17"/>
  <c r="AE9" i="17"/>
  <c r="AE12" i="17" s="1"/>
  <c r="O9" i="17"/>
  <c r="AR9" i="17" s="1"/>
  <c r="BB10" i="17"/>
  <c r="AF10" i="17"/>
  <c r="P10" i="17"/>
  <c r="AZ10" i="17"/>
  <c r="AX10" i="17"/>
  <c r="AR10" i="17"/>
  <c r="T12" i="17"/>
  <c r="AW10" i="17"/>
  <c r="AY10" i="17"/>
  <c r="AT10" i="17"/>
  <c r="BC10" i="17"/>
  <c r="S12" i="17"/>
  <c r="AV10" i="17"/>
  <c r="BA10" i="17"/>
  <c r="AU10" i="17"/>
  <c r="J19" i="11"/>
  <c r="T3" i="15"/>
  <c r="Q24" i="15"/>
  <c r="Y24" i="15"/>
  <c r="C43" i="17"/>
  <c r="N43" i="17" s="1"/>
  <c r="O43" i="17" s="1"/>
  <c r="AD14" i="11"/>
  <c r="AE14" i="11"/>
  <c r="AC13" i="9"/>
  <c r="AD13" i="9"/>
  <c r="AD13" i="15"/>
  <c r="AC20" i="12"/>
  <c r="AD23" i="12"/>
  <c r="AC18" i="13"/>
  <c r="AC5" i="9"/>
  <c r="AC5" i="11"/>
  <c r="AC12" i="13"/>
  <c r="AC12" i="15"/>
  <c r="AC21" i="12"/>
  <c r="AD5" i="11"/>
  <c r="AD5" i="9"/>
  <c r="AD15" i="12"/>
  <c r="AC13" i="15"/>
  <c r="AD22" i="12"/>
  <c r="T19" i="11"/>
  <c r="AC15" i="15"/>
  <c r="AD19" i="13"/>
  <c r="AD17" i="15"/>
  <c r="AD15" i="15"/>
  <c r="AD12" i="13"/>
  <c r="AD7" i="13"/>
  <c r="S14" i="12"/>
  <c r="J14" i="12"/>
  <c r="Z14" i="12" s="1"/>
  <c r="AD14" i="12" s="1"/>
  <c r="Z7" i="16"/>
  <c r="J10" i="16"/>
  <c r="AE10" i="13"/>
  <c r="AC10" i="13"/>
  <c r="T16" i="15"/>
  <c r="J16" i="15"/>
  <c r="Z16" i="15" s="1"/>
  <c r="Z12" i="9"/>
  <c r="J16" i="9"/>
  <c r="AD24" i="12"/>
  <c r="AC8" i="13"/>
  <c r="Z3" i="15"/>
  <c r="AD3" i="15" s="1"/>
  <c r="AD10" i="15"/>
  <c r="AC19" i="13"/>
  <c r="AC9" i="12"/>
  <c r="AD9" i="12"/>
  <c r="AD18" i="13"/>
  <c r="AC7" i="13"/>
  <c r="P24" i="15"/>
  <c r="S24" i="15" s="1"/>
  <c r="AE12" i="11"/>
  <c r="Z19" i="11"/>
  <c r="AE19" i="11" s="1"/>
  <c r="J23" i="13"/>
  <c r="AE11" i="15"/>
  <c r="AC11" i="15"/>
  <c r="S8" i="15"/>
  <c r="J8" i="15"/>
  <c r="Z8" i="15" s="1"/>
  <c r="AD10" i="13"/>
  <c r="AC10" i="12"/>
  <c r="AD4" i="15"/>
  <c r="AE20" i="12"/>
  <c r="Z27" i="12"/>
  <c r="AE27" i="12" s="1"/>
  <c r="AC17" i="15"/>
  <c r="AD10" i="12"/>
  <c r="Z3" i="13"/>
  <c r="AD3" i="13" s="1"/>
  <c r="J27" i="12"/>
  <c r="AC22" i="12"/>
  <c r="AD8" i="13"/>
  <c r="S3" i="9"/>
  <c r="J3" i="9"/>
  <c r="AD21" i="12"/>
  <c r="AC12" i="11"/>
  <c r="AD12" i="11"/>
  <c r="S3" i="11"/>
  <c r="J3" i="11"/>
  <c r="S5" i="12"/>
  <c r="J5" i="12"/>
  <c r="Z5" i="12" s="1"/>
  <c r="AD5" i="12" s="1"/>
  <c r="P14" i="13"/>
  <c r="S14" i="13" s="1"/>
  <c r="J4" i="13"/>
  <c r="Z4" i="13" s="1"/>
  <c r="AC4" i="15"/>
  <c r="AE15" i="11"/>
  <c r="AD15" i="11"/>
  <c r="AC15" i="11"/>
  <c r="T10" i="16"/>
  <c r="S10" i="16"/>
  <c r="C44" i="17"/>
  <c r="N44" i="17" s="1"/>
  <c r="O44" i="17" s="1"/>
  <c r="T12" i="12"/>
  <c r="J12" i="12"/>
  <c r="Z12" i="12" s="1"/>
  <c r="AD12" i="12" s="1"/>
  <c r="AC23" i="12"/>
  <c r="AC4" i="9"/>
  <c r="AC15" i="12"/>
  <c r="C45" i="17"/>
  <c r="G45" i="17" s="1"/>
  <c r="Z3" i="12"/>
  <c r="AC24" i="12"/>
  <c r="AD12" i="15"/>
  <c r="AE33" i="12"/>
  <c r="D21" i="17"/>
  <c r="G21" i="17" s="1"/>
  <c r="C20" i="17"/>
  <c r="F20" i="17" s="1"/>
  <c r="AE16" i="16"/>
  <c r="D23" i="17"/>
  <c r="G23" i="17" s="1"/>
  <c r="D43" i="17"/>
  <c r="S16" i="15"/>
  <c r="T5" i="12"/>
  <c r="S12" i="12"/>
  <c r="T4" i="13"/>
  <c r="S4" i="13"/>
  <c r="P7" i="9"/>
  <c r="S7" i="9" s="1"/>
  <c r="T8" i="15"/>
  <c r="T23" i="13"/>
  <c r="P16" i="12"/>
  <c r="S16" i="12" s="1"/>
  <c r="T16" i="9"/>
  <c r="T27" i="12"/>
  <c r="S4" i="15"/>
  <c r="T14" i="12"/>
  <c r="T4" i="15"/>
  <c r="P8" i="11"/>
  <c r="D46" i="17"/>
  <c r="D47" i="17"/>
  <c r="D10" i="17" s="1"/>
  <c r="D45" i="17"/>
  <c r="D44" i="17"/>
  <c r="G19" i="17"/>
  <c r="S27" i="12"/>
  <c r="H44" i="17"/>
  <c r="I44" i="17" s="1"/>
  <c r="F8" i="17"/>
  <c r="J49" i="17"/>
  <c r="M49" i="17"/>
  <c r="H45" i="17"/>
  <c r="H43" i="17"/>
  <c r="I43" i="17" s="1"/>
  <c r="C22" i="17"/>
  <c r="F22" i="17" s="1"/>
  <c r="I22" i="17" s="1"/>
  <c r="J22" i="17" s="1"/>
  <c r="K44" i="17"/>
  <c r="F7" i="17"/>
  <c r="K43" i="17"/>
  <c r="F49" i="17"/>
  <c r="K45" i="17"/>
  <c r="K47" i="17"/>
  <c r="I47" i="17"/>
  <c r="C23" i="17"/>
  <c r="F6" i="17"/>
  <c r="H46" i="17"/>
  <c r="F9" i="17"/>
  <c r="Q5" i="16"/>
  <c r="T5" i="16" s="1"/>
  <c r="T3" i="16"/>
  <c r="AD16" i="16"/>
  <c r="AC16" i="16"/>
  <c r="Y16" i="12"/>
  <c r="Q14" i="13"/>
  <c r="Y14" i="13"/>
  <c r="AD29" i="13"/>
  <c r="AC29" i="13"/>
  <c r="AE29" i="13"/>
  <c r="Q16" i="12"/>
  <c r="T7" i="12"/>
  <c r="T3" i="11"/>
  <c r="Y4" i="9"/>
  <c r="AD4" i="9" s="1"/>
  <c r="Y4" i="11"/>
  <c r="AD4" i="11" s="1"/>
  <c r="T3" i="9"/>
  <c r="Q4" i="11"/>
  <c r="T4" i="11" s="1"/>
  <c r="Q4" i="9"/>
  <c r="T4" i="9" s="1"/>
  <c r="AE22" i="9"/>
  <c r="AD22" i="9"/>
  <c r="AI33" i="1"/>
  <c r="AO33" i="1"/>
  <c r="R33" i="1"/>
  <c r="X33" i="1"/>
  <c r="AD5" i="16" l="1"/>
  <c r="AE5" i="16"/>
  <c r="AC5" i="16"/>
  <c r="AC12" i="17"/>
  <c r="AX9" i="17"/>
  <c r="AT8" i="17"/>
  <c r="W12" i="17"/>
  <c r="AZ12" i="17"/>
  <c r="AF12" i="17"/>
  <c r="AG12" i="17"/>
  <c r="AN12" i="17"/>
  <c r="BA7" i="17"/>
  <c r="BA12" i="17" s="1"/>
  <c r="BB7" i="17"/>
  <c r="BC7" i="17"/>
  <c r="AX7" i="17"/>
  <c r="AP12" i="17"/>
  <c r="AR12" i="17"/>
  <c r="BB6" i="17"/>
  <c r="AY6" i="17"/>
  <c r="Y12" i="17"/>
  <c r="BB12" i="17"/>
  <c r="AX12" i="17"/>
  <c r="U12" i="17"/>
  <c r="AV9" i="17"/>
  <c r="AV12" i="17" s="1"/>
  <c r="BC9" i="17"/>
  <c r="AU9" i="17"/>
  <c r="AU12" i="17" s="1"/>
  <c r="R12" i="17"/>
  <c r="BC12" i="17"/>
  <c r="AT9" i="17"/>
  <c r="AT12" i="17" s="1"/>
  <c r="Q12" i="17"/>
  <c r="AY9" i="17"/>
  <c r="AY12" i="17" s="1"/>
  <c r="Z12" i="17"/>
  <c r="V12" i="17"/>
  <c r="AW12" i="17"/>
  <c r="O12" i="17"/>
  <c r="AS10" i="17"/>
  <c r="AS12" i="17" s="1"/>
  <c r="P12" i="17"/>
  <c r="I20" i="17"/>
  <c r="J20" i="17" s="1"/>
  <c r="F23" i="17"/>
  <c r="I23" i="17" s="1"/>
  <c r="J23" i="17" s="1"/>
  <c r="G43" i="17"/>
  <c r="E43" i="17"/>
  <c r="J14" i="13"/>
  <c r="AC27" i="12"/>
  <c r="AD19" i="11"/>
  <c r="E45" i="17"/>
  <c r="N45" i="17"/>
  <c r="E44" i="17"/>
  <c r="AE8" i="15"/>
  <c r="AC8" i="15"/>
  <c r="G44" i="17"/>
  <c r="AE16" i="15"/>
  <c r="C47" i="17"/>
  <c r="E47" i="17" s="1"/>
  <c r="AC16" i="15"/>
  <c r="AE3" i="13"/>
  <c r="Z14" i="13"/>
  <c r="AC3" i="13"/>
  <c r="AE5" i="12"/>
  <c r="AC5" i="12"/>
  <c r="AD8" i="15"/>
  <c r="Z23" i="13"/>
  <c r="AE12" i="12"/>
  <c r="AC12" i="12"/>
  <c r="Z16" i="9"/>
  <c r="AE12" i="9"/>
  <c r="AC12" i="9"/>
  <c r="AD12" i="9"/>
  <c r="AE4" i="13"/>
  <c r="AC4" i="13"/>
  <c r="AC19" i="11"/>
  <c r="J7" i="9"/>
  <c r="Z3" i="9"/>
  <c r="J16" i="12"/>
  <c r="Z10" i="16"/>
  <c r="AD7" i="16"/>
  <c r="AE7" i="16"/>
  <c r="AC7" i="16"/>
  <c r="AE3" i="12"/>
  <c r="Z16" i="12"/>
  <c r="AD16" i="12" s="1"/>
  <c r="AC3" i="12"/>
  <c r="AE14" i="12"/>
  <c r="AC14" i="12"/>
  <c r="T14" i="13"/>
  <c r="AD27" i="12"/>
  <c r="Z3" i="11"/>
  <c r="J8" i="11"/>
  <c r="AD3" i="12"/>
  <c r="AD4" i="13"/>
  <c r="Z24" i="15"/>
  <c r="AE3" i="15"/>
  <c r="AC3" i="15"/>
  <c r="C46" i="17"/>
  <c r="E46" i="17" s="1"/>
  <c r="J24" i="15"/>
  <c r="AD16" i="15"/>
  <c r="D25" i="17"/>
  <c r="G25" i="17"/>
  <c r="F21" i="17"/>
  <c r="I21" i="17" s="1"/>
  <c r="J21" i="17" s="1"/>
  <c r="K46" i="17"/>
  <c r="T24" i="15"/>
  <c r="S8" i="11"/>
  <c r="T16" i="12"/>
  <c r="K49" i="17"/>
  <c r="D49" i="17"/>
  <c r="F12" i="17"/>
  <c r="C19" i="17"/>
  <c r="I12" i="17"/>
  <c r="O45" i="17"/>
  <c r="H49" i="17"/>
  <c r="D8" i="17"/>
  <c r="I46" i="17"/>
  <c r="I45" i="17"/>
  <c r="D9" i="17"/>
  <c r="Y7" i="9"/>
  <c r="Y8" i="11"/>
  <c r="Q7" i="9"/>
  <c r="T7" i="9" s="1"/>
  <c r="Q8" i="11"/>
  <c r="C49" i="17" l="1"/>
  <c r="G49" i="17" s="1"/>
  <c r="AE16" i="9"/>
  <c r="AD16" i="9"/>
  <c r="AC16" i="9"/>
  <c r="AC10" i="16"/>
  <c r="AE10" i="16"/>
  <c r="AD10" i="16"/>
  <c r="C10" i="17"/>
  <c r="AE16" i="12"/>
  <c r="C8" i="17"/>
  <c r="AC16" i="12"/>
  <c r="AE23" i="13"/>
  <c r="AC23" i="13"/>
  <c r="AD23" i="13"/>
  <c r="AE14" i="13"/>
  <c r="C9" i="17"/>
  <c r="AC14" i="13"/>
  <c r="G47" i="17"/>
  <c r="N47" i="17"/>
  <c r="O47" i="17" s="1"/>
  <c r="AE24" i="15"/>
  <c r="AC24" i="15"/>
  <c r="AD24" i="15"/>
  <c r="AD14" i="13"/>
  <c r="N46" i="17"/>
  <c r="G46" i="17"/>
  <c r="AE3" i="9"/>
  <c r="Z7" i="9"/>
  <c r="AC3" i="9"/>
  <c r="AD3" i="9"/>
  <c r="Z8" i="11"/>
  <c r="AE3" i="11"/>
  <c r="AC3" i="11"/>
  <c r="AD3" i="11"/>
  <c r="I49" i="17"/>
  <c r="AD7" i="9"/>
  <c r="D6" i="17"/>
  <c r="T8" i="11"/>
  <c r="D7" i="17"/>
  <c r="C25" i="17"/>
  <c r="F19" i="17"/>
  <c r="E49" i="17" l="1"/>
  <c r="AE8" i="11"/>
  <c r="C7" i="17"/>
  <c r="E7" i="17" s="1"/>
  <c r="AC8" i="11"/>
  <c r="G9" i="17"/>
  <c r="J9" i="17"/>
  <c r="K9" i="17" s="1"/>
  <c r="G8" i="17"/>
  <c r="J8" i="17"/>
  <c r="K8" i="17" s="1"/>
  <c r="AE7" i="9"/>
  <c r="C6" i="17"/>
  <c r="E6" i="17" s="1"/>
  <c r="AC7" i="9"/>
  <c r="E10" i="17"/>
  <c r="G10" i="17"/>
  <c r="J10" i="17"/>
  <c r="K10" i="17" s="1"/>
  <c r="O46" i="17"/>
  <c r="N49" i="17"/>
  <c r="O49" i="17" s="1"/>
  <c r="E9" i="17"/>
  <c r="AD8" i="11"/>
  <c r="E8" i="17"/>
  <c r="F25" i="17"/>
  <c r="I19" i="17"/>
  <c r="D12" i="17"/>
  <c r="J6" i="17" l="1"/>
  <c r="G6" i="17"/>
  <c r="C12" i="17"/>
  <c r="G12" i="17" s="1"/>
  <c r="E12" i="17"/>
  <c r="J7" i="17"/>
  <c r="K7" i="17" s="1"/>
  <c r="G7" i="17"/>
  <c r="J19" i="17"/>
  <c r="J25" i="17" s="1"/>
  <c r="I25" i="17"/>
  <c r="K6" i="17" l="1"/>
  <c r="J12" i="17"/>
  <c r="K12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tc={ABF626A2-6C1A-480F-86FF-3EC4F96650ED}</author>
    <author>tc={F42B6599-B9D6-4987-8B20-BFB13146A2A3}</author>
  </authors>
  <commentList>
    <comment ref="G20" authorId="0" shapeId="0" xr:uid="{ABF626A2-6C1A-480F-86FF-3EC4F96650ED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20" authorId="1" shapeId="0" xr:uid="{F42B6599-B9D6-4987-8B20-BFB13146A2A3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tc={200A79B2-AB7E-4A81-A9D7-7A01074F6D61}</author>
    <author>tc={B4411338-247E-46F2-8681-903C237180EA}</author>
  </authors>
  <commentList>
    <comment ref="G23" authorId="0" shapeId="0" xr:uid="{200A79B2-AB7E-4A81-A9D7-7A01074F6D61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23" authorId="1" shapeId="0" xr:uid="{B4411338-247E-46F2-8681-903C237180EA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tc={CB53F8F4-256A-40D9-90DB-B9C2AE302CC6}</author>
    <author>tc={31F6F9D5-D16C-4B51-95A8-281848EF580E}</author>
  </authors>
  <commentList>
    <comment ref="G31" authorId="0" shapeId="0" xr:uid="{CB53F8F4-256A-40D9-90DB-B9C2AE30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31" authorId="1" shapeId="0" xr:uid="{31F6F9D5-D16C-4B51-95A8-281848EF580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tc={FD2137E8-7727-4DF3-84DF-B14CE583F756}</author>
    <author>tc={40E827BE-9DF1-4FEC-B321-FC8180E84EFC}</author>
  </authors>
  <commentList>
    <comment ref="G27" authorId="0" shapeId="0" xr:uid="{FD2137E8-7727-4DF3-84DF-B14CE583F756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27" authorId="1" shapeId="0" xr:uid="{40E827BE-9DF1-4FEC-B321-FC8180E84EFC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tc={FF1C1619-0620-4487-AF6D-CF6520B38558}</author>
    <author>tc={4440F928-38B6-47C6-87E4-A41460124C6A}</author>
  </authors>
  <commentList>
    <comment ref="G14" authorId="0" shapeId="0" xr:uid="{FF1C1619-0620-4487-AF6D-CF6520B38558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14" authorId="1" shapeId="0" xr:uid="{4440F928-38B6-47C6-87E4-A41460124C6A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sharedStrings.xml><?xml version="1.0" encoding="utf-8"?>
<sst xmlns="http://schemas.openxmlformats.org/spreadsheetml/2006/main" count="2482" uniqueCount="268">
  <si>
    <t>Sales Data</t>
  </si>
  <si>
    <t>USD</t>
  </si>
  <si>
    <t>Full Year</t>
  </si>
  <si>
    <t>Total Sales</t>
  </si>
  <si>
    <t>2026B</t>
  </si>
  <si>
    <t>Existing</t>
  </si>
  <si>
    <t>New</t>
  </si>
  <si>
    <t>25A</t>
  </si>
  <si>
    <t>25B</t>
  </si>
  <si>
    <t>25F vs 25B</t>
  </si>
  <si>
    <t>24A</t>
  </si>
  <si>
    <t>25F vs 24A</t>
  </si>
  <si>
    <t>26B</t>
  </si>
  <si>
    <t>26B vs 25F</t>
  </si>
  <si>
    <t>Existing doors</t>
  </si>
  <si>
    <t>New doors</t>
  </si>
  <si>
    <t>Northeast</t>
  </si>
  <si>
    <t>Central</t>
  </si>
  <si>
    <t>West</t>
  </si>
  <si>
    <t>Southeast</t>
  </si>
  <si>
    <t>Other</t>
  </si>
  <si>
    <t>US Spa</t>
  </si>
  <si>
    <t>Commission Summary</t>
  </si>
  <si>
    <t>Sales 2026</t>
  </si>
  <si>
    <t>o/w New 2026</t>
  </si>
  <si>
    <t>o/w New 2025</t>
  </si>
  <si>
    <t>o/w Existing</t>
  </si>
  <si>
    <t>Commission on New 2026</t>
  </si>
  <si>
    <t>Commission on New 2025</t>
  </si>
  <si>
    <t>Commission on Existing</t>
  </si>
  <si>
    <t>Total 2026 Commission</t>
  </si>
  <si>
    <t>Lost</t>
  </si>
  <si>
    <t>25F</t>
  </si>
  <si>
    <t>25A vs 25B</t>
  </si>
  <si>
    <t>25A vs 24A</t>
  </si>
  <si>
    <t>Cluster</t>
  </si>
  <si>
    <t>Definition</t>
  </si>
  <si>
    <t>A+++</t>
  </si>
  <si>
    <t>QMS Key Account with a target / potential &gt; $100k per year</t>
  </si>
  <si>
    <t>A++</t>
  </si>
  <si>
    <t>QMS Key Account with a target / potential $50k - $100k per year</t>
  </si>
  <si>
    <t>A+</t>
  </si>
  <si>
    <t>QMS Key Account with a target / potential $30k - $50k per year</t>
  </si>
  <si>
    <t>A</t>
  </si>
  <si>
    <t>Non-key account, with 2025 sales &gt; $20k or 2026 target &gt;$20k</t>
  </si>
  <si>
    <t>B</t>
  </si>
  <si>
    <t>Non-key account, with 2025 sales &gt; $10k or 2026 target &gt;$10k</t>
  </si>
  <si>
    <t>C</t>
  </si>
  <si>
    <t>Non-key account, with 2025 sales &lt; $10k or 2026 target &lt;$10k</t>
  </si>
  <si>
    <t>Lost door, no budget</t>
  </si>
  <si>
    <t>NKD26</t>
  </si>
  <si>
    <t>New door won in 2026</t>
  </si>
  <si>
    <t>Year to date</t>
  </si>
  <si>
    <t>Full year</t>
  </si>
  <si>
    <t>Customer Code</t>
  </si>
  <si>
    <t>Customer Name</t>
  </si>
  <si>
    <t>Region</t>
  </si>
  <si>
    <t>Sales person</t>
  </si>
  <si>
    <t>New door year</t>
  </si>
  <si>
    <t>Active?</t>
  </si>
  <si>
    <t>2025 Cluster</t>
  </si>
  <si>
    <t>2026 Cluster</t>
  </si>
  <si>
    <t>2025A</t>
  </si>
  <si>
    <t>Size indicator</t>
  </si>
  <si>
    <t>Customer Growth Class</t>
  </si>
  <si>
    <t>2024 YTD</t>
  </si>
  <si>
    <t>2025 YTD</t>
  </si>
  <si>
    <t>2025B YTD</t>
  </si>
  <si>
    <t>25 vs 24 %</t>
  </si>
  <si>
    <t>25 vs 25B %</t>
  </si>
  <si>
    <t>2025B</t>
  </si>
  <si>
    <t>26B vs 25A %</t>
  </si>
  <si>
    <t>Four Seasons Hotel Philadelphia; PA</t>
  </si>
  <si>
    <t>Marcus</t>
  </si>
  <si>
    <t>Grow</t>
  </si>
  <si>
    <t>Equinox Holdings Inc; Boston</t>
  </si>
  <si>
    <t>Maintain</t>
  </si>
  <si>
    <t>dba Haven Spa</t>
  </si>
  <si>
    <t>Four Seasons Baltimore; MD</t>
  </si>
  <si>
    <t>Total Active Existing Doors</t>
  </si>
  <si>
    <t>Equinox Holdings Inc; Washington DC</t>
  </si>
  <si>
    <t>Equinox Holdings Inc; SPA Retail Washington DC</t>
  </si>
  <si>
    <t>Renaissance Hotel Partners LLC</t>
  </si>
  <si>
    <t>NKD25</t>
  </si>
  <si>
    <t>New doors 2025</t>
  </si>
  <si>
    <t>Total New Doors 2025</t>
  </si>
  <si>
    <t>New doors 2026</t>
  </si>
  <si>
    <t>Total New Doors 2026</t>
  </si>
  <si>
    <t>Four Seasons Hotel Austin; DTRS Austin LLC</t>
  </si>
  <si>
    <t>Lose</t>
  </si>
  <si>
    <t>The Elms Hotel and Spa; Missouri</t>
  </si>
  <si>
    <t>Mokara Hotel &amp; Spa, Omni Hotels Management Corp.</t>
  </si>
  <si>
    <t>Four Seasons Hotel Nashville; TN</t>
  </si>
  <si>
    <t>Emily</t>
  </si>
  <si>
    <t>AMI LLC Bergamos Retreat</t>
  </si>
  <si>
    <t>321 Skin Glow LLC</t>
  </si>
  <si>
    <t>Nerdium LLC; Texas</t>
  </si>
  <si>
    <t>Mario Tricoci Hair Salons &amp; Day Spas</t>
  </si>
  <si>
    <t>Houstonian Campus, LLC</t>
  </si>
  <si>
    <t>Nashville Hospitality/DBA Westin</t>
  </si>
  <si>
    <t>Rosewood Sense Spa, CA</t>
  </si>
  <si>
    <t>Erin</t>
  </si>
  <si>
    <t>San Manuel Entert.; Yaamava Resort; Highland</t>
  </si>
  <si>
    <t>Four Seasons Hotel Las Vegas</t>
  </si>
  <si>
    <t>Lemon &amp; Honey Day Spa; Orange, CA</t>
  </si>
  <si>
    <t>Teton Mountain Lodge</t>
  </si>
  <si>
    <t>West Coast Lifestyles Inc.; CA</t>
  </si>
  <si>
    <t>Gateway Canyon Resort &amp; Spa; CO</t>
  </si>
  <si>
    <t>MacArthur Place; LÁuberge de Sonoma LLC; CA</t>
  </si>
  <si>
    <t>Beverly Wilshire,Four Seasons Hotel, CA</t>
  </si>
  <si>
    <t>Rosewood Miramar Beach; CA</t>
  </si>
  <si>
    <t>Bonnie Frances Skin;Phoenix, AZ</t>
  </si>
  <si>
    <t>Five Point Five, Inc.</t>
  </si>
  <si>
    <t>Red Rock Tivoli Aestetics</t>
  </si>
  <si>
    <t>Embracing the Dance of Healing</t>
  </si>
  <si>
    <t>Cupid Lift Inc., West Hollywood</t>
  </si>
  <si>
    <t>ARIA Resort &amp; Casino; Las Vegas</t>
  </si>
  <si>
    <t>The Ritz-Carlton, Half Moon Bay LLC</t>
  </si>
  <si>
    <t>Balboa Bay Club Ventures LLC</t>
  </si>
  <si>
    <t>Four Seasons Hotel, Fort Lauderdale; FL</t>
  </si>
  <si>
    <t>Bethany</t>
  </si>
  <si>
    <t>Porto Vita/Villa Grande Club; Fl</t>
  </si>
  <si>
    <t>Williams Island POA, Inc.Florida</t>
  </si>
  <si>
    <t>JW Marriott Miami Turnberry</t>
  </si>
  <si>
    <t>Ana Molinari Inc.; FL</t>
  </si>
  <si>
    <t>AMG Investments LLC, Hurram Hammam; Fl</t>
  </si>
  <si>
    <t>Jupiter Island Holdings, Inc.; Fl</t>
  </si>
  <si>
    <t>Stars Skincare Med Spa, Florida</t>
  </si>
  <si>
    <t>Mt. Bailey Holdings, LLC; Four Seasons Hotel Atlanta</t>
  </si>
  <si>
    <t>Four Seasons Resort Orlando,FL</t>
  </si>
  <si>
    <t>USREC Banyan Cay Resort LLC</t>
  </si>
  <si>
    <t>Equinox Holdings Inc; Miami</t>
  </si>
  <si>
    <t>Simply Bliss SkinCare LLC</t>
  </si>
  <si>
    <t>Costa d' Este Beach Resort &amp; Spa</t>
  </si>
  <si>
    <t>2025F</t>
  </si>
  <si>
    <t>Rosewood Little Dix Bay; Helen Lugo</t>
  </si>
  <si>
    <t>Eau Spa Palm Beach; Fl</t>
  </si>
  <si>
    <t>Wyndham Grand Rio Mar Hotel</t>
  </si>
  <si>
    <t>Melissa</t>
  </si>
  <si>
    <t>26B vs 25F %</t>
  </si>
  <si>
    <t>The resort at Longboat Key CLub; Florida</t>
  </si>
  <si>
    <t>No</t>
  </si>
  <si>
    <t>Glo Rejuvenation; Oregon</t>
  </si>
  <si>
    <t>D&amp;G Global Inc.; Claire Gobler; CA</t>
  </si>
  <si>
    <t>Gurney ´s Inn Resort &amp; Spa LLC; NY</t>
  </si>
  <si>
    <t>Iridescent LLC; Big-Bang; Miiami; Paula</t>
  </si>
  <si>
    <t>Banyan Cay Res.; W Palm Beach; Melissa</t>
  </si>
  <si>
    <t>Faena Hotel Miami Beach; FL</t>
  </si>
  <si>
    <t>TALISKER CLUB; Holly Arndt</t>
  </si>
  <si>
    <t>Beating Hearts; Dallas; Lori Feste</t>
  </si>
  <si>
    <t>HLP Hotels LLC DBA Lost Pines; Texas</t>
  </si>
  <si>
    <t>ARCH Amenity Group, Florida</t>
  </si>
  <si>
    <t>Jenny Y Yu; MD FACS PLLC</t>
  </si>
  <si>
    <t>Body Works Day Spa; Stewart Manor</t>
  </si>
  <si>
    <t>Live Love Spa; Tustin, CA</t>
  </si>
  <si>
    <t>Agata Sokolowska; IL</t>
  </si>
  <si>
    <t>Waldorf Astoria Spa Chicago</t>
  </si>
  <si>
    <t>Total Lost Doors</t>
  </si>
  <si>
    <t>Customer No.</t>
  </si>
  <si>
    <t>25 vs 23 %</t>
  </si>
  <si>
    <t>25 vs 22 %</t>
  </si>
  <si>
    <t>25 vs 22 CAGR %</t>
  </si>
  <si>
    <t>25 vs 24 sales</t>
  </si>
  <si>
    <t>25 vs 23 sales</t>
  </si>
  <si>
    <t>25 vs 22 sales</t>
  </si>
  <si>
    <t>25 vs 25B sales</t>
  </si>
  <si>
    <t>AMG Investments LLC; Fl</t>
  </si>
  <si>
    <t>New door MMM-YY</t>
  </si>
  <si>
    <t>Lost door year</t>
  </si>
  <si>
    <t>Lost door MMM-YY</t>
  </si>
  <si>
    <t>Active End 2021</t>
  </si>
  <si>
    <t>Active End 2022</t>
  </si>
  <si>
    <t>Active End 2023</t>
  </si>
  <si>
    <t>Active 2024</t>
  </si>
  <si>
    <t>Active 2025</t>
  </si>
  <si>
    <t>Sales Person</t>
  </si>
  <si>
    <t>% growth</t>
  </si>
  <si>
    <t>Yes</t>
  </si>
  <si>
    <t>Amy</t>
  </si>
  <si>
    <t>Nicole</t>
  </si>
  <si>
    <t>Lisa</t>
  </si>
  <si>
    <t>N/A</t>
  </si>
  <si>
    <t>25037-2</t>
  </si>
  <si>
    <t>Equinox Holdings Inc; Washington</t>
  </si>
  <si>
    <t>Monthly Sales</t>
  </si>
  <si>
    <t>YTD Sales</t>
  </si>
  <si>
    <t>Monthly ordering</t>
  </si>
  <si>
    <t>YTD ordering</t>
  </si>
  <si>
    <t>In-month new door sales</t>
  </si>
  <si>
    <t>YTD new doors (in month)</t>
  </si>
  <si>
    <t>YTD new doors</t>
  </si>
  <si>
    <t>In-month new doors</t>
  </si>
  <si>
    <t>#</t>
  </si>
  <si>
    <t>New door month</t>
  </si>
  <si>
    <t>New door month code)</t>
  </si>
  <si>
    <t>Annual Total</t>
  </si>
  <si>
    <t>Four Seasons Hotel Philadelphia; ; El Paso</t>
  </si>
  <si>
    <t>Equinox Holdings Inc; Ap Communications</t>
  </si>
  <si>
    <t>YTD</t>
  </si>
  <si>
    <t>20217</t>
  </si>
  <si>
    <t>20215</t>
  </si>
  <si>
    <t>20218</t>
  </si>
  <si>
    <t>20219</t>
  </si>
  <si>
    <t>202112</t>
  </si>
  <si>
    <t>20221</t>
  </si>
  <si>
    <t>20222</t>
  </si>
  <si>
    <t>20223</t>
  </si>
  <si>
    <t>20224</t>
  </si>
  <si>
    <t>20227</t>
  </si>
  <si>
    <t>20226</t>
  </si>
  <si>
    <t>20228</t>
  </si>
  <si>
    <t>20229</t>
  </si>
  <si>
    <t>202210</t>
  </si>
  <si>
    <t>20231</t>
  </si>
  <si>
    <t>202212</t>
  </si>
  <si>
    <t>20234</t>
  </si>
  <si>
    <t>20235</t>
  </si>
  <si>
    <t>20239</t>
  </si>
  <si>
    <t>20238</t>
  </si>
  <si>
    <t>202310</t>
  </si>
  <si>
    <t>20243</t>
  </si>
  <si>
    <t>202311</t>
  </si>
  <si>
    <t>202312</t>
  </si>
  <si>
    <t>20241</t>
  </si>
  <si>
    <t>20242</t>
  </si>
  <si>
    <t>20244</t>
  </si>
  <si>
    <t>20245</t>
  </si>
  <si>
    <t>20246</t>
  </si>
  <si>
    <t>20247</t>
  </si>
  <si>
    <t>20248</t>
  </si>
  <si>
    <t>20249</t>
  </si>
  <si>
    <t>202410</t>
  </si>
  <si>
    <t>202412</t>
  </si>
  <si>
    <t>20251</t>
  </si>
  <si>
    <t>20252</t>
  </si>
  <si>
    <t>20253</t>
  </si>
  <si>
    <t>20254</t>
  </si>
  <si>
    <t>20255</t>
  </si>
  <si>
    <t>20256</t>
  </si>
  <si>
    <t>20257</t>
  </si>
  <si>
    <t>202510</t>
  </si>
  <si>
    <t>202512</t>
  </si>
  <si>
    <t>New Customers - Amy</t>
  </si>
  <si>
    <t>New Customers - Lisa</t>
  </si>
  <si>
    <t>New Customers - Bridget</t>
  </si>
  <si>
    <t>New Customers - Other</t>
  </si>
  <si>
    <t>25B vs 24A</t>
  </si>
  <si>
    <t>Total</t>
  </si>
  <si>
    <t>Salesperson</t>
  </si>
  <si>
    <t>New customer year</t>
  </si>
  <si>
    <t>New customer MMM-YY</t>
  </si>
  <si>
    <t>CC</t>
  </si>
  <si>
    <t>Bridget</t>
  </si>
  <si>
    <t>AB</t>
  </si>
  <si>
    <t>BC</t>
  </si>
  <si>
    <t>AA</t>
  </si>
  <si>
    <t>CB</t>
  </si>
  <si>
    <t>CA</t>
  </si>
  <si>
    <t>BB</t>
  </si>
  <si>
    <t>BA</t>
  </si>
  <si>
    <t>NKD24</t>
  </si>
  <si>
    <t>New Customers - Nicole</t>
  </si>
  <si>
    <t>New Customers - Emily</t>
  </si>
  <si>
    <t>Saks.com LLC; NY (Web orders)</t>
  </si>
  <si>
    <t>Retail</t>
  </si>
  <si>
    <t>Saks &amp; Co. LLC, NY (Palm Dessert B&amp;M)</t>
  </si>
  <si>
    <t>Luisa via Roma Group; New York</t>
  </si>
  <si>
    <t>Rennai Royalmount;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</si>
</sst>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-* #,##0_-;\-* #,##0_-;_-* &quot;-&quot;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  <charset val="238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</cellStyleXfs>
  <cellXfs count="55">
    <xf numFmtId="0" fontId="0" fillId="0" borderId="0" xfId="0"/>
    <xf numFmtId="0" fontId="2" fillId="0" borderId="1" xfId="3" applyFont="1" applyBorder="1" applyAlignment="1">
      <alignment wrapText="1"/>
    </xf>
    <xf numFmtId="165" fontId="0" fillId="0" borderId="0" xfId="1" applyNumberFormat="1" applyFont="1"/>
    <xf numFmtId="9" fontId="0" fillId="0" borderId="0" xfId="2" applyFont="1" applyAlignment="1">
      <alignment horizontal="right"/>
    </xf>
    <xf numFmtId="165" fontId="0" fillId="0" borderId="0" xfId="0" applyNumberFormat="1"/>
    <xf numFmtId="0" fontId="3" fillId="0" borderId="0" xfId="3"/>
    <xf numFmtId="17" fontId="3" fillId="0" borderId="0" xfId="3" applyNumberFormat="1"/>
    <xf numFmtId="9" fontId="3" fillId="0" borderId="0" xfId="2" applyFont="1"/>
    <xf numFmtId="0" fontId="3" fillId="2" borderId="0" xfId="3" applyFill="1"/>
    <xf numFmtId="17" fontId="3" fillId="2" borderId="0" xfId="3" applyNumberFormat="1" applyFill="1"/>
    <xf numFmtId="0" fontId="3" fillId="0" borderId="0" xfId="3" applyAlignment="1">
      <alignment horizontal="right"/>
    </xf>
    <xf numFmtId="0" fontId="1" fillId="2" borderId="0" xfId="4" applyFill="1"/>
    <xf numFmtId="0" fontId="1" fillId="0" borderId="0" xfId="4"/>
    <xf numFmtId="0" fontId="4" fillId="0" borderId="0" xfId="0" applyFont="1"/>
    <xf numFmtId="164" fontId="3" fillId="0" borderId="0" xfId="3" applyNumberFormat="1"/>
    <xf numFmtId="165" fontId="3" fillId="0" borderId="0" xfId="3" applyNumberFormat="1"/>
    <xf numFmtId="164" fontId="0" fillId="0" borderId="0" xfId="5" applyFont="1"/>
    <xf numFmtId="0" fontId="3" fillId="3" borderId="0" xfId="3" applyFill="1"/>
    <xf numFmtId="0" fontId="1" fillId="3" borderId="0" xfId="4" applyFill="1"/>
    <xf numFmtId="165" fontId="0" fillId="0" borderId="0" xfId="5" applyNumberFormat="1" applyFont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7" fontId="2" fillId="0" borderId="1" xfId="0" applyNumberFormat="1" applyFont="1" applyBorder="1"/>
    <xf numFmtId="0" fontId="2" fillId="0" borderId="2" xfId="0" applyFont="1" applyBorder="1"/>
    <xf numFmtId="165" fontId="2" fillId="0" borderId="2" xfId="1" applyNumberFormat="1" applyFont="1" applyBorder="1"/>
    <xf numFmtId="9" fontId="2" fillId="0" borderId="2" xfId="2" applyFont="1" applyBorder="1" applyAlignment="1">
      <alignment horizontal="right"/>
    </xf>
    <xf numFmtId="17" fontId="0" fillId="0" borderId="0" xfId="0" applyNumberFormat="1"/>
    <xf numFmtId="166" fontId="0" fillId="0" borderId="0" xfId="2" applyNumberFormat="1" applyFont="1"/>
    <xf numFmtId="166" fontId="0" fillId="0" borderId="0" xfId="0" applyNumberFormat="1"/>
    <xf numFmtId="0" fontId="3" fillId="0" borderId="0" xfId="6"/>
    <xf numFmtId="0" fontId="0" fillId="0" borderId="0" xfId="0" applyAlignment="1">
      <alignment horizontal="right"/>
    </xf>
    <xf numFmtId="17" fontId="3" fillId="0" borderId="0" xfId="6" applyNumberFormat="1"/>
    <xf numFmtId="165" fontId="0" fillId="4" borderId="0" xfId="1" applyNumberFormat="1" applyFont="1" applyFill="1"/>
    <xf numFmtId="167" fontId="0" fillId="0" borderId="0" xfId="0" applyNumberFormat="1"/>
    <xf numFmtId="0" fontId="3" fillId="0" borderId="0" xfId="6" applyAlignment="1">
      <alignment horizontal="right"/>
    </xf>
    <xf numFmtId="0" fontId="2" fillId="0" borderId="1" xfId="0" applyFont="1" applyBorder="1" applyAlignment="1">
      <alignment wrapText="1"/>
    </xf>
    <xf numFmtId="0" fontId="2" fillId="4" borderId="1" xfId="3" applyFont="1" applyFill="1" applyBorder="1" applyAlignment="1">
      <alignment wrapText="1"/>
    </xf>
    <xf numFmtId="0" fontId="2" fillId="0" borderId="1" xfId="3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4" borderId="0" xfId="0" applyFill="1"/>
    <xf numFmtId="9" fontId="0" fillId="0" borderId="0" xfId="2" applyFont="1"/>
    <xf numFmtId="0" fontId="2" fillId="0" borderId="2" xfId="0" applyFont="1" applyBorder="1" applyAlignment="1">
      <alignment horizontal="left"/>
    </xf>
    <xf numFmtId="9" fontId="2" fillId="0" borderId="2" xfId="2" applyFont="1" applyBorder="1"/>
    <xf numFmtId="165" fontId="2" fillId="0" borderId="2" xfId="1" applyNumberFormat="1" applyFont="1" applyFill="1" applyBorder="1"/>
    <xf numFmtId="165" fontId="0" fillId="0" borderId="0" xfId="1" applyNumberFormat="1" applyFont="1" applyFill="1"/>
    <xf numFmtId="0" fontId="6" fillId="0" borderId="0" xfId="0" applyFont="1"/>
    <xf numFmtId="0" fontId="2" fillId="0" borderId="0" xfId="0" applyFont="1"/>
    <xf numFmtId="165" fontId="2" fillId="0" borderId="2" xfId="0" applyNumberFormat="1" applyFont="1" applyBorder="1"/>
    <xf numFmtId="0" fontId="7" fillId="0" borderId="0" xfId="0" applyFont="1"/>
    <xf numFmtId="0" fontId="0" fillId="2" borderId="0" xfId="0" applyFill="1"/>
    <xf numFmtId="0" fontId="0" fillId="5" borderId="0" xfId="0" applyFill="1"/>
    <xf numFmtId="0" fontId="0" fillId="6" borderId="0" xfId="0" applyFill="1"/>
    <xf numFmtId="17" fontId="2" fillId="0" borderId="0" xfId="0" applyNumberFormat="1" applyFont="1"/>
    <xf numFmtId="0" fontId="2" fillId="0" borderId="0" xfId="0" applyFont="1" applyAlignment="1">
      <alignment horizontal="center"/>
    </xf>
  </cellXfs>
  <cellStyles count="7">
    <cellStyle name="Comma" xfId="1" builtinId="3"/>
    <cellStyle name="Comma 2" xfId="5" xr:uid="{0D21E3EF-9CB4-4494-9D13-BF1F750A6D9A}"/>
    <cellStyle name="Normal" xfId="0" builtinId="0"/>
    <cellStyle name="Normal 2" xfId="3" xr:uid="{CC5E4585-AF1B-4CD4-B175-1CFC2D63FB29}"/>
    <cellStyle name="Normal 3" xfId="6" xr:uid="{69713DDC-936A-409E-9CE5-945265F2F1EB}"/>
    <cellStyle name="Normal 4" xfId="4" xr:uid="{66B93812-3E23-4C15-8F97-68FA19152CE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ve Byrom-Chadd" id="{96C0539F-0869-44B1-A849-B62A72B85872}" userId="S::steve@qmsmedicosmetics.com::777caef4-0ce7-43ca-af7c-8d293a37077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0" dT="2025-08-20T14:19:14.55" personId="{96C0539F-0869-44B1-A849-B62A72B85872}" id="{ABF626A2-6C1A-480F-86FF-3EC4F96650ED}">
    <text>Enter no. new doors to be won in 2026</text>
  </threadedComment>
  <threadedComment ref="K20" dT="2025-08-20T14:19:29.56" personId="{96C0539F-0869-44B1-A849-B62A72B85872}" id="{F42B6599-B9D6-4987-8B20-BFB13146A2A3}">
    <text>Enter sales from new doors won in in 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3" dT="2025-08-20T14:19:14.55" personId="{96C0539F-0869-44B1-A849-B62A72B85872}" id="{200A79B2-AB7E-4A81-A9D7-7A01074F6D61}">
    <text>Enter no. new doors to be won in 2026</text>
  </threadedComment>
  <threadedComment ref="K23" dT="2025-08-20T14:19:29.56" personId="{96C0539F-0869-44B1-A849-B62A72B85872}" id="{B4411338-247E-46F2-8681-903C237180EA}">
    <text>Enter sales from new doors won in in 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31" dT="2025-08-20T14:19:14.55" personId="{96C0539F-0869-44B1-A849-B62A72B85872}" id="{CB53F8F4-256A-40D9-90DB-B9C2AE302CC6}">
    <text>Enter no. new doors to be won in 2026</text>
  </threadedComment>
  <threadedComment ref="K31" dT="2025-08-20T14:19:29.56" personId="{96C0539F-0869-44B1-A849-B62A72B85872}" id="{31F6F9D5-D16C-4B51-95A8-281848EF580E}">
    <text>Enter sales from new doors won in in 2026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7" dT="2025-08-20T14:19:14.55" personId="{96C0539F-0869-44B1-A849-B62A72B85872}" id="{FD2137E8-7727-4DF3-84DF-B14CE583F756}">
    <text>Enter no. new doors to be won in 2026</text>
  </threadedComment>
  <threadedComment ref="K27" dT="2025-08-20T14:19:29.56" personId="{96C0539F-0869-44B1-A849-B62A72B85872}" id="{40E827BE-9DF1-4FEC-B321-FC8180E84EFC}">
    <text>Enter sales from new doors won in in 2026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4" dT="2025-08-20T14:19:14.55" personId="{96C0539F-0869-44B1-A849-B62A72B85872}" id="{FF1C1619-0620-4487-AF6D-CF6520B38558}">
    <text>Enter no. new doors to be won in 2026</text>
  </threadedComment>
  <threadedComment ref="K14" dT="2025-08-20T14:19:29.56" personId="{96C0539F-0869-44B1-A849-B62A72B85872}" id="{4440F928-38B6-47C6-87E4-A41460124C6A}">
    <text>Enter sales from new doors won in in 2026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BEEA-C181-454A-9047-F7EB61ECBDF2}">
  <dimension ref="B2:BC50"/>
  <sheetViews>
    <sheetView showGridLines="0" workbookViewId="0">
      <pane xSplit="2" ySplit="5" topLeftCell="C6" activePane="bottomRight" state="frozen"/>
      <selection pane="bottomRight" activeCell="AR6" sqref="AR6"/>
      <selection pane="bottomLeft" activeCell="A6" sqref="A6"/>
      <selection pane="topRight" activeCell="C1" sqref="C1"/>
    </sheetView>
  </sheetViews>
  <sheetFormatPr defaultRowHeight="15" outlineLevelRow="1"/>
  <cols>
    <col min="2" max="2" width="19.5703125" customWidth="1"/>
    <col min="3" max="11" width="14.140625" customWidth="1"/>
    <col min="12" max="12" width="2.42578125" customWidth="1"/>
    <col min="13" max="14" width="14.140625" customWidth="1"/>
    <col min="15" max="26" width="13.85546875" customWidth="1"/>
    <col min="28" max="28" width="13.42578125" bestFit="1" customWidth="1"/>
    <col min="29" max="29" width="10.42578125" bestFit="1" customWidth="1"/>
  </cols>
  <sheetData>
    <row r="2" spans="2:55">
      <c r="B2" s="49" t="s">
        <v>0</v>
      </c>
    </row>
    <row r="4" spans="2:55">
      <c r="B4" s="46" t="s">
        <v>1</v>
      </c>
      <c r="C4" s="54" t="s">
        <v>2</v>
      </c>
      <c r="D4" s="54"/>
      <c r="E4" s="54"/>
      <c r="F4" s="54"/>
      <c r="G4" s="54"/>
      <c r="I4" s="54" t="s">
        <v>2</v>
      </c>
      <c r="J4" s="54"/>
      <c r="K4" s="54"/>
      <c r="O4" s="54" t="s">
        <v>3</v>
      </c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B4" s="54" t="s">
        <v>4</v>
      </c>
      <c r="AC4" s="54"/>
      <c r="AE4" s="54" t="s">
        <v>5</v>
      </c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R4" s="54" t="s">
        <v>6</v>
      </c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</row>
    <row r="5" spans="2:55">
      <c r="B5" s="21"/>
      <c r="C5" s="21" t="s">
        <v>7</v>
      </c>
      <c r="D5" s="21" t="s">
        <v>8</v>
      </c>
      <c r="E5" s="21" t="s">
        <v>9</v>
      </c>
      <c r="F5" s="21" t="s">
        <v>10</v>
      </c>
      <c r="G5" s="21" t="s">
        <v>11</v>
      </c>
      <c r="I5" s="21" t="s">
        <v>12</v>
      </c>
      <c r="J5" s="21" t="s">
        <v>7</v>
      </c>
      <c r="K5" s="21" t="s">
        <v>13</v>
      </c>
      <c r="L5" s="47"/>
      <c r="O5" s="23">
        <v>46023</v>
      </c>
      <c r="P5" s="23">
        <v>46054</v>
      </c>
      <c r="Q5" s="23">
        <v>46082</v>
      </c>
      <c r="R5" s="23">
        <v>46113</v>
      </c>
      <c r="S5" s="23">
        <v>46143</v>
      </c>
      <c r="T5" s="23">
        <v>46174</v>
      </c>
      <c r="U5" s="23">
        <v>46204</v>
      </c>
      <c r="V5" s="23">
        <v>46235</v>
      </c>
      <c r="W5" s="23">
        <v>46266</v>
      </c>
      <c r="X5" s="23">
        <v>46296</v>
      </c>
      <c r="Y5" s="23">
        <v>46327</v>
      </c>
      <c r="Z5" s="23">
        <v>46357</v>
      </c>
      <c r="AB5" s="21" t="s">
        <v>14</v>
      </c>
      <c r="AC5" s="21" t="s">
        <v>15</v>
      </c>
      <c r="AE5" s="23">
        <v>46023</v>
      </c>
      <c r="AF5" s="23">
        <v>46054</v>
      </c>
      <c r="AG5" s="23">
        <v>46082</v>
      </c>
      <c r="AH5" s="23">
        <v>46113</v>
      </c>
      <c r="AI5" s="23">
        <v>46143</v>
      </c>
      <c r="AJ5" s="23">
        <v>46174</v>
      </c>
      <c r="AK5" s="23">
        <v>46204</v>
      </c>
      <c r="AL5" s="23">
        <v>46235</v>
      </c>
      <c r="AM5" s="23">
        <v>46266</v>
      </c>
      <c r="AN5" s="23">
        <v>46296</v>
      </c>
      <c r="AO5" s="23">
        <v>46327</v>
      </c>
      <c r="AP5" s="23">
        <v>46357</v>
      </c>
      <c r="AR5" s="23">
        <v>46023</v>
      </c>
      <c r="AS5" s="23">
        <v>46054</v>
      </c>
      <c r="AT5" s="23">
        <v>46082</v>
      </c>
      <c r="AU5" s="23">
        <v>46113</v>
      </c>
      <c r="AV5" s="23">
        <v>46143</v>
      </c>
      <c r="AW5" s="23">
        <v>46174</v>
      </c>
      <c r="AX5" s="23">
        <v>46204</v>
      </c>
      <c r="AY5" s="23">
        <v>46235</v>
      </c>
      <c r="AZ5" s="23">
        <v>46266</v>
      </c>
      <c r="BA5" s="23">
        <v>46296</v>
      </c>
      <c r="BB5" s="23">
        <v>46327</v>
      </c>
      <c r="BC5" s="23">
        <v>46357</v>
      </c>
    </row>
    <row r="6" spans="2:55">
      <c r="B6" t="s">
        <v>16</v>
      </c>
      <c r="C6" s="2">
        <f>Northeast!Z7+Northeast!Z16+Northeast!Z22+C43</f>
        <v>81851.450000000012</v>
      </c>
      <c r="D6" s="2">
        <f>Northeast!Y7+Northeast!Y16+Northeast!Y22+D43</f>
        <v>199000</v>
      </c>
      <c r="E6" s="3">
        <f>IFERROR(C6/D6-1, "N/A")</f>
        <v>-0.58868618090452252</v>
      </c>
      <c r="F6" s="2">
        <f>Northeast!X7+Northeast!X16+Northeast!X22+F43</f>
        <v>90880.709999999992</v>
      </c>
      <c r="G6" s="3">
        <f>IFERROR(C6/F6-1, "N/A")</f>
        <v>-9.9352876974662552E-2</v>
      </c>
      <c r="I6" s="2">
        <f>Northeast!AA7+Northeast!AA16+Northeast!AA22</f>
        <v>199000</v>
      </c>
      <c r="J6" s="2">
        <f>C6</f>
        <v>81851.450000000012</v>
      </c>
      <c r="K6" s="3">
        <f>IFERROR(I6/J6-1, "N/A")</f>
        <v>1.4312336556041458</v>
      </c>
      <c r="O6" s="2">
        <f>Northeast!AG7+Northeast!AG16+Northeast!AG22</f>
        <v>7920</v>
      </c>
      <c r="P6" s="2">
        <f>Northeast!AH7+Northeast!AH16+Northeast!AH22</f>
        <v>12920</v>
      </c>
      <c r="Q6" s="2">
        <f>Northeast!AI7+Northeast!AI16+Northeast!AI22</f>
        <v>13910</v>
      </c>
      <c r="R6" s="2">
        <f>Northeast!AJ7+Northeast!AJ16+Northeast!AJ22</f>
        <v>13910</v>
      </c>
      <c r="S6" s="2">
        <f>Northeast!AK7+Northeast!AK16+Northeast!AK22</f>
        <v>12910</v>
      </c>
      <c r="T6" s="2">
        <f>Northeast!AL7+Northeast!AL16+Northeast!AL22</f>
        <v>16920</v>
      </c>
      <c r="U6" s="2">
        <f>Northeast!AM7+Northeast!AM16+Northeast!AM22</f>
        <v>18920</v>
      </c>
      <c r="V6" s="2">
        <f>Northeast!AN7+Northeast!AN16+Northeast!AN22</f>
        <v>9940</v>
      </c>
      <c r="W6" s="2">
        <f>Northeast!AO7+Northeast!AO16+Northeast!AO22</f>
        <v>25910</v>
      </c>
      <c r="X6" s="2">
        <f>Northeast!AP7+Northeast!AP16+Northeast!AP22</f>
        <v>22900</v>
      </c>
      <c r="Y6" s="2">
        <f>Northeast!AQ7+Northeast!AQ16+Northeast!AQ22</f>
        <v>25910</v>
      </c>
      <c r="Z6" s="2">
        <f>Northeast!AR7+Northeast!AR16+Northeast!AR22</f>
        <v>16930</v>
      </c>
      <c r="AB6" s="2">
        <f>Northeast!AA7+Northeast!AA16</f>
        <v>99000</v>
      </c>
      <c r="AC6" s="2">
        <f>I6-AB6</f>
        <v>100000</v>
      </c>
      <c r="AE6" s="2">
        <f>Northeast!AG7+Northeast!AG16</f>
        <v>7920</v>
      </c>
      <c r="AF6" s="2">
        <f>Northeast!AH7+Northeast!AH16</f>
        <v>7920</v>
      </c>
      <c r="AG6" s="2">
        <f>Northeast!AI7+Northeast!AI16</f>
        <v>8910</v>
      </c>
      <c r="AH6" s="2">
        <f>Northeast!AJ7+Northeast!AJ16</f>
        <v>8910</v>
      </c>
      <c r="AI6" s="2">
        <f>Northeast!AK7+Northeast!AK16</f>
        <v>8910</v>
      </c>
      <c r="AJ6" s="2">
        <f>Northeast!AL7+Northeast!AL16</f>
        <v>7920</v>
      </c>
      <c r="AK6" s="2">
        <f>Northeast!AM7+Northeast!AM16</f>
        <v>7920</v>
      </c>
      <c r="AL6" s="2">
        <f>Northeast!AN7+Northeast!AN16</f>
        <v>5940</v>
      </c>
      <c r="AM6" s="2">
        <f>Northeast!AO7+Northeast!AO16</f>
        <v>8910</v>
      </c>
      <c r="AN6" s="2">
        <f>Northeast!AP7+Northeast!AP16</f>
        <v>9900</v>
      </c>
      <c r="AO6" s="2">
        <f>Northeast!AQ7+Northeast!AQ16</f>
        <v>8910</v>
      </c>
      <c r="AP6" s="2">
        <f>Northeast!AR7+Northeast!AR16</f>
        <v>6930</v>
      </c>
      <c r="AR6" s="2">
        <f>O6-AE6</f>
        <v>0</v>
      </c>
      <c r="AS6" s="2">
        <f t="shared" ref="AS6:BC10" si="0">P6-AF6</f>
        <v>5000</v>
      </c>
      <c r="AT6" s="2">
        <f t="shared" si="0"/>
        <v>5000</v>
      </c>
      <c r="AU6" s="2">
        <f t="shared" si="0"/>
        <v>5000</v>
      </c>
      <c r="AV6" s="2">
        <f t="shared" si="0"/>
        <v>4000</v>
      </c>
      <c r="AW6" s="2">
        <f t="shared" si="0"/>
        <v>9000</v>
      </c>
      <c r="AX6" s="2">
        <f t="shared" si="0"/>
        <v>11000</v>
      </c>
      <c r="AY6" s="2">
        <f t="shared" si="0"/>
        <v>4000</v>
      </c>
      <c r="AZ6" s="2">
        <f t="shared" si="0"/>
        <v>17000</v>
      </c>
      <c r="BA6" s="2">
        <f t="shared" si="0"/>
        <v>13000</v>
      </c>
      <c r="BB6" s="2">
        <f t="shared" si="0"/>
        <v>17000</v>
      </c>
      <c r="BC6" s="2">
        <f t="shared" si="0"/>
        <v>10000</v>
      </c>
    </row>
    <row r="7" spans="2:55">
      <c r="B7" t="s">
        <v>17</v>
      </c>
      <c r="C7" s="2">
        <f>Central!Z8+Central!Z19+Central!Z25+C44</f>
        <v>138736.72</v>
      </c>
      <c r="D7" s="2">
        <f>Central!Y8+Central!Y19+Central!Y25+D44</f>
        <v>242000</v>
      </c>
      <c r="E7" s="3">
        <f t="shared" ref="E7:E12" si="1">IFERROR(C7/D7-1, "N/A")</f>
        <v>-0.42670776859504134</v>
      </c>
      <c r="F7" s="2">
        <f>Central!X8+Central!X19+Central!X25+F44</f>
        <v>121731.17</v>
      </c>
      <c r="G7" s="3">
        <f t="shared" ref="G7:G12" si="2">IFERROR(C7/F7-1, "N/A")</f>
        <v>0.13969758115361919</v>
      </c>
      <c r="I7" s="2">
        <f>Central!AA8+Central!AA19+Central!AA25</f>
        <v>286000</v>
      </c>
      <c r="J7" s="2">
        <f>C7</f>
        <v>138736.72</v>
      </c>
      <c r="K7" s="3">
        <f>IFERROR(I7/J7-1, "N/A")</f>
        <v>1.0614585669893306</v>
      </c>
      <c r="O7" s="2">
        <f>Central!AG8+Central!AG19+Central!AG25</f>
        <v>14880</v>
      </c>
      <c r="P7" s="2">
        <f>Central!AH8+Central!AH19+Central!AH25</f>
        <v>19880</v>
      </c>
      <c r="Q7" s="2">
        <f>Central!AI8+Central!AI19+Central!AI25</f>
        <v>21740</v>
      </c>
      <c r="R7" s="2">
        <f>Central!AJ8+Central!AJ19+Central!AJ25</f>
        <v>21740</v>
      </c>
      <c r="S7" s="2">
        <f>Central!AK8+Central!AK19+Central!AK25</f>
        <v>20740</v>
      </c>
      <c r="T7" s="2">
        <f>Central!AL8+Central!AL19+Central!AL25</f>
        <v>23880</v>
      </c>
      <c r="U7" s="2">
        <f>Central!AM8+Central!AM19+Central!AM25</f>
        <v>25880</v>
      </c>
      <c r="V7" s="2">
        <f>Central!AN8+Central!AN19+Central!AN25</f>
        <v>15160</v>
      </c>
      <c r="W7" s="2">
        <f>Central!AO8+Central!AO19+Central!AO25</f>
        <v>33740</v>
      </c>
      <c r="X7" s="2">
        <f>Central!AP8+Central!AP19+Central!AP25</f>
        <v>31600</v>
      </c>
      <c r="Y7" s="2">
        <f>Central!AQ8+Central!AQ19+Central!AQ25</f>
        <v>33740</v>
      </c>
      <c r="Z7" s="2">
        <f>Central!AR8+Central!AR19+Central!AR25</f>
        <v>23020</v>
      </c>
      <c r="AB7" s="2">
        <f>Central!AA8+Central!AA19</f>
        <v>186000</v>
      </c>
      <c r="AC7" s="2">
        <f t="shared" ref="AC7:AC10" si="3">I7-AB7</f>
        <v>100000</v>
      </c>
      <c r="AE7" s="2">
        <f>Central!AG8+Central!AG19</f>
        <v>14880</v>
      </c>
      <c r="AF7" s="2">
        <f>Central!AH8+Central!AH19</f>
        <v>14880</v>
      </c>
      <c r="AG7" s="2">
        <f>Central!AI8+Central!AI19</f>
        <v>16740</v>
      </c>
      <c r="AH7" s="2">
        <f>Central!AJ8+Central!AJ19</f>
        <v>16740</v>
      </c>
      <c r="AI7" s="2">
        <f>Central!AK8+Central!AK19</f>
        <v>16740</v>
      </c>
      <c r="AJ7" s="2">
        <f>Central!AL8+Central!AL19</f>
        <v>14880</v>
      </c>
      <c r="AK7" s="2">
        <f>Central!AM8+Central!AM19</f>
        <v>14880</v>
      </c>
      <c r="AL7" s="2">
        <f>Central!AN8+Central!AN19</f>
        <v>11160</v>
      </c>
      <c r="AM7" s="2">
        <f>Central!AO8+Central!AO19</f>
        <v>16740</v>
      </c>
      <c r="AN7" s="2">
        <f>Central!AP8+Central!AP19</f>
        <v>18600</v>
      </c>
      <c r="AO7" s="2">
        <f>Central!AQ8+Central!AQ19</f>
        <v>16740</v>
      </c>
      <c r="AP7" s="2">
        <f>Central!AR8+Central!AR19</f>
        <v>13020</v>
      </c>
      <c r="AR7" s="2">
        <f t="shared" ref="AR7:AR10" si="4">O7-AE7</f>
        <v>0</v>
      </c>
      <c r="AS7" s="2">
        <f t="shared" si="0"/>
        <v>5000</v>
      </c>
      <c r="AT7" s="2">
        <f t="shared" si="0"/>
        <v>5000</v>
      </c>
      <c r="AU7" s="2">
        <f t="shared" si="0"/>
        <v>5000</v>
      </c>
      <c r="AV7" s="2">
        <f t="shared" si="0"/>
        <v>4000</v>
      </c>
      <c r="AW7" s="2">
        <f t="shared" si="0"/>
        <v>9000</v>
      </c>
      <c r="AX7" s="2">
        <f t="shared" si="0"/>
        <v>11000</v>
      </c>
      <c r="AY7" s="2">
        <f t="shared" si="0"/>
        <v>4000</v>
      </c>
      <c r="AZ7" s="2">
        <f t="shared" si="0"/>
        <v>17000</v>
      </c>
      <c r="BA7" s="2">
        <f t="shared" si="0"/>
        <v>13000</v>
      </c>
      <c r="BB7" s="2">
        <f t="shared" si="0"/>
        <v>17000</v>
      </c>
      <c r="BC7" s="2">
        <f t="shared" si="0"/>
        <v>10000</v>
      </c>
    </row>
    <row r="8" spans="2:55">
      <c r="B8" t="s">
        <v>18</v>
      </c>
      <c r="C8" s="2">
        <f>West!Z16+West!Z27+West!Z33+C45</f>
        <v>306743.02</v>
      </c>
      <c r="D8" s="2">
        <f>West!Y16+West!Y27+West!Y33+D45</f>
        <v>574500</v>
      </c>
      <c r="E8" s="3">
        <f t="shared" si="1"/>
        <v>-0.46606959094865097</v>
      </c>
      <c r="F8" s="2">
        <f>West!X16+West!X27+West!X33+F45</f>
        <v>343837.12</v>
      </c>
      <c r="G8" s="3">
        <f t="shared" si="2"/>
        <v>-0.10788276728236901</v>
      </c>
      <c r="I8" s="2">
        <f>West!AA16+West!AA27+West!AA33</f>
        <v>377000</v>
      </c>
      <c r="J8" s="2">
        <f>C8</f>
        <v>306743.02</v>
      </c>
      <c r="K8" s="3">
        <f>IFERROR(I8/J8-1, "N/A")</f>
        <v>0.22904182139173046</v>
      </c>
      <c r="O8" s="2">
        <f>West!AG16+West!AG27+West!AG33</f>
        <v>22160</v>
      </c>
      <c r="P8" s="2">
        <f>West!AH16+West!AH27+West!AH33</f>
        <v>27160</v>
      </c>
      <c r="Q8" s="2">
        <f>West!AI16+West!AI27+West!AI33</f>
        <v>29930</v>
      </c>
      <c r="R8" s="2">
        <f>West!AJ16+West!AJ27+West!AJ33</f>
        <v>29930</v>
      </c>
      <c r="S8" s="2">
        <f>West!AK16+West!AK27+West!AK33</f>
        <v>28930</v>
      </c>
      <c r="T8" s="2">
        <f>West!AL16+West!AL27+West!AL33</f>
        <v>31160</v>
      </c>
      <c r="U8" s="2">
        <f>West!AM16+West!AM27+West!AM33</f>
        <v>33160</v>
      </c>
      <c r="V8" s="2">
        <f>West!AN16+West!AN27+West!AN33</f>
        <v>20620</v>
      </c>
      <c r="W8" s="2">
        <f>West!AO16+West!AO27+West!AO33</f>
        <v>41930</v>
      </c>
      <c r="X8" s="2">
        <f>West!AP16+West!AP27+West!AP33</f>
        <v>40700</v>
      </c>
      <c r="Y8" s="2">
        <f>West!AQ16+West!AQ27+West!AQ33</f>
        <v>41930</v>
      </c>
      <c r="Z8" s="2">
        <f>West!AR16+West!AR27+West!AR33</f>
        <v>29390</v>
      </c>
      <c r="AB8" s="2">
        <f>West!AA16+West!AA27</f>
        <v>277000</v>
      </c>
      <c r="AC8" s="2">
        <f t="shared" si="3"/>
        <v>100000</v>
      </c>
      <c r="AE8" s="2">
        <f>West!AG16+West!AG27</f>
        <v>22160</v>
      </c>
      <c r="AF8" s="2">
        <f>West!AH16+West!AH27</f>
        <v>22160</v>
      </c>
      <c r="AG8" s="2">
        <f>West!AI16+West!AI27</f>
        <v>24930</v>
      </c>
      <c r="AH8" s="2">
        <f>West!AJ16+West!AJ27</f>
        <v>24930</v>
      </c>
      <c r="AI8" s="2">
        <f>West!AK16+West!AK27</f>
        <v>24930</v>
      </c>
      <c r="AJ8" s="2">
        <f>West!AL16+West!AL27</f>
        <v>22160</v>
      </c>
      <c r="AK8" s="2">
        <f>West!AM16+West!AM27</f>
        <v>22160</v>
      </c>
      <c r="AL8" s="2">
        <f>West!AN16+West!AN27</f>
        <v>16620</v>
      </c>
      <c r="AM8" s="2">
        <f>West!AO16+West!AO27</f>
        <v>24930</v>
      </c>
      <c r="AN8" s="2">
        <f>West!AP16+West!AP27</f>
        <v>27700</v>
      </c>
      <c r="AO8" s="2">
        <f>West!AQ16+West!AQ27</f>
        <v>24930</v>
      </c>
      <c r="AP8" s="2">
        <f>West!AR16+West!AR27</f>
        <v>19390</v>
      </c>
      <c r="AR8" s="2">
        <f t="shared" si="4"/>
        <v>0</v>
      </c>
      <c r="AS8" s="2">
        <f t="shared" si="0"/>
        <v>5000</v>
      </c>
      <c r="AT8" s="2">
        <f t="shared" si="0"/>
        <v>5000</v>
      </c>
      <c r="AU8" s="2">
        <f t="shared" si="0"/>
        <v>5000</v>
      </c>
      <c r="AV8" s="2">
        <f t="shared" si="0"/>
        <v>4000</v>
      </c>
      <c r="AW8" s="2">
        <f t="shared" si="0"/>
        <v>9000</v>
      </c>
      <c r="AX8" s="2">
        <f t="shared" si="0"/>
        <v>11000</v>
      </c>
      <c r="AY8" s="2">
        <f t="shared" si="0"/>
        <v>4000</v>
      </c>
      <c r="AZ8" s="2">
        <f t="shared" si="0"/>
        <v>17000</v>
      </c>
      <c r="BA8" s="2">
        <f t="shared" si="0"/>
        <v>13000</v>
      </c>
      <c r="BB8" s="2">
        <f t="shared" si="0"/>
        <v>17000</v>
      </c>
      <c r="BC8" s="2">
        <f t="shared" si="0"/>
        <v>10000</v>
      </c>
    </row>
    <row r="9" spans="2:55">
      <c r="B9" t="s">
        <v>19</v>
      </c>
      <c r="C9" s="2">
        <f>Southeast!Z14+Southeast!Z23+Southeast!Z29+C46</f>
        <v>131948.22</v>
      </c>
      <c r="D9" s="2">
        <f>Southeast!Y14+Southeast!Y23+Southeast!Y29+D46</f>
        <v>343000</v>
      </c>
      <c r="E9" s="3">
        <f t="shared" ref="E9" si="5">IFERROR(C9/D9-1, "N/A")</f>
        <v>-0.61531131195335276</v>
      </c>
      <c r="F9" s="2">
        <f>Southeast!X14+Southeast!X23+Southeast!X29+F46</f>
        <v>150948.01999999999</v>
      </c>
      <c r="G9" s="3">
        <f t="shared" ref="G9" si="6">IFERROR(C9/F9-1, "N/A")</f>
        <v>-0.12586981929276042</v>
      </c>
      <c r="I9" s="2">
        <f>Southeast!AA14+Southeast!AA23+Southeast!AA29</f>
        <v>272000</v>
      </c>
      <c r="J9" s="2">
        <f>C9</f>
        <v>131948.22</v>
      </c>
      <c r="K9" s="3">
        <f>IFERROR(I9/J9-1, "N/A")</f>
        <v>1.0614146973714385</v>
      </c>
      <c r="O9" s="2">
        <f>Southeast!AG14+Southeast!AG23+Southeast!AG29</f>
        <v>13760</v>
      </c>
      <c r="P9" s="2">
        <f>Southeast!AH14+Southeast!AH23+Southeast!AH29</f>
        <v>18760</v>
      </c>
      <c r="Q9" s="2">
        <f>Southeast!AI14+Southeast!AI23+Southeast!AI29</f>
        <v>20480</v>
      </c>
      <c r="R9" s="2">
        <f>Southeast!AJ14+Southeast!AJ23+Southeast!AJ29</f>
        <v>20480</v>
      </c>
      <c r="S9" s="2">
        <f>Southeast!AK14+Southeast!AK23+Southeast!AK29</f>
        <v>19480</v>
      </c>
      <c r="T9" s="2">
        <f>Southeast!AL14+Southeast!AL23+Southeast!AL29</f>
        <v>22760</v>
      </c>
      <c r="U9" s="2">
        <f>Southeast!AM14+Southeast!AM23+Southeast!AM29</f>
        <v>24760</v>
      </c>
      <c r="V9" s="2">
        <f>Southeast!AN14+Southeast!AN23+Southeast!AN29</f>
        <v>14320</v>
      </c>
      <c r="W9" s="2">
        <f>Southeast!AO14+Southeast!AO23+Southeast!AO29</f>
        <v>32480</v>
      </c>
      <c r="X9" s="2">
        <f>Southeast!AP14+Southeast!AP23+Southeast!AP29</f>
        <v>30200</v>
      </c>
      <c r="Y9" s="2">
        <f>Southeast!AQ14+Southeast!AQ23+Southeast!AQ29</f>
        <v>32480</v>
      </c>
      <c r="Z9" s="2">
        <f>Southeast!AR14+Southeast!AR23+Southeast!AR29</f>
        <v>22040</v>
      </c>
      <c r="AB9" s="2">
        <f>Southeast!AA14+Southeast!AA23</f>
        <v>172000</v>
      </c>
      <c r="AC9" s="2">
        <f t="shared" si="3"/>
        <v>100000</v>
      </c>
      <c r="AE9" s="2">
        <f>Southeast!AG14+Southeast!AG23</f>
        <v>13760</v>
      </c>
      <c r="AF9" s="2">
        <f>Southeast!AH14+Southeast!AH23</f>
        <v>13760</v>
      </c>
      <c r="AG9" s="2">
        <f>Southeast!AI14+Southeast!AI23</f>
        <v>15480</v>
      </c>
      <c r="AH9" s="2">
        <f>Southeast!AJ14+Southeast!AJ23</f>
        <v>15480</v>
      </c>
      <c r="AI9" s="2">
        <f>Southeast!AK14+Southeast!AK23</f>
        <v>15480</v>
      </c>
      <c r="AJ9" s="2">
        <f>Southeast!AL14+Southeast!AL23</f>
        <v>13760</v>
      </c>
      <c r="AK9" s="2">
        <f>Southeast!AM14+Southeast!AM23</f>
        <v>13760</v>
      </c>
      <c r="AL9" s="2">
        <f>Southeast!AN14+Southeast!AN23</f>
        <v>10320</v>
      </c>
      <c r="AM9" s="2">
        <f>Southeast!AO14+Southeast!AO23</f>
        <v>15480</v>
      </c>
      <c r="AN9" s="2">
        <f>Southeast!AP14+Southeast!AP23</f>
        <v>17200</v>
      </c>
      <c r="AO9" s="2">
        <f>Southeast!AQ14+Southeast!AQ23</f>
        <v>15480</v>
      </c>
      <c r="AP9" s="2">
        <f>Southeast!AR14+Southeast!AR23</f>
        <v>12040.000000000002</v>
      </c>
      <c r="AR9" s="2">
        <f t="shared" si="4"/>
        <v>0</v>
      </c>
      <c r="AS9" s="2">
        <f t="shared" si="0"/>
        <v>5000</v>
      </c>
      <c r="AT9" s="2">
        <f t="shared" si="0"/>
        <v>5000</v>
      </c>
      <c r="AU9" s="2">
        <f t="shared" si="0"/>
        <v>5000</v>
      </c>
      <c r="AV9" s="2">
        <f t="shared" si="0"/>
        <v>4000</v>
      </c>
      <c r="AW9" s="2">
        <f t="shared" si="0"/>
        <v>9000</v>
      </c>
      <c r="AX9" s="2">
        <f t="shared" si="0"/>
        <v>11000</v>
      </c>
      <c r="AY9" s="2">
        <f t="shared" si="0"/>
        <v>4000</v>
      </c>
      <c r="AZ9" s="2">
        <f t="shared" si="0"/>
        <v>17000</v>
      </c>
      <c r="BA9" s="2">
        <f t="shared" si="0"/>
        <v>13000</v>
      </c>
      <c r="BB9" s="2">
        <f t="shared" si="0"/>
        <v>17000</v>
      </c>
      <c r="BC9" s="2">
        <f t="shared" si="0"/>
        <v>9999.9999999999982</v>
      </c>
    </row>
    <row r="10" spans="2:55">
      <c r="B10" t="s">
        <v>20</v>
      </c>
      <c r="C10" s="2">
        <f>Other!Z5+Other!Z10+Other!Z16+C47</f>
        <v>77613.539999999994</v>
      </c>
      <c r="D10" s="2">
        <f>Other!Y5+Other!Y10+Other!Y16+D47</f>
        <v>155000</v>
      </c>
      <c r="E10" s="3">
        <f t="shared" si="1"/>
        <v>-0.49926748387096775</v>
      </c>
      <c r="F10" s="2">
        <f>Other!X5+Other!X10+Other!X16+F47</f>
        <v>59847.38</v>
      </c>
      <c r="G10" s="3">
        <f t="shared" si="2"/>
        <v>0.29685777389085355</v>
      </c>
      <c r="I10" s="2">
        <f>Other!AA5+Other!AA10+Other!AA16</f>
        <v>90000</v>
      </c>
      <c r="J10" s="2">
        <f>C10</f>
        <v>77613.539999999994</v>
      </c>
      <c r="K10" s="3">
        <f>IFERROR(I10/J10-1, "N/A")</f>
        <v>0.1595914836509198</v>
      </c>
      <c r="O10" s="2">
        <f>Other!AG5+Other!AG10+Other!AG16</f>
        <v>7200</v>
      </c>
      <c r="P10" s="2">
        <f>Other!AH5+Other!AH10+Other!AH16</f>
        <v>7200</v>
      </c>
      <c r="Q10" s="2">
        <f>Other!AI5+Other!AI10+Other!AI16</f>
        <v>8100</v>
      </c>
      <c r="R10" s="2">
        <f>Other!AJ5+Other!AJ10+Other!AJ16</f>
        <v>8100</v>
      </c>
      <c r="S10" s="2">
        <f>Other!AK5+Other!AK10+Other!AK16</f>
        <v>8100</v>
      </c>
      <c r="T10" s="2">
        <f>Other!AL5+Other!AL10+Other!AL16</f>
        <v>7200</v>
      </c>
      <c r="U10" s="2">
        <f>Other!AM5+Other!AM10+Other!AM16</f>
        <v>7200</v>
      </c>
      <c r="V10" s="2">
        <f>Other!AN5+Other!AN10+Other!AN16</f>
        <v>5400</v>
      </c>
      <c r="W10" s="2">
        <f>Other!AO5+Other!AO10+Other!AO16</f>
        <v>8100</v>
      </c>
      <c r="X10" s="2">
        <f>Other!AP5+Other!AP10+Other!AP16</f>
        <v>9000</v>
      </c>
      <c r="Y10" s="2">
        <f>Other!AQ5+Other!AQ10+Other!AQ16</f>
        <v>8100</v>
      </c>
      <c r="Z10" s="2">
        <f>Other!AR5+Other!AR10+Other!AR16</f>
        <v>6300.0000000000009</v>
      </c>
      <c r="AB10" s="2">
        <f>Other!AA5+Other!AA10</f>
        <v>90000</v>
      </c>
      <c r="AC10" s="2">
        <f t="shared" si="3"/>
        <v>0</v>
      </c>
      <c r="AE10" s="2">
        <f>Other!AG5+Other!AG10</f>
        <v>7200</v>
      </c>
      <c r="AF10" s="2">
        <f>Other!AH5+Other!AH10</f>
        <v>7200</v>
      </c>
      <c r="AG10" s="2">
        <f>Other!AI5+Other!AI10</f>
        <v>8100</v>
      </c>
      <c r="AH10" s="2">
        <f>Other!AJ5+Other!AJ10</f>
        <v>8100</v>
      </c>
      <c r="AI10" s="2">
        <f>Other!AK5+Other!AK10</f>
        <v>8100</v>
      </c>
      <c r="AJ10" s="2">
        <f>Other!AL5+Other!AL10</f>
        <v>7200</v>
      </c>
      <c r="AK10" s="2">
        <f>Other!AM5+Other!AM10</f>
        <v>7200</v>
      </c>
      <c r="AL10" s="2">
        <f>Other!AN5+Other!AN10</f>
        <v>5400</v>
      </c>
      <c r="AM10" s="2">
        <f>Other!AO5+Other!AO10</f>
        <v>8100</v>
      </c>
      <c r="AN10" s="2">
        <f>Other!AP5+Other!AP10</f>
        <v>9000</v>
      </c>
      <c r="AO10" s="2">
        <f>Other!AQ5+Other!AQ10</f>
        <v>8100</v>
      </c>
      <c r="AP10" s="2">
        <f>Other!AR5+Other!AR10</f>
        <v>6300.0000000000009</v>
      </c>
      <c r="AR10" s="2">
        <f t="shared" si="4"/>
        <v>0</v>
      </c>
      <c r="AS10" s="2">
        <f t="shared" si="0"/>
        <v>0</v>
      </c>
      <c r="AT10" s="2">
        <f t="shared" si="0"/>
        <v>0</v>
      </c>
      <c r="AU10" s="2">
        <f t="shared" si="0"/>
        <v>0</v>
      </c>
      <c r="AV10" s="2">
        <f t="shared" si="0"/>
        <v>0</v>
      </c>
      <c r="AW10" s="2">
        <f t="shared" si="0"/>
        <v>0</v>
      </c>
      <c r="AX10" s="2">
        <f t="shared" si="0"/>
        <v>0</v>
      </c>
      <c r="AY10" s="2">
        <f t="shared" si="0"/>
        <v>0</v>
      </c>
      <c r="AZ10" s="2">
        <f t="shared" si="0"/>
        <v>0</v>
      </c>
      <c r="BA10" s="2">
        <f t="shared" si="0"/>
        <v>0</v>
      </c>
      <c r="BB10" s="2">
        <f t="shared" si="0"/>
        <v>0</v>
      </c>
      <c r="BC10" s="2">
        <f t="shared" si="0"/>
        <v>0</v>
      </c>
    </row>
    <row r="11" spans="2:55" ht="6" customHeight="1">
      <c r="E11" s="3"/>
      <c r="F11" s="31"/>
      <c r="G11" s="3"/>
      <c r="K11" s="3"/>
    </row>
    <row r="12" spans="2:55">
      <c r="B12" s="24" t="s">
        <v>21</v>
      </c>
      <c r="C12" s="48">
        <f>SUM(C6:C10)</f>
        <v>736892.95000000007</v>
      </c>
      <c r="D12" s="48">
        <f>SUM(D6:D10)</f>
        <v>1513500</v>
      </c>
      <c r="E12" s="26">
        <f t="shared" si="1"/>
        <v>-0.51311995374958697</v>
      </c>
      <c r="F12" s="48">
        <f>SUM(F6:F10)</f>
        <v>767244.4</v>
      </c>
      <c r="G12" s="26">
        <f t="shared" si="2"/>
        <v>-3.9559037511384787E-2</v>
      </c>
      <c r="I12" s="48">
        <f>SUM(I6:I10)</f>
        <v>1224000</v>
      </c>
      <c r="J12" s="48">
        <f>SUM(J6:J10)</f>
        <v>736892.95000000007</v>
      </c>
      <c r="K12" s="26">
        <f>IFERROR(I12/J12-1, "N/A")</f>
        <v>0.6610282402620351</v>
      </c>
      <c r="O12" s="48">
        <f>SUM(O6:O10)</f>
        <v>65920</v>
      </c>
      <c r="P12" s="48">
        <f t="shared" ref="P12:W12" si="7">SUM(P6:P10)</f>
        <v>85920</v>
      </c>
      <c r="Q12" s="48">
        <f t="shared" si="7"/>
        <v>94160</v>
      </c>
      <c r="R12" s="48">
        <f t="shared" si="7"/>
        <v>94160</v>
      </c>
      <c r="S12" s="48">
        <f t="shared" si="7"/>
        <v>90160</v>
      </c>
      <c r="T12" s="48">
        <f t="shared" si="7"/>
        <v>101920</v>
      </c>
      <c r="U12" s="48">
        <f t="shared" si="7"/>
        <v>109920</v>
      </c>
      <c r="V12" s="48">
        <f t="shared" si="7"/>
        <v>65440</v>
      </c>
      <c r="W12" s="48">
        <f t="shared" si="7"/>
        <v>142160</v>
      </c>
      <c r="X12" s="48">
        <f>SUM(X6:X10)</f>
        <v>134400</v>
      </c>
      <c r="Y12" s="48">
        <f t="shared" ref="Y12" si="8">SUM(Y6:Y10)</f>
        <v>142160</v>
      </c>
      <c r="Z12" s="48">
        <f>SUM(Z6:Z10)</f>
        <v>97680</v>
      </c>
      <c r="AB12" s="48">
        <f t="shared" ref="AB12:AC12" si="9">SUM(AB6:AB10)</f>
        <v>824000</v>
      </c>
      <c r="AC12" s="48">
        <f t="shared" si="9"/>
        <v>400000</v>
      </c>
      <c r="AE12" s="48">
        <f>SUM(AE6:AE10)</f>
        <v>65920</v>
      </c>
      <c r="AF12" s="48">
        <f t="shared" ref="AF12:AP12" si="10">SUM(AF6:AF10)</f>
        <v>65920</v>
      </c>
      <c r="AG12" s="48">
        <f t="shared" si="10"/>
        <v>74160</v>
      </c>
      <c r="AH12" s="48">
        <f t="shared" si="10"/>
        <v>74160</v>
      </c>
      <c r="AI12" s="48">
        <f t="shared" si="10"/>
        <v>74160</v>
      </c>
      <c r="AJ12" s="48">
        <f t="shared" si="10"/>
        <v>65920</v>
      </c>
      <c r="AK12" s="48">
        <f t="shared" si="10"/>
        <v>65920</v>
      </c>
      <c r="AL12" s="48">
        <f t="shared" si="10"/>
        <v>49440</v>
      </c>
      <c r="AM12" s="48">
        <f t="shared" si="10"/>
        <v>74160</v>
      </c>
      <c r="AN12" s="48">
        <f t="shared" si="10"/>
        <v>82400</v>
      </c>
      <c r="AO12" s="48">
        <f t="shared" si="10"/>
        <v>74160</v>
      </c>
      <c r="AP12" s="48">
        <f t="shared" si="10"/>
        <v>57680</v>
      </c>
      <c r="AR12" s="48">
        <f>SUM(AR6:AR10)</f>
        <v>0</v>
      </c>
      <c r="AS12" s="48">
        <f t="shared" ref="AS12:BC12" si="11">SUM(AS6:AS10)</f>
        <v>20000</v>
      </c>
      <c r="AT12" s="48">
        <f t="shared" si="11"/>
        <v>20000</v>
      </c>
      <c r="AU12" s="48">
        <f t="shared" si="11"/>
        <v>20000</v>
      </c>
      <c r="AV12" s="48">
        <f t="shared" si="11"/>
        <v>16000</v>
      </c>
      <c r="AW12" s="48">
        <f t="shared" si="11"/>
        <v>36000</v>
      </c>
      <c r="AX12" s="48">
        <f t="shared" si="11"/>
        <v>44000</v>
      </c>
      <c r="AY12" s="48">
        <f t="shared" si="11"/>
        <v>16000</v>
      </c>
      <c r="AZ12" s="48">
        <f t="shared" si="11"/>
        <v>68000</v>
      </c>
      <c r="BA12" s="48">
        <f t="shared" si="11"/>
        <v>52000</v>
      </c>
      <c r="BB12" s="48">
        <f t="shared" si="11"/>
        <v>68000</v>
      </c>
      <c r="BC12" s="48">
        <f t="shared" si="11"/>
        <v>40000</v>
      </c>
    </row>
    <row r="16" spans="2:55">
      <c r="B16" s="49" t="s">
        <v>22</v>
      </c>
    </row>
    <row r="18" spans="2:10" ht="30">
      <c r="B18" s="21"/>
      <c r="C18" s="36" t="s">
        <v>23</v>
      </c>
      <c r="D18" s="36" t="s">
        <v>24</v>
      </c>
      <c r="E18" s="36" t="s">
        <v>25</v>
      </c>
      <c r="F18" s="36" t="s">
        <v>26</v>
      </c>
      <c r="G18" s="36" t="s">
        <v>27</v>
      </c>
      <c r="H18" s="36" t="s">
        <v>28</v>
      </c>
      <c r="I18" s="36" t="s">
        <v>29</v>
      </c>
      <c r="J18" s="36" t="s">
        <v>30</v>
      </c>
    </row>
    <row r="19" spans="2:10">
      <c r="B19" t="s">
        <v>16</v>
      </c>
      <c r="C19" s="2">
        <f>I6</f>
        <v>199000</v>
      </c>
      <c r="D19" s="2">
        <f>Northeast!AA22</f>
        <v>100000</v>
      </c>
      <c r="E19" s="2">
        <f>Northeast!AA16</f>
        <v>37000</v>
      </c>
      <c r="F19" s="2">
        <f>C19-D19-E19</f>
        <v>62000</v>
      </c>
      <c r="G19" s="2">
        <f>D19*10%</f>
        <v>10000</v>
      </c>
      <c r="H19" s="2">
        <f t="shared" ref="H19:I23" si="12">E19*5%</f>
        <v>1850</v>
      </c>
      <c r="I19" s="2">
        <f t="shared" si="12"/>
        <v>3100</v>
      </c>
      <c r="J19" s="2">
        <f>SUM(G19:I19)</f>
        <v>14950</v>
      </c>
    </row>
    <row r="20" spans="2:10">
      <c r="B20" t="s">
        <v>17</v>
      </c>
      <c r="C20" s="2">
        <f>I7</f>
        <v>286000</v>
      </c>
      <c r="D20" s="2">
        <f>Central!AA25</f>
        <v>100000</v>
      </c>
      <c r="E20" s="2">
        <f>Central!AA19</f>
        <v>66000</v>
      </c>
      <c r="F20" s="2">
        <f>C20-D20-E20</f>
        <v>120000</v>
      </c>
      <c r="G20" s="2">
        <f>D20*10%</f>
        <v>10000</v>
      </c>
      <c r="H20" s="2">
        <f t="shared" si="12"/>
        <v>3300</v>
      </c>
      <c r="I20" s="2">
        <f>F20*5%</f>
        <v>6000</v>
      </c>
      <c r="J20" s="2">
        <f>SUM(G20:I20)</f>
        <v>19300</v>
      </c>
    </row>
    <row r="21" spans="2:10">
      <c r="B21" t="s">
        <v>18</v>
      </c>
      <c r="C21" s="2">
        <f>I8</f>
        <v>377000</v>
      </c>
      <c r="D21" s="2">
        <f>West!AA33</f>
        <v>100000</v>
      </c>
      <c r="E21" s="2">
        <f>West!AA27</f>
        <v>77000</v>
      </c>
      <c r="F21" s="2">
        <f>C21-D21-E21</f>
        <v>200000</v>
      </c>
      <c r="G21" s="2">
        <f>D21*10%</f>
        <v>10000</v>
      </c>
      <c r="H21" s="2">
        <f t="shared" si="12"/>
        <v>3850</v>
      </c>
      <c r="I21" s="2">
        <f t="shared" si="12"/>
        <v>10000</v>
      </c>
      <c r="J21" s="2">
        <f>SUM(G21:I21)</f>
        <v>23850</v>
      </c>
    </row>
    <row r="22" spans="2:10">
      <c r="B22" t="s">
        <v>19</v>
      </c>
      <c r="C22" s="2">
        <f>I9</f>
        <v>272000</v>
      </c>
      <c r="D22" s="2">
        <f>Southeast!AA29</f>
        <v>100000</v>
      </c>
      <c r="E22" s="2">
        <f>Southeast!AA23</f>
        <v>23000</v>
      </c>
      <c r="F22" s="2">
        <f>C22-D22-E22</f>
        <v>149000</v>
      </c>
      <c r="G22" s="2">
        <f>D22*10%</f>
        <v>10000</v>
      </c>
      <c r="H22" s="2">
        <f t="shared" si="12"/>
        <v>1150</v>
      </c>
      <c r="I22" s="2">
        <f t="shared" si="12"/>
        <v>7450</v>
      </c>
      <c r="J22" s="2">
        <f>SUM(G22:I22)</f>
        <v>18600</v>
      </c>
    </row>
    <row r="23" spans="2:10">
      <c r="B23" t="s">
        <v>20</v>
      </c>
      <c r="C23" s="2">
        <f>I10</f>
        <v>90000</v>
      </c>
      <c r="D23" s="2">
        <f>Other!AA16</f>
        <v>0</v>
      </c>
      <c r="E23" s="2">
        <f>Other!AA10</f>
        <v>20000</v>
      </c>
      <c r="F23" s="2">
        <f>C23-D23-E23</f>
        <v>70000</v>
      </c>
      <c r="G23" s="2">
        <f>D23*10%</f>
        <v>0</v>
      </c>
      <c r="H23" s="2">
        <f t="shared" si="12"/>
        <v>1000</v>
      </c>
      <c r="I23" s="2">
        <f t="shared" si="12"/>
        <v>3500</v>
      </c>
      <c r="J23" s="2">
        <f>SUM(G23:I23)</f>
        <v>4500</v>
      </c>
    </row>
    <row r="24" spans="2:10" ht="6" customHeight="1">
      <c r="E24" s="3"/>
      <c r="F24" s="3"/>
      <c r="G24" s="3"/>
      <c r="H24" s="3"/>
      <c r="I24" s="3"/>
      <c r="J24" s="3"/>
    </row>
    <row r="25" spans="2:10">
      <c r="B25" s="24" t="s">
        <v>21</v>
      </c>
      <c r="C25" s="48">
        <f t="shared" ref="C25:J25" si="13">SUM(C19:C23)</f>
        <v>1224000</v>
      </c>
      <c r="D25" s="48">
        <f t="shared" si="13"/>
        <v>400000</v>
      </c>
      <c r="E25" s="48">
        <f t="shared" si="13"/>
        <v>223000</v>
      </c>
      <c r="F25" s="48">
        <f t="shared" si="13"/>
        <v>601000</v>
      </c>
      <c r="G25" s="48">
        <f t="shared" si="13"/>
        <v>40000</v>
      </c>
      <c r="H25" s="48">
        <f t="shared" si="13"/>
        <v>11150</v>
      </c>
      <c r="I25" s="48">
        <f t="shared" si="13"/>
        <v>30050</v>
      </c>
      <c r="J25" s="48">
        <f t="shared" si="13"/>
        <v>81200</v>
      </c>
    </row>
    <row r="39" spans="2:20" hidden="1" outlineLevel="1">
      <c r="B39" t="s">
        <v>31</v>
      </c>
    </row>
    <row r="40" spans="2:20" hidden="1" outlineLevel="1"/>
    <row r="41" spans="2:20" hidden="1" outlineLevel="1">
      <c r="B41" s="46" t="s">
        <v>1</v>
      </c>
      <c r="C41" s="54" t="s">
        <v>2</v>
      </c>
      <c r="D41" s="54"/>
      <c r="E41" s="54"/>
      <c r="F41" s="54"/>
      <c r="G41" s="54"/>
      <c r="H41" s="54"/>
      <c r="I41" s="54"/>
      <c r="J41" s="54"/>
      <c r="K41" s="54"/>
      <c r="M41" s="54" t="s">
        <v>2</v>
      </c>
      <c r="N41" s="54"/>
      <c r="O41" s="54"/>
    </row>
    <row r="42" spans="2:20" hidden="1" outlineLevel="1">
      <c r="B42" s="21"/>
      <c r="C42" s="21" t="s">
        <v>32</v>
      </c>
      <c r="D42" s="21" t="s">
        <v>8</v>
      </c>
      <c r="E42" s="21" t="s">
        <v>9</v>
      </c>
      <c r="F42" s="21" t="s">
        <v>10</v>
      </c>
      <c r="G42" s="21" t="s">
        <v>11</v>
      </c>
      <c r="H42" s="21" t="s">
        <v>8</v>
      </c>
      <c r="I42" s="21" t="s">
        <v>33</v>
      </c>
      <c r="J42" s="21" t="s">
        <v>10</v>
      </c>
      <c r="K42" s="21" t="s">
        <v>34</v>
      </c>
      <c r="L42" s="47"/>
      <c r="M42" s="21" t="s">
        <v>12</v>
      </c>
      <c r="N42" s="21" t="s">
        <v>32</v>
      </c>
      <c r="O42" s="21" t="s">
        <v>13</v>
      </c>
      <c r="P42" s="21"/>
      <c r="Q42" s="21"/>
      <c r="R42" s="21"/>
      <c r="S42" s="21"/>
      <c r="T42" s="21"/>
    </row>
    <row r="43" spans="2:20" hidden="1" outlineLevel="1">
      <c r="B43" t="s">
        <v>16</v>
      </c>
      <c r="C43" s="2">
        <f>SUMIF(Lost!$D:$D, $B43,Lost!Z:Z)</f>
        <v>0</v>
      </c>
      <c r="D43" s="2">
        <f>SUMIF(Lost!$D:$D, $B43,Lost!Y:Y)</f>
        <v>0</v>
      </c>
      <c r="E43" s="3" t="str">
        <f>IFERROR(C43/D43-1, "N/A")</f>
        <v>N/A</v>
      </c>
      <c r="F43" s="2">
        <f>SUMIF(Lost!$D:$D, $B43,Lost!X:X)</f>
        <v>0</v>
      </c>
      <c r="G43" s="3" t="str">
        <f>IFERROR(C43/F43-1, "N/A")</f>
        <v>N/A</v>
      </c>
      <c r="H43" s="2">
        <f>SUMIF(Lost!$D:$D, $B43,Lost!Q:Q)</f>
        <v>0</v>
      </c>
      <c r="I43" s="3" t="str">
        <f>IFERROR(#REF!/H43-1, "N/A")</f>
        <v>N/A</v>
      </c>
      <c r="J43" s="2">
        <f>SUMIF(Lost!$D:$D, $B43,Lost!O:O)</f>
        <v>0</v>
      </c>
      <c r="K43" s="3" t="str">
        <f>IFERROR(#REF!/J43-1, "N/A")</f>
        <v>N/A</v>
      </c>
      <c r="M43" s="2">
        <f>SUMIF(Lost!$D:$D, $B43,Lost!AA:AA)</f>
        <v>0</v>
      </c>
      <c r="N43" s="2">
        <f>C43</f>
        <v>0</v>
      </c>
      <c r="O43" s="3" t="str">
        <f>IFERROR(M43/N43-1, "N/A")</f>
        <v>N/A</v>
      </c>
      <c r="P43" s="3"/>
      <c r="Q43" s="3"/>
      <c r="R43" s="3"/>
      <c r="S43" s="3"/>
      <c r="T43" s="3"/>
    </row>
    <row r="44" spans="2:20" hidden="1" outlineLevel="1">
      <c r="B44" t="s">
        <v>17</v>
      </c>
      <c r="C44" s="2">
        <f>SUMIF(Lost!$D:$D, $B44,Lost!Z:Z)</f>
        <v>0</v>
      </c>
      <c r="D44" s="2">
        <f>SUMIF(Lost!$D:$D, $B44,Lost!Y:Y)</f>
        <v>10000</v>
      </c>
      <c r="E44" s="3">
        <f t="shared" ref="E44:E47" si="14">IFERROR(C44/D44-1, "N/A")</f>
        <v>-1</v>
      </c>
      <c r="F44" s="2">
        <f>SUMIF(Lost!$D:$D, $B44,Lost!X:X)</f>
        <v>5494</v>
      </c>
      <c r="G44" s="3">
        <f t="shared" ref="G44:G47" si="15">IFERROR(C44/F44-1, "N/A")</f>
        <v>-1</v>
      </c>
      <c r="H44" s="2">
        <f>SUMIF(Lost!$D:$D, $B44,Lost!Q:Q)</f>
        <v>10000</v>
      </c>
      <c r="I44" s="3" t="str">
        <f>IFERROR(#REF!/H44-1, "N/A")</f>
        <v>N/A</v>
      </c>
      <c r="J44" s="2">
        <f>SUMIF(Lost!$D:$D, $B44,Lost!O:O)</f>
        <v>5494</v>
      </c>
      <c r="K44" s="3" t="str">
        <f>IFERROR(#REF!/J44-1, "N/A")</f>
        <v>N/A</v>
      </c>
      <c r="M44" s="2">
        <f>SUMIF(Lost!$D:$D, $B44,Lost!AA:AA)</f>
        <v>0</v>
      </c>
      <c r="N44" s="2">
        <f>C44</f>
        <v>0</v>
      </c>
      <c r="O44" s="3" t="str">
        <f t="shared" ref="O44:O47" si="16">IFERROR(M44/N44-1, "N/A")</f>
        <v>N/A</v>
      </c>
      <c r="P44" s="3"/>
      <c r="Q44" s="3"/>
      <c r="R44" s="3"/>
      <c r="S44" s="3"/>
      <c r="T44" s="3"/>
    </row>
    <row r="45" spans="2:20" hidden="1" outlineLevel="1">
      <c r="B45" t="s">
        <v>18</v>
      </c>
      <c r="C45" s="2">
        <f>SUMIF(Lost!$D:$D, $B45,Lost!Z:Z)</f>
        <v>0</v>
      </c>
      <c r="D45" s="2">
        <f>SUMIF(Lost!$D:$D, $B45,Lost!Y:Y)</f>
        <v>0</v>
      </c>
      <c r="E45" s="3" t="str">
        <f t="shared" si="14"/>
        <v>N/A</v>
      </c>
      <c r="F45" s="2">
        <f>SUMIF(Lost!$D:$D, $B45,Lost!X:X)</f>
        <v>0</v>
      </c>
      <c r="G45" s="3" t="str">
        <f t="shared" si="15"/>
        <v>N/A</v>
      </c>
      <c r="H45" s="2">
        <f>SUMIF(Lost!$D:$D, $B45,Lost!Q:Q)</f>
        <v>0</v>
      </c>
      <c r="I45" s="3" t="str">
        <f>IFERROR(#REF!/H45-1, "N/A")</f>
        <v>N/A</v>
      </c>
      <c r="J45" s="2">
        <f>SUMIF(Lost!$D:$D, $B45,Lost!O:O)</f>
        <v>0</v>
      </c>
      <c r="K45" s="3" t="str">
        <f>IFERROR(#REF!/J45-1, "N/A")</f>
        <v>N/A</v>
      </c>
      <c r="M45" s="2">
        <f>SUMIF(Lost!$D:$D, $B45,Lost!AA:AA)</f>
        <v>0</v>
      </c>
      <c r="N45" s="2">
        <f>C45</f>
        <v>0</v>
      </c>
      <c r="O45" s="3" t="str">
        <f t="shared" si="16"/>
        <v>N/A</v>
      </c>
      <c r="P45" s="3"/>
      <c r="Q45" s="3"/>
      <c r="R45" s="3"/>
      <c r="S45" s="3"/>
      <c r="T45" s="3"/>
    </row>
    <row r="46" spans="2:20" hidden="1" outlineLevel="1">
      <c r="B46" t="s">
        <v>19</v>
      </c>
      <c r="C46" s="2">
        <f>SUMIF(Lost!$D:$D, $B46,Lost!Z:Z)</f>
        <v>0</v>
      </c>
      <c r="D46" s="2">
        <f>SUMIF(Lost!$D:$D, $B46,Lost!Y:Y)</f>
        <v>0</v>
      </c>
      <c r="E46" s="3" t="str">
        <f t="shared" si="14"/>
        <v>N/A</v>
      </c>
      <c r="F46" s="2">
        <f>SUMIF(Lost!$D:$D, $B46,Lost!X:X)</f>
        <v>0</v>
      </c>
      <c r="G46" s="3" t="str">
        <f t="shared" si="15"/>
        <v>N/A</v>
      </c>
      <c r="H46" s="2">
        <f>SUMIF(Lost!$D:$D, $B46,Lost!Q:Q)</f>
        <v>0</v>
      </c>
      <c r="I46" s="3" t="str">
        <f>IFERROR(#REF!/H46-1, "N/A")</f>
        <v>N/A</v>
      </c>
      <c r="J46" s="2">
        <f>SUMIF(Lost!$D:$D, $B46,Lost!O:O)</f>
        <v>0</v>
      </c>
      <c r="K46" s="3" t="str">
        <f>IFERROR(#REF!/J46-1, "N/A")</f>
        <v>N/A</v>
      </c>
      <c r="M46" s="2">
        <f>SUMIF(Lost!$D:$D, $B46,Lost!AA:AA)</f>
        <v>0</v>
      </c>
      <c r="N46" s="2">
        <f>C46</f>
        <v>0</v>
      </c>
      <c r="O46" s="3" t="str">
        <f t="shared" si="16"/>
        <v>N/A</v>
      </c>
      <c r="P46" s="3"/>
      <c r="Q46" s="3"/>
      <c r="R46" s="3"/>
      <c r="S46" s="3"/>
      <c r="T46" s="3"/>
    </row>
    <row r="47" spans="2:20" hidden="1" outlineLevel="1">
      <c r="B47" t="s">
        <v>20</v>
      </c>
      <c r="C47" s="2">
        <f>SUMIF(Lost!$D:$D, $B47,Lost!Z:Z)</f>
        <v>0</v>
      </c>
      <c r="D47" s="2">
        <f>SUMIF(Lost!$D:$D, $B47,Lost!Y:Y)</f>
        <v>0</v>
      </c>
      <c r="E47" s="3" t="str">
        <f t="shared" si="14"/>
        <v>N/A</v>
      </c>
      <c r="F47" s="2">
        <f>SUMIF(Lost!$D:$D, $B47,Lost!X:X)</f>
        <v>0</v>
      </c>
      <c r="G47" s="3" t="str">
        <f t="shared" si="15"/>
        <v>N/A</v>
      </c>
      <c r="H47" s="2">
        <f>SUMIF(Lost!$D:$D, $B47,Lost!Q:Q)</f>
        <v>0</v>
      </c>
      <c r="I47" s="3" t="str">
        <f>IFERROR(#REF!/H47-1, "N/A")</f>
        <v>N/A</v>
      </c>
      <c r="J47" s="2">
        <f>SUMIF(Lost!$D:$D, $B47,Lost!O:O)</f>
        <v>0</v>
      </c>
      <c r="K47" s="3" t="str">
        <f>IFERROR(#REF!/J47-1, "N/A")</f>
        <v>N/A</v>
      </c>
      <c r="M47" s="2">
        <f>SUMIF(Lost!$D:$D, $B47,Lost!AA:AA)</f>
        <v>0</v>
      </c>
      <c r="N47" s="2">
        <f>C47</f>
        <v>0</v>
      </c>
      <c r="O47" s="3" t="str">
        <f t="shared" si="16"/>
        <v>N/A</v>
      </c>
      <c r="P47" s="3"/>
      <c r="Q47" s="3"/>
      <c r="R47" s="3"/>
      <c r="S47" s="3"/>
      <c r="T47" s="3"/>
    </row>
    <row r="48" spans="2:20" hidden="1" outlineLevel="1">
      <c r="E48" s="3"/>
      <c r="F48" s="31"/>
      <c r="G48" s="3"/>
      <c r="H48" s="31"/>
      <c r="I48" s="3"/>
      <c r="J48" s="31"/>
      <c r="K48" s="3"/>
      <c r="O48" s="3"/>
      <c r="P48" s="3"/>
      <c r="Q48" s="3"/>
      <c r="R48" s="3"/>
      <c r="S48" s="3"/>
      <c r="T48" s="3"/>
    </row>
    <row r="49" spans="2:20" hidden="1" outlineLevel="1">
      <c r="B49" s="24" t="s">
        <v>21</v>
      </c>
      <c r="C49" s="48">
        <f>SUM(C43:C47)</f>
        <v>0</v>
      </c>
      <c r="D49" s="48">
        <f>SUM(D43:D47)</f>
        <v>10000</v>
      </c>
      <c r="E49" s="26">
        <f t="shared" ref="E49" si="17">IFERROR(C49/D49-1, "N/A")</f>
        <v>-1</v>
      </c>
      <c r="F49" s="48">
        <f>SUM(F43:F47)</f>
        <v>5494</v>
      </c>
      <c r="G49" s="26">
        <f t="shared" ref="G49" si="18">IFERROR(C49/F49-1, "N/A")</f>
        <v>-1</v>
      </c>
      <c r="H49" s="48">
        <f>SUM(H43:H47)</f>
        <v>10000</v>
      </c>
      <c r="I49" s="26" t="str">
        <f>IFERROR(#REF!/H49-1, "N/A")</f>
        <v>N/A</v>
      </c>
      <c r="J49" s="48">
        <f>SUM(J43:J47)</f>
        <v>5494</v>
      </c>
      <c r="K49" s="26" t="str">
        <f>IFERROR(#REF!/J49-1, "N/A")</f>
        <v>N/A</v>
      </c>
      <c r="M49" s="48">
        <f>SUM(M43:M47)</f>
        <v>0</v>
      </c>
      <c r="N49" s="48">
        <f>SUM(N43:N47)</f>
        <v>0</v>
      </c>
      <c r="O49" s="26" t="str">
        <f t="shared" ref="O49" si="19">IFERROR(M49/N49-1, "N/A")</f>
        <v>N/A</v>
      </c>
      <c r="P49" s="26"/>
      <c r="Q49" s="26"/>
      <c r="R49" s="26"/>
      <c r="S49" s="26"/>
      <c r="T49" s="26"/>
    </row>
    <row r="50" spans="2:20" collapsed="1"/>
  </sheetData>
  <mergeCells count="9">
    <mergeCell ref="AE4:AP4"/>
    <mergeCell ref="AR4:BC4"/>
    <mergeCell ref="C4:G4"/>
    <mergeCell ref="I4:K4"/>
    <mergeCell ref="C41:G41"/>
    <mergeCell ref="H41:K41"/>
    <mergeCell ref="M41:O41"/>
    <mergeCell ref="O4:Z4"/>
    <mergeCell ref="AB4:A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99A5-BE56-497C-9EC5-3EB740F00A5C}">
  <dimension ref="B2:C10"/>
  <sheetViews>
    <sheetView showGridLines="0" workbookViewId="0">
      <selection activeCell="C9" sqref="C9"/>
    </sheetView>
  </sheetViews>
  <sheetFormatPr defaultRowHeight="15"/>
  <cols>
    <col min="3" max="3" width="32.140625" customWidth="1"/>
  </cols>
  <sheetData>
    <row r="2" spans="2:3">
      <c r="B2" t="s">
        <v>35</v>
      </c>
      <c r="C2" t="s">
        <v>36</v>
      </c>
    </row>
    <row r="3" spans="2:3">
      <c r="B3" t="s">
        <v>37</v>
      </c>
      <c r="C3" t="s">
        <v>38</v>
      </c>
    </row>
    <row r="4" spans="2:3">
      <c r="B4" t="s">
        <v>39</v>
      </c>
      <c r="C4" t="s">
        <v>40</v>
      </c>
    </row>
    <row r="5" spans="2:3">
      <c r="B5" t="s">
        <v>41</v>
      </c>
      <c r="C5" t="s">
        <v>42</v>
      </c>
    </row>
    <row r="6" spans="2:3">
      <c r="B6" t="s">
        <v>43</v>
      </c>
      <c r="C6" t="s">
        <v>44</v>
      </c>
    </row>
    <row r="7" spans="2:3">
      <c r="B7" t="s">
        <v>45</v>
      </c>
      <c r="C7" t="s">
        <v>46</v>
      </c>
    </row>
    <row r="8" spans="2:3">
      <c r="B8" t="s">
        <v>47</v>
      </c>
      <c r="C8" t="s">
        <v>48</v>
      </c>
    </row>
    <row r="9" spans="2:3">
      <c r="B9" t="s">
        <v>31</v>
      </c>
      <c r="C9" t="s">
        <v>49</v>
      </c>
    </row>
    <row r="10" spans="2:3">
      <c r="B10" t="s">
        <v>50</v>
      </c>
      <c r="C1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0D3B-C58B-4257-8020-7288D573B581}">
  <dimension ref="B1:BF22"/>
  <sheetViews>
    <sheetView showGridLines="0" tabSelected="1" workbookViewId="0">
      <pane xSplit="3" ySplit="2" topLeftCell="D3" activePane="bottomRight" state="frozen"/>
      <selection pane="bottomRight" activeCell="AE2" sqref="AE2:AE6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  <c r="AG1" s="29">
        <v>0.08</v>
      </c>
      <c r="AH1" s="29">
        <v>0.08</v>
      </c>
      <c r="AI1" s="29">
        <v>0.09</v>
      </c>
      <c r="AJ1" s="29">
        <v>0.09</v>
      </c>
      <c r="AK1" s="29">
        <v>0.09</v>
      </c>
      <c r="AL1" s="29">
        <v>0.08</v>
      </c>
      <c r="AM1" s="29">
        <v>0.08</v>
      </c>
      <c r="AN1" s="29">
        <v>0.06</v>
      </c>
      <c r="AO1" s="29">
        <v>0.09</v>
      </c>
      <c r="AP1" s="29">
        <v>0.1</v>
      </c>
      <c r="AQ1" s="29">
        <v>0.09</v>
      </c>
      <c r="AR1" s="29">
        <v>7.0000000000000007E-2</v>
      </c>
    </row>
    <row r="2" spans="2:44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62</v>
      </c>
      <c r="AA2" s="38" t="s">
        <v>4</v>
      </c>
      <c r="AB2" s="1"/>
      <c r="AC2" s="1" t="s">
        <v>68</v>
      </c>
      <c r="AD2" s="1" t="s">
        <v>69</v>
      </c>
      <c r="AE2" s="1" t="s">
        <v>71</v>
      </c>
      <c r="AG2" s="53">
        <v>46023</v>
      </c>
      <c r="AH2" s="53">
        <v>46054</v>
      </c>
      <c r="AI2" s="53">
        <v>46082</v>
      </c>
      <c r="AJ2" s="53">
        <v>46113</v>
      </c>
      <c r="AK2" s="53">
        <v>46143</v>
      </c>
      <c r="AL2" s="53">
        <v>46174</v>
      </c>
      <c r="AM2" s="53">
        <v>46204</v>
      </c>
      <c r="AN2" s="53">
        <v>46235</v>
      </c>
      <c r="AO2" s="53">
        <v>46266</v>
      </c>
      <c r="AP2" s="53">
        <v>46296</v>
      </c>
      <c r="AQ2" s="53">
        <v>46327</v>
      </c>
      <c r="AR2" s="53">
        <v>46357</v>
      </c>
    </row>
    <row r="3" spans="2:44">
      <c r="B3">
        <v>25001</v>
      </c>
      <c r="C3" t="s">
        <v>72</v>
      </c>
      <c r="D3" t="str">
        <f>VLOOKUP($B3, 'Performance data'!$B:$K, 3, 0)</f>
        <v>Northeast</v>
      </c>
      <c r="E3" t="s">
        <v>73</v>
      </c>
      <c r="F3" s="39">
        <f>VLOOKUP($B3, 'Performance data'!$B:$K, 7, 0)</f>
        <v>2021</v>
      </c>
      <c r="G3" s="40"/>
      <c r="H3" s="39" t="str">
        <f>VLOOKUP($B3, 'Performance data'!$B:$K, 5, 0)</f>
        <v>A</v>
      </c>
      <c r="I3" s="39" t="s">
        <v>41</v>
      </c>
      <c r="J3" s="4">
        <f>P3</f>
        <v>26036.49</v>
      </c>
      <c r="K3" s="40">
        <v>30000</v>
      </c>
      <c r="M3" s="40" t="s">
        <v>74</v>
      </c>
      <c r="O3" s="2">
        <f>SUMIF('Performance data'!$B:$B, $B3,'Performance data'!K:K)</f>
        <v>33680.82</v>
      </c>
      <c r="P3" s="2">
        <f>SUMIF('Performance data'!$B:$B, $B3,'Performance data'!L:L)</f>
        <v>26036.49</v>
      </c>
      <c r="Q3" s="2">
        <f>SUMIF('Performance data'!$B:$B, $B3,'Performance data'!M:M)</f>
        <v>40000</v>
      </c>
      <c r="S3" s="41">
        <f>$P3/O3-1</f>
        <v>-0.22696389220927515</v>
      </c>
      <c r="T3" s="41">
        <f>P3/Q3-1</f>
        <v>-0.34908774999999992</v>
      </c>
      <c r="V3" s="2">
        <f>SUMIF('Performance data'!$B:$B, $B3,'Performance data'!Z:Z)</f>
        <v>32357.190000000002</v>
      </c>
      <c r="W3" s="2">
        <f>SUMIF('Performance data'!$B:$B, $B3,'Performance data'!AA:AA)</f>
        <v>24745.570000000003</v>
      </c>
      <c r="X3" s="2">
        <f>SUMIF('Performance data'!$B:$B, $B3,'Performance data'!AB:AB)</f>
        <v>33680.82</v>
      </c>
      <c r="Y3" s="2">
        <f>SUMIF('Performance data'!$B:$B, $B3,'Performance data'!AD:AD)</f>
        <v>40000</v>
      </c>
      <c r="Z3" s="2">
        <f>J3</f>
        <v>26036.49</v>
      </c>
      <c r="AA3" s="2">
        <f>K3</f>
        <v>30000</v>
      </c>
      <c r="AC3" s="41">
        <f>Z3/X3-1</f>
        <v>-0.22696389220927515</v>
      </c>
      <c r="AD3" s="41">
        <f>Z3/Y3-1</f>
        <v>-0.34908774999999992</v>
      </c>
      <c r="AE3" s="41">
        <f>AA3/Z3-1</f>
        <v>0.15222904469842136</v>
      </c>
      <c r="AG3" s="34">
        <f>$AA3*AG$1</f>
        <v>2400</v>
      </c>
      <c r="AH3" s="34">
        <f t="shared" ref="AH3:AR6" si="0">$AA3*AH$1</f>
        <v>2400</v>
      </c>
      <c r="AI3" s="34">
        <f t="shared" si="0"/>
        <v>2700</v>
      </c>
      <c r="AJ3" s="34">
        <f t="shared" si="0"/>
        <v>2700</v>
      </c>
      <c r="AK3" s="34">
        <f t="shared" si="0"/>
        <v>2700</v>
      </c>
      <c r="AL3" s="34">
        <f t="shared" si="0"/>
        <v>2400</v>
      </c>
      <c r="AM3" s="34">
        <f t="shared" si="0"/>
        <v>2400</v>
      </c>
      <c r="AN3" s="34">
        <f t="shared" si="0"/>
        <v>1800</v>
      </c>
      <c r="AO3" s="34">
        <f t="shared" si="0"/>
        <v>2700</v>
      </c>
      <c r="AP3" s="34">
        <f t="shared" si="0"/>
        <v>3000</v>
      </c>
      <c r="AQ3" s="34">
        <f t="shared" si="0"/>
        <v>2700</v>
      </c>
      <c r="AR3" s="34">
        <f t="shared" si="0"/>
        <v>2100</v>
      </c>
    </row>
    <row r="4" spans="2:44">
      <c r="B4">
        <v>25037</v>
      </c>
      <c r="C4" t="s">
        <v>75</v>
      </c>
      <c r="D4" t="str">
        <f>VLOOKUP($B4, 'Performance data'!$B:$K, 3, 0)</f>
        <v>Northeast</v>
      </c>
      <c r="E4" t="s">
        <v>73</v>
      </c>
      <c r="F4" s="39">
        <f>VLOOKUP($B4, 'Performance data'!$B:$K, 7, 0)</f>
        <v>2023</v>
      </c>
      <c r="G4" s="40"/>
      <c r="H4" s="39" t="str">
        <f>VLOOKUP($B4, 'Performance data'!$B:$K, 5, 0)</f>
        <v>B</v>
      </c>
      <c r="I4" s="39" t="s">
        <v>47</v>
      </c>
      <c r="J4" s="4">
        <f t="shared" ref="J4:J6" si="1">P4</f>
        <v>5249.3199999999988</v>
      </c>
      <c r="K4" s="40">
        <v>6000</v>
      </c>
      <c r="M4" s="40" t="s">
        <v>76</v>
      </c>
      <c r="O4" s="2">
        <f>SUMIF('Performance data'!$B:$B, $B4,'Performance data'!K:K)</f>
        <v>14341.14</v>
      </c>
      <c r="P4" s="2">
        <f>SUMIF('Performance data'!$B:$B, $B4,'Performance data'!L:L)</f>
        <v>5249.3199999999988</v>
      </c>
      <c r="Q4" s="2">
        <f>SUMIF('Performance data'!$B:$B, $B4,'Performance data'!M:M)</f>
        <v>16000</v>
      </c>
      <c r="S4" s="41">
        <f t="shared" ref="S4:S6" si="2">$P4/O4-1</f>
        <v>-0.63396773199341205</v>
      </c>
      <c r="T4" s="41">
        <f t="shared" ref="T4:T6" si="3">P4/Q4-1</f>
        <v>-0.67191750000000006</v>
      </c>
      <c r="V4" s="2">
        <f>SUMIF('Performance data'!$B:$B, $B4,'Performance data'!Z:Z)</f>
        <v>0</v>
      </c>
      <c r="W4" s="2">
        <f>SUMIF('Performance data'!$B:$B, $B4,'Performance data'!AA:AA)</f>
        <v>20827.14</v>
      </c>
      <c r="X4" s="2">
        <f>SUMIF('Performance data'!$B:$B, $B4,'Performance data'!AB:AB)</f>
        <v>14341.14</v>
      </c>
      <c r="Y4" s="2">
        <f>SUMIF('Performance data'!$B:$B, $B4,'Performance data'!AD:AD)</f>
        <v>16000</v>
      </c>
      <c r="Z4" s="2">
        <f t="shared" ref="Z4:Z6" si="4">J4</f>
        <v>5249.3199999999988</v>
      </c>
      <c r="AA4" s="2">
        <f t="shared" ref="AA4:AA6" si="5">K4</f>
        <v>6000</v>
      </c>
      <c r="AC4" s="41">
        <f t="shared" ref="AC4:AC6" si="6">Z4/X4-1</f>
        <v>-0.63396773199341205</v>
      </c>
      <c r="AD4" s="41">
        <f t="shared" ref="AD4:AD6" si="7">Z4/Y4-1</f>
        <v>-0.67191750000000006</v>
      </c>
      <c r="AE4" s="41">
        <f t="shared" ref="AE4:AE6" si="8">AA4/Z4-1</f>
        <v>0.14300518924355932</v>
      </c>
      <c r="AG4" s="34">
        <f t="shared" ref="AG4:AG6" si="9">$AA4*AG$1</f>
        <v>480</v>
      </c>
      <c r="AH4" s="34">
        <f t="shared" si="0"/>
        <v>480</v>
      </c>
      <c r="AI4" s="34">
        <f t="shared" si="0"/>
        <v>540</v>
      </c>
      <c r="AJ4" s="34">
        <f t="shared" si="0"/>
        <v>540</v>
      </c>
      <c r="AK4" s="34">
        <f t="shared" si="0"/>
        <v>540</v>
      </c>
      <c r="AL4" s="34">
        <f t="shared" si="0"/>
        <v>480</v>
      </c>
      <c r="AM4" s="34">
        <f t="shared" si="0"/>
        <v>480</v>
      </c>
      <c r="AN4" s="34">
        <f t="shared" si="0"/>
        <v>360</v>
      </c>
      <c r="AO4" s="34">
        <f t="shared" si="0"/>
        <v>540</v>
      </c>
      <c r="AP4" s="34">
        <f t="shared" si="0"/>
        <v>600</v>
      </c>
      <c r="AQ4" s="34">
        <f t="shared" si="0"/>
        <v>540</v>
      </c>
      <c r="AR4" s="34">
        <f t="shared" si="0"/>
        <v>420.00000000000006</v>
      </c>
    </row>
    <row r="5" spans="2:44">
      <c r="B5">
        <v>25045</v>
      </c>
      <c r="C5" t="s">
        <v>77</v>
      </c>
      <c r="D5" t="str">
        <f>VLOOKUP($B5, 'Performance data'!$B:$K, 3, 0)</f>
        <v>Northeast</v>
      </c>
      <c r="E5" t="s">
        <v>73</v>
      </c>
      <c r="F5" s="39">
        <f>VLOOKUP($B5, 'Performance data'!$B:$K, 7, 0)</f>
        <v>2024</v>
      </c>
      <c r="G5" s="40"/>
      <c r="H5" s="39" t="str">
        <f>VLOOKUP($B5, 'Performance data'!$B:$K, 5, 0)</f>
        <v>NKD24</v>
      </c>
      <c r="I5" s="39" t="s">
        <v>47</v>
      </c>
      <c r="J5" s="4">
        <f t="shared" si="1"/>
        <v>5838.02</v>
      </c>
      <c r="K5" s="40">
        <v>6000</v>
      </c>
      <c r="M5" s="40" t="s">
        <v>76</v>
      </c>
      <c r="O5" s="2">
        <f>SUMIF('Performance data'!$B:$B, $B5,'Performance data'!K:K)</f>
        <v>27105.03</v>
      </c>
      <c r="P5" s="2">
        <f>SUMIF('Performance data'!$B:$B, $B5,'Performance data'!L:L)</f>
        <v>5838.02</v>
      </c>
      <c r="Q5" s="2">
        <f>SUMIF('Performance data'!$B:$B, $B5,'Performance data'!M:M)</f>
        <v>25000</v>
      </c>
      <c r="S5" s="41">
        <f t="shared" si="2"/>
        <v>-0.78461488513386624</v>
      </c>
      <c r="T5" s="41">
        <f t="shared" si="3"/>
        <v>-0.76647920000000003</v>
      </c>
      <c r="V5" s="2">
        <f>SUMIF('Performance data'!$B:$B, $B5,'Performance data'!Z:Z)</f>
        <v>0</v>
      </c>
      <c r="W5" s="2">
        <f>SUMIF('Performance data'!$B:$B, $B5,'Performance data'!AA:AA)</f>
        <v>0</v>
      </c>
      <c r="X5" s="2">
        <f>SUMIF('Performance data'!$B:$B, $B5,'Performance data'!AB:AB)</f>
        <v>27105.03</v>
      </c>
      <c r="Y5" s="2">
        <f>SUMIF('Performance data'!$B:$B, $B5,'Performance data'!AD:AD)</f>
        <v>25000</v>
      </c>
      <c r="Z5" s="2">
        <f t="shared" si="4"/>
        <v>5838.02</v>
      </c>
      <c r="AA5" s="2">
        <f t="shared" si="5"/>
        <v>6000</v>
      </c>
      <c r="AC5" s="41">
        <f t="shared" si="6"/>
        <v>-0.78461488513386624</v>
      </c>
      <c r="AD5" s="41">
        <f t="shared" si="7"/>
        <v>-0.76647920000000003</v>
      </c>
      <c r="AE5" s="41">
        <f t="shared" si="8"/>
        <v>2.7745708305213057E-2</v>
      </c>
      <c r="AG5" s="34">
        <f t="shared" si="9"/>
        <v>480</v>
      </c>
      <c r="AH5" s="34">
        <f t="shared" si="0"/>
        <v>480</v>
      </c>
      <c r="AI5" s="34">
        <f t="shared" si="0"/>
        <v>540</v>
      </c>
      <c r="AJ5" s="34">
        <f t="shared" si="0"/>
        <v>540</v>
      </c>
      <c r="AK5" s="34">
        <f t="shared" si="0"/>
        <v>540</v>
      </c>
      <c r="AL5" s="34">
        <f t="shared" si="0"/>
        <v>480</v>
      </c>
      <c r="AM5" s="34">
        <f t="shared" si="0"/>
        <v>480</v>
      </c>
      <c r="AN5" s="34">
        <f t="shared" si="0"/>
        <v>360</v>
      </c>
      <c r="AO5" s="34">
        <f t="shared" si="0"/>
        <v>540</v>
      </c>
      <c r="AP5" s="34">
        <f t="shared" si="0"/>
        <v>600</v>
      </c>
      <c r="AQ5" s="34">
        <f t="shared" si="0"/>
        <v>540</v>
      </c>
      <c r="AR5" s="34">
        <f t="shared" si="0"/>
        <v>420.00000000000006</v>
      </c>
    </row>
    <row r="6" spans="2:44">
      <c r="B6">
        <v>25049</v>
      </c>
      <c r="C6" t="s">
        <v>78</v>
      </c>
      <c r="D6" t="str">
        <f>VLOOKUP($B6, 'Performance data'!$B:$K, 3, 0)</f>
        <v>Northeast</v>
      </c>
      <c r="E6" t="s">
        <v>73</v>
      </c>
      <c r="F6" s="39">
        <f>VLOOKUP($B6, 'Performance data'!$B:$K, 7, 0)</f>
        <v>2024</v>
      </c>
      <c r="G6" s="40"/>
      <c r="H6" s="39" t="str">
        <f>VLOOKUP($B6, 'Performance data'!$B:$K, 5, 0)</f>
        <v>NKD24</v>
      </c>
      <c r="I6" s="39" t="s">
        <v>41</v>
      </c>
      <c r="J6" s="4">
        <f t="shared" si="1"/>
        <v>14251.070000000002</v>
      </c>
      <c r="K6" s="40">
        <v>20000</v>
      </c>
      <c r="M6" s="40" t="s">
        <v>74</v>
      </c>
      <c r="O6" s="2">
        <f>SUMIF('Performance data'!$B:$B, $B6,'Performance data'!K:K)</f>
        <v>15753.72</v>
      </c>
      <c r="P6" s="2">
        <f>SUMIF('Performance data'!$B:$B, $B6,'Performance data'!L:L)</f>
        <v>14251.070000000002</v>
      </c>
      <c r="Q6" s="2">
        <f>SUMIF('Performance data'!$B:$B, $B6,'Performance data'!M:M)</f>
        <v>18000</v>
      </c>
      <c r="S6" s="41">
        <f t="shared" si="2"/>
        <v>-9.5383820456374613E-2</v>
      </c>
      <c r="T6" s="41">
        <f t="shared" si="3"/>
        <v>-0.20827388888888876</v>
      </c>
      <c r="V6" s="2">
        <f>SUMIF('Performance data'!$B:$B, $B6,'Performance data'!Z:Z)</f>
        <v>0</v>
      </c>
      <c r="W6" s="2">
        <f>SUMIF('Performance data'!$B:$B, $B6,'Performance data'!AA:AA)</f>
        <v>0</v>
      </c>
      <c r="X6" s="2">
        <f>SUMIF('Performance data'!$B:$B, $B6,'Performance data'!AB:AB)</f>
        <v>15753.72</v>
      </c>
      <c r="Y6" s="2">
        <f>SUMIF('Performance data'!$B:$B, $B6,'Performance data'!AD:AD)</f>
        <v>18000</v>
      </c>
      <c r="Z6" s="2">
        <f t="shared" si="4"/>
        <v>14251.070000000002</v>
      </c>
      <c r="AA6" s="2">
        <f t="shared" si="5"/>
        <v>20000</v>
      </c>
      <c r="AC6" s="41">
        <f t="shared" si="6"/>
        <v>-9.5383820456374613E-2</v>
      </c>
      <c r="AD6" s="41">
        <f t="shared" si="7"/>
        <v>-0.20827388888888876</v>
      </c>
      <c r="AE6" s="41">
        <f t="shared" si="8"/>
        <v>0.40340339356974586</v>
      </c>
      <c r="AG6" s="34">
        <f t="shared" si="9"/>
        <v>1600</v>
      </c>
      <c r="AH6" s="34">
        <f t="shared" si="0"/>
        <v>1600</v>
      </c>
      <c r="AI6" s="34">
        <f t="shared" si="0"/>
        <v>1800</v>
      </c>
      <c r="AJ6" s="34">
        <f t="shared" si="0"/>
        <v>1800</v>
      </c>
      <c r="AK6" s="34">
        <f t="shared" si="0"/>
        <v>1800</v>
      </c>
      <c r="AL6" s="34">
        <f t="shared" si="0"/>
        <v>1600</v>
      </c>
      <c r="AM6" s="34">
        <f t="shared" si="0"/>
        <v>1600</v>
      </c>
      <c r="AN6" s="34">
        <f t="shared" si="0"/>
        <v>1200</v>
      </c>
      <c r="AO6" s="34">
        <f t="shared" si="0"/>
        <v>1800</v>
      </c>
      <c r="AP6" s="34">
        <f t="shared" si="0"/>
        <v>2000</v>
      </c>
      <c r="AQ6" s="34">
        <f t="shared" si="0"/>
        <v>1800</v>
      </c>
      <c r="AR6" s="34">
        <f t="shared" si="0"/>
        <v>1400.0000000000002</v>
      </c>
    </row>
    <row r="7" spans="2:44">
      <c r="B7" s="24" t="s">
        <v>79</v>
      </c>
      <c r="C7" s="24"/>
      <c r="D7" s="24"/>
      <c r="E7" s="24"/>
      <c r="F7" s="42"/>
      <c r="G7" s="25">
        <f>COUNTIF(G3:G6, "Yes")</f>
        <v>0</v>
      </c>
      <c r="H7" s="42"/>
      <c r="I7" s="42"/>
      <c r="J7" s="44">
        <f>SUM(J3:J6)</f>
        <v>51374.9</v>
      </c>
      <c r="K7" s="25">
        <f>SUM(K3:K6)</f>
        <v>62000</v>
      </c>
      <c r="L7" s="24"/>
      <c r="M7" s="24"/>
      <c r="N7" s="24"/>
      <c r="O7" s="25">
        <f>SUM(O3:O6)</f>
        <v>90880.709999999992</v>
      </c>
      <c r="P7" s="25">
        <f>SUM(P3:P6)</f>
        <v>51374.9</v>
      </c>
      <c r="Q7" s="25">
        <f>SUM(Q3:Q6)</f>
        <v>99000</v>
      </c>
      <c r="R7" s="24"/>
      <c r="S7" s="43">
        <f>$P7/O7-1</f>
        <v>-0.4346996188740162</v>
      </c>
      <c r="T7" s="43">
        <f>P7/Q7-1</f>
        <v>-0.48106161616161613</v>
      </c>
      <c r="U7" s="24"/>
      <c r="V7" s="25">
        <f t="shared" ref="V7:AA7" si="10">SUM(V3:V6)</f>
        <v>32357.190000000002</v>
      </c>
      <c r="W7" s="25">
        <f t="shared" si="10"/>
        <v>45572.710000000006</v>
      </c>
      <c r="X7" s="25">
        <f t="shared" si="10"/>
        <v>90880.709999999992</v>
      </c>
      <c r="Y7" s="25">
        <f t="shared" si="10"/>
        <v>99000</v>
      </c>
      <c r="Z7" s="25">
        <f t="shared" si="10"/>
        <v>51374.9</v>
      </c>
      <c r="AA7" s="25">
        <f t="shared" si="10"/>
        <v>62000</v>
      </c>
      <c r="AB7" s="24"/>
      <c r="AC7" s="43">
        <f>Z7/X7-1</f>
        <v>-0.4346996188740162</v>
      </c>
      <c r="AD7" s="43">
        <f>Z7/Y7-1</f>
        <v>-0.48106161616161613</v>
      </c>
      <c r="AE7" s="43">
        <f>AA7/Z7-1</f>
        <v>0.2068150010997587</v>
      </c>
      <c r="AG7" s="25">
        <f t="shared" ref="AG7:AR7" si="11">SUM(AG3:AG6)</f>
        <v>4960</v>
      </c>
      <c r="AH7" s="25">
        <f t="shared" si="11"/>
        <v>4960</v>
      </c>
      <c r="AI7" s="25">
        <f t="shared" si="11"/>
        <v>5580</v>
      </c>
      <c r="AJ7" s="25">
        <f t="shared" si="11"/>
        <v>5580</v>
      </c>
      <c r="AK7" s="25">
        <f t="shared" si="11"/>
        <v>5580</v>
      </c>
      <c r="AL7" s="25">
        <f t="shared" si="11"/>
        <v>4960</v>
      </c>
      <c r="AM7" s="25">
        <f t="shared" si="11"/>
        <v>4960</v>
      </c>
      <c r="AN7" s="25">
        <f t="shared" si="11"/>
        <v>3720</v>
      </c>
      <c r="AO7" s="25">
        <f t="shared" si="11"/>
        <v>5580</v>
      </c>
      <c r="AP7" s="25">
        <f t="shared" si="11"/>
        <v>6200</v>
      </c>
      <c r="AQ7" s="25">
        <f t="shared" si="11"/>
        <v>5580</v>
      </c>
      <c r="AR7" s="25">
        <f t="shared" si="11"/>
        <v>4340</v>
      </c>
    </row>
    <row r="8" spans="2:44">
      <c r="F8" s="39"/>
      <c r="H8" s="39"/>
      <c r="I8" s="39"/>
      <c r="O8" s="2"/>
      <c r="P8" s="2"/>
      <c r="Q8" s="2"/>
      <c r="S8" s="41"/>
      <c r="T8" s="41"/>
      <c r="V8" s="2"/>
      <c r="W8" s="2"/>
      <c r="X8" s="2"/>
      <c r="Y8" s="2"/>
      <c r="Z8" s="2"/>
      <c r="AA8" s="2"/>
      <c r="AC8" s="41"/>
      <c r="AD8" s="41"/>
      <c r="AE8" s="41"/>
    </row>
    <row r="11" spans="2:44">
      <c r="B11">
        <v>25061</v>
      </c>
      <c r="C11" t="s">
        <v>80</v>
      </c>
      <c r="D11" t="str">
        <f>VLOOKUP($B11, 'Performance data'!$B:$K, 3, 0)</f>
        <v>Northeast</v>
      </c>
      <c r="E11" t="s">
        <v>73</v>
      </c>
      <c r="F11" s="39">
        <f>VLOOKUP($B11, 'Performance data'!$B:$K, 7, 0)</f>
        <v>2025</v>
      </c>
      <c r="G11" s="40"/>
      <c r="H11" s="39" t="str">
        <f>VLOOKUP($B11, 'Performance data'!$B:$K, 5, 0)</f>
        <v>NKD25</v>
      </c>
      <c r="I11" s="39" t="s">
        <v>47</v>
      </c>
      <c r="J11" s="4">
        <f t="shared" ref="J11:J13" si="12">P11</f>
        <v>6871.7900000000009</v>
      </c>
      <c r="K11" s="40">
        <v>7000</v>
      </c>
      <c r="M11" s="40" t="s">
        <v>76</v>
      </c>
      <c r="O11" s="2">
        <f>SUMIF('Performance data'!$B:$B, $B11,'Performance data'!K:K)</f>
        <v>0</v>
      </c>
      <c r="P11" s="2">
        <f>SUMIF('Performance data'!$B:$B, $B11,'Performance data'!L:L)</f>
        <v>6871.7900000000009</v>
      </c>
      <c r="Q11" s="2">
        <f>SUMIF('Performance data'!$B:$B, $B11,'Performance data'!M:M)</f>
        <v>0</v>
      </c>
      <c r="S11" s="41" t="e">
        <f t="shared" ref="S11:S13" si="13">$P11/O11-1</f>
        <v>#DIV/0!</v>
      </c>
      <c r="T11" s="41" t="e">
        <f t="shared" ref="T11:T13" si="14">P11/Q11-1</f>
        <v>#DIV/0!</v>
      </c>
      <c r="V11" s="2">
        <f>SUMIF('Performance data'!$B:$B, $B11,'Performance data'!Z:Z)</f>
        <v>0</v>
      </c>
      <c r="W11" s="2">
        <f>SUMIF('Performance data'!$B:$B, $B11,'Performance data'!AA:AA)</f>
        <v>0</v>
      </c>
      <c r="X11" s="2">
        <f>SUMIF('Performance data'!$B:$B, $B11,'Performance data'!AB:AB)</f>
        <v>0</v>
      </c>
      <c r="Y11" s="2">
        <f>SUMIF('Performance data'!$B:$B, $B11,'Performance data'!AD:AD)</f>
        <v>0</v>
      </c>
      <c r="Z11" s="2">
        <f t="shared" ref="Z11:Z13" si="15">J11</f>
        <v>6871.7900000000009</v>
      </c>
      <c r="AA11" s="2">
        <f t="shared" ref="AA11:AA13" si="16">K11</f>
        <v>7000</v>
      </c>
      <c r="AC11" s="41" t="e">
        <f t="shared" ref="AC11:AC13" si="17">Z11/X11-1</f>
        <v>#DIV/0!</v>
      </c>
      <c r="AD11" s="41" t="e">
        <f t="shared" ref="AD11:AD13" si="18">Z11/Y11-1</f>
        <v>#DIV/0!</v>
      </c>
      <c r="AE11" s="41">
        <f t="shared" ref="AE11:AE13" si="19">AA11/Z11-1</f>
        <v>1.8657438600422793E-2</v>
      </c>
      <c r="AG11" s="34">
        <f t="shared" ref="AG11:AR14" si="20">$AA11*AG$1</f>
        <v>560</v>
      </c>
      <c r="AH11" s="34">
        <f t="shared" si="20"/>
        <v>560</v>
      </c>
      <c r="AI11" s="34">
        <f t="shared" si="20"/>
        <v>630</v>
      </c>
      <c r="AJ11" s="34">
        <f t="shared" si="20"/>
        <v>630</v>
      </c>
      <c r="AK11" s="34">
        <f t="shared" si="20"/>
        <v>630</v>
      </c>
      <c r="AL11" s="34">
        <f t="shared" si="20"/>
        <v>560</v>
      </c>
      <c r="AM11" s="34">
        <f t="shared" si="20"/>
        <v>560</v>
      </c>
      <c r="AN11" s="34">
        <f t="shared" si="20"/>
        <v>420</v>
      </c>
      <c r="AO11" s="34">
        <f t="shared" si="20"/>
        <v>630</v>
      </c>
      <c r="AP11" s="34">
        <f t="shared" si="20"/>
        <v>700</v>
      </c>
      <c r="AQ11" s="34">
        <f t="shared" si="20"/>
        <v>630</v>
      </c>
      <c r="AR11" s="34">
        <f t="shared" si="20"/>
        <v>490.00000000000006</v>
      </c>
    </row>
    <row r="12" spans="2:44">
      <c r="B12">
        <v>25062</v>
      </c>
      <c r="C12" t="s">
        <v>81</v>
      </c>
      <c r="D12" t="str">
        <f>VLOOKUP($B12, 'Performance data'!$B:$K, 3, 0)</f>
        <v>Northeast</v>
      </c>
      <c r="E12" t="s">
        <v>73</v>
      </c>
      <c r="F12" s="39">
        <f>VLOOKUP($B12, 'Performance data'!$B:$K, 7, 0)</f>
        <v>2025</v>
      </c>
      <c r="G12" s="40"/>
      <c r="H12" s="39" t="str">
        <f>VLOOKUP($B12, 'Performance data'!$B:$K, 5, 0)</f>
        <v>NKD25</v>
      </c>
      <c r="I12" s="39" t="s">
        <v>47</v>
      </c>
      <c r="J12" s="4">
        <f t="shared" si="12"/>
        <v>3844.76</v>
      </c>
      <c r="K12" s="40">
        <v>5000</v>
      </c>
      <c r="M12" s="40" t="s">
        <v>76</v>
      </c>
      <c r="O12" s="2">
        <f>SUMIF('Performance data'!$B:$B, $B12,'Performance data'!K:K)</f>
        <v>0</v>
      </c>
      <c r="P12" s="2">
        <f>SUMIF('Performance data'!$B:$B, $B12,'Performance data'!L:L)</f>
        <v>3844.76</v>
      </c>
      <c r="Q12" s="2">
        <f>SUMIF('Performance data'!$B:$B, $B12,'Performance data'!M:M)</f>
        <v>0</v>
      </c>
      <c r="S12" s="41" t="e">
        <f t="shared" si="13"/>
        <v>#DIV/0!</v>
      </c>
      <c r="T12" s="41" t="e">
        <f t="shared" si="14"/>
        <v>#DIV/0!</v>
      </c>
      <c r="V12" s="2">
        <f>SUMIF('Performance data'!$B:$B, $B12,'Performance data'!Z:Z)</f>
        <v>0</v>
      </c>
      <c r="W12" s="2">
        <f>SUMIF('Performance data'!$B:$B, $B12,'Performance data'!AA:AA)</f>
        <v>0</v>
      </c>
      <c r="X12" s="2">
        <f>SUMIF('Performance data'!$B:$B, $B12,'Performance data'!AB:AB)</f>
        <v>0</v>
      </c>
      <c r="Y12" s="2">
        <f>SUMIF('Performance data'!$B:$B, $B12,'Performance data'!AD:AD)</f>
        <v>0</v>
      </c>
      <c r="Z12" s="2">
        <f t="shared" si="15"/>
        <v>3844.76</v>
      </c>
      <c r="AA12" s="2">
        <f t="shared" si="16"/>
        <v>5000</v>
      </c>
      <c r="AC12" s="41" t="e">
        <f t="shared" si="17"/>
        <v>#DIV/0!</v>
      </c>
      <c r="AD12" s="41" t="e">
        <f t="shared" si="18"/>
        <v>#DIV/0!</v>
      </c>
      <c r="AE12" s="41">
        <f t="shared" si="19"/>
        <v>0.30047129079578427</v>
      </c>
      <c r="AG12" s="34">
        <f t="shared" si="20"/>
        <v>400</v>
      </c>
      <c r="AH12" s="34">
        <f t="shared" si="20"/>
        <v>400</v>
      </c>
      <c r="AI12" s="34">
        <f t="shared" si="20"/>
        <v>450</v>
      </c>
      <c r="AJ12" s="34">
        <f t="shared" si="20"/>
        <v>450</v>
      </c>
      <c r="AK12" s="34">
        <f t="shared" si="20"/>
        <v>450</v>
      </c>
      <c r="AL12" s="34">
        <f t="shared" si="20"/>
        <v>400</v>
      </c>
      <c r="AM12" s="34">
        <f t="shared" si="20"/>
        <v>400</v>
      </c>
      <c r="AN12" s="34">
        <f t="shared" si="20"/>
        <v>300</v>
      </c>
      <c r="AO12" s="34">
        <f t="shared" si="20"/>
        <v>450</v>
      </c>
      <c r="AP12" s="34">
        <f t="shared" si="20"/>
        <v>500</v>
      </c>
      <c r="AQ12" s="34">
        <f t="shared" si="20"/>
        <v>450</v>
      </c>
      <c r="AR12" s="34">
        <f t="shared" si="20"/>
        <v>350.00000000000006</v>
      </c>
    </row>
    <row r="13" spans="2:44">
      <c r="B13">
        <v>25070</v>
      </c>
      <c r="C13" t="s">
        <v>82</v>
      </c>
      <c r="D13" t="str">
        <f>VLOOKUP($B13, 'Performance data'!$B:$K, 3, 0)</f>
        <v>Northeast</v>
      </c>
      <c r="E13" t="s">
        <v>73</v>
      </c>
      <c r="F13" s="39">
        <f>VLOOKUP($B13, 'Performance data'!$B:$K, 7, 0)</f>
        <v>2025</v>
      </c>
      <c r="G13" s="40"/>
      <c r="H13" s="39" t="str">
        <f>VLOOKUP($B13, 'Performance data'!$B:$K, 5, 0)</f>
        <v>NKD25</v>
      </c>
      <c r="I13" s="39" t="s">
        <v>39</v>
      </c>
      <c r="J13" s="4">
        <f t="shared" si="12"/>
        <v>19760</v>
      </c>
      <c r="K13" s="40">
        <v>25000</v>
      </c>
      <c r="M13" s="40" t="s">
        <v>74</v>
      </c>
      <c r="O13" s="2">
        <f>SUMIF('Performance data'!$B:$B, $B13,'Performance data'!K:K)</f>
        <v>0</v>
      </c>
      <c r="P13" s="2">
        <f>SUMIF('Performance data'!$B:$B, $B13,'Performance data'!L:L)</f>
        <v>19760</v>
      </c>
      <c r="Q13" s="2">
        <f>SUMIF('Performance data'!$B:$B, $B13,'Performance data'!M:M)</f>
        <v>0</v>
      </c>
      <c r="S13" s="41" t="e">
        <f t="shared" si="13"/>
        <v>#DIV/0!</v>
      </c>
      <c r="T13" s="41" t="e">
        <f t="shared" si="14"/>
        <v>#DIV/0!</v>
      </c>
      <c r="V13" s="2">
        <f>SUMIF('Performance data'!$B:$B, $B13,'Performance data'!Z:Z)</f>
        <v>0</v>
      </c>
      <c r="W13" s="2">
        <f>SUMIF('Performance data'!$B:$B, $B13,'Performance data'!AA:AA)</f>
        <v>0</v>
      </c>
      <c r="X13" s="2">
        <f>SUMIF('Performance data'!$B:$B, $B13,'Performance data'!AB:AB)</f>
        <v>0</v>
      </c>
      <c r="Y13" s="2">
        <f>SUMIF('Performance data'!$B:$B, $B13,'Performance data'!AD:AD)</f>
        <v>0</v>
      </c>
      <c r="Z13" s="2">
        <f t="shared" si="15"/>
        <v>19760</v>
      </c>
      <c r="AA13" s="2">
        <f t="shared" si="16"/>
        <v>25000</v>
      </c>
      <c r="AC13" s="41" t="e">
        <f t="shared" si="17"/>
        <v>#DIV/0!</v>
      </c>
      <c r="AD13" s="41" t="e">
        <f t="shared" si="18"/>
        <v>#DIV/0!</v>
      </c>
      <c r="AE13" s="41">
        <f t="shared" si="19"/>
        <v>0.26518218623481782</v>
      </c>
      <c r="AG13" s="34">
        <f t="shared" si="20"/>
        <v>2000</v>
      </c>
      <c r="AH13" s="34">
        <f t="shared" si="20"/>
        <v>2000</v>
      </c>
      <c r="AI13" s="34">
        <f t="shared" si="20"/>
        <v>2250</v>
      </c>
      <c r="AJ13" s="34">
        <f t="shared" si="20"/>
        <v>2250</v>
      </c>
      <c r="AK13" s="34">
        <f t="shared" si="20"/>
        <v>2250</v>
      </c>
      <c r="AL13" s="34">
        <f t="shared" si="20"/>
        <v>2000</v>
      </c>
      <c r="AM13" s="34">
        <f t="shared" si="20"/>
        <v>2000</v>
      </c>
      <c r="AN13" s="34">
        <f t="shared" si="20"/>
        <v>1500</v>
      </c>
      <c r="AO13" s="34">
        <f t="shared" si="20"/>
        <v>2250</v>
      </c>
      <c r="AP13" s="34">
        <f t="shared" si="20"/>
        <v>2500</v>
      </c>
      <c r="AQ13" s="34">
        <f t="shared" si="20"/>
        <v>2250</v>
      </c>
      <c r="AR13" s="34">
        <f t="shared" si="20"/>
        <v>1750.0000000000002</v>
      </c>
    </row>
    <row r="14" spans="2:44">
      <c r="B14" t="s">
        <v>83</v>
      </c>
      <c r="C14" t="s">
        <v>84</v>
      </c>
      <c r="D14" t="s">
        <v>16</v>
      </c>
      <c r="E14" t="s">
        <v>73</v>
      </c>
      <c r="F14" s="39">
        <v>2025</v>
      </c>
      <c r="G14" s="45"/>
      <c r="H14" t="s">
        <v>83</v>
      </c>
      <c r="J14" s="45"/>
      <c r="K14" s="45"/>
      <c r="O14" s="2">
        <v>0</v>
      </c>
      <c r="P14" s="2">
        <v>0</v>
      </c>
      <c r="Q14" s="2">
        <f>SUMIFS('2025 budget doc'!$AC:$AC, '2025 budget doc'!$B:$B, "NKD25", '2025 budget doc'!$E:$E, $D14)</f>
        <v>18000</v>
      </c>
      <c r="S14" s="41" t="e">
        <f>$P14/O14-1</f>
        <v>#DIV/0!</v>
      </c>
      <c r="T14" s="41">
        <f>P14/Q14-1</f>
        <v>-1</v>
      </c>
      <c r="V14" s="2">
        <v>0</v>
      </c>
      <c r="W14" s="2">
        <v>0</v>
      </c>
      <c r="X14" s="2">
        <v>0</v>
      </c>
      <c r="Y14" s="2">
        <f>SUMIFS('2025 budget doc'!$L:$L, '2025 budget doc'!$B:$B, "NKD25", '2025 budget doc'!$E:$E, $D14)</f>
        <v>100000</v>
      </c>
      <c r="Z14" s="2">
        <f>J14</f>
        <v>0</v>
      </c>
      <c r="AA14" s="2">
        <f>K14</f>
        <v>0</v>
      </c>
      <c r="AC14" s="41" t="e">
        <f>Z14/X14-1</f>
        <v>#DIV/0!</v>
      </c>
      <c r="AD14" s="41">
        <f>Z14/Y14-1</f>
        <v>-1</v>
      </c>
      <c r="AE14" s="41" t="e">
        <f>AA14/Z14-1</f>
        <v>#DIV/0!</v>
      </c>
      <c r="AG14" s="34">
        <f t="shared" si="20"/>
        <v>0</v>
      </c>
      <c r="AH14" s="34">
        <f t="shared" si="20"/>
        <v>0</v>
      </c>
      <c r="AI14" s="34">
        <f t="shared" si="20"/>
        <v>0</v>
      </c>
      <c r="AJ14" s="34">
        <f t="shared" si="20"/>
        <v>0</v>
      </c>
      <c r="AK14" s="34">
        <f t="shared" si="20"/>
        <v>0</v>
      </c>
      <c r="AL14" s="34">
        <f t="shared" si="20"/>
        <v>0</v>
      </c>
      <c r="AM14" s="34">
        <f t="shared" si="20"/>
        <v>0</v>
      </c>
      <c r="AN14" s="34">
        <f t="shared" si="20"/>
        <v>0</v>
      </c>
      <c r="AO14" s="34">
        <f t="shared" si="20"/>
        <v>0</v>
      </c>
      <c r="AP14" s="34">
        <f t="shared" si="20"/>
        <v>0</v>
      </c>
      <c r="AQ14" s="34">
        <f t="shared" si="20"/>
        <v>0</v>
      </c>
      <c r="AR14" s="34">
        <f t="shared" si="20"/>
        <v>0</v>
      </c>
    </row>
    <row r="16" spans="2:44">
      <c r="B16" s="24" t="s">
        <v>85</v>
      </c>
      <c r="C16" s="24"/>
      <c r="D16" s="24"/>
      <c r="E16" s="24"/>
      <c r="F16" s="42"/>
      <c r="G16" s="44">
        <f>COUNTIF(G11:G13, "Yes")+G14</f>
        <v>0</v>
      </c>
      <c r="H16" s="42"/>
      <c r="I16" s="42"/>
      <c r="J16" s="44">
        <f>SUM(J11:J14)</f>
        <v>30476.550000000003</v>
      </c>
      <c r="K16" s="25">
        <f>SUM(K11:K14)</f>
        <v>37000</v>
      </c>
      <c r="L16" s="24"/>
      <c r="M16" s="24"/>
      <c r="N16" s="24"/>
      <c r="O16" s="25">
        <f>SUM(O11:O14)</f>
        <v>0</v>
      </c>
      <c r="P16" s="25">
        <f>SUM(P11:P14)</f>
        <v>30476.550000000003</v>
      </c>
      <c r="Q16" s="25">
        <f>SUM(Q11:Q14)</f>
        <v>18000</v>
      </c>
      <c r="R16" s="24"/>
      <c r="S16" s="43" t="e">
        <f>$P16/O16-1</f>
        <v>#DIV/0!</v>
      </c>
      <c r="T16" s="43">
        <f>P16/Q16-1</f>
        <v>0.69314166666666677</v>
      </c>
      <c r="U16" s="24"/>
      <c r="V16" s="25">
        <f t="shared" ref="V16:AA16" si="21">SUM(V11:V14)</f>
        <v>0</v>
      </c>
      <c r="W16" s="25">
        <f t="shared" si="21"/>
        <v>0</v>
      </c>
      <c r="X16" s="25">
        <f t="shared" si="21"/>
        <v>0</v>
      </c>
      <c r="Y16" s="25">
        <f t="shared" si="21"/>
        <v>100000</v>
      </c>
      <c r="Z16" s="25">
        <f t="shared" si="21"/>
        <v>30476.550000000003</v>
      </c>
      <c r="AA16" s="25">
        <f t="shared" si="21"/>
        <v>37000</v>
      </c>
      <c r="AB16" s="24"/>
      <c r="AC16" s="43" t="e">
        <f>Z16/X16-1</f>
        <v>#DIV/0!</v>
      </c>
      <c r="AD16" s="43">
        <f>Z16/Y16-1</f>
        <v>-0.69523449999999998</v>
      </c>
      <c r="AE16" s="43">
        <f>AA16/Z16-1</f>
        <v>0.21404817802539977</v>
      </c>
      <c r="AG16" s="25">
        <f t="shared" ref="AG16:AR16" si="22">SUM(AG11:AG14)</f>
        <v>2960</v>
      </c>
      <c r="AH16" s="25">
        <f t="shared" si="22"/>
        <v>2960</v>
      </c>
      <c r="AI16" s="25">
        <f t="shared" si="22"/>
        <v>3330</v>
      </c>
      <c r="AJ16" s="25">
        <f t="shared" si="22"/>
        <v>3330</v>
      </c>
      <c r="AK16" s="25">
        <f t="shared" si="22"/>
        <v>3330</v>
      </c>
      <c r="AL16" s="25">
        <f t="shared" si="22"/>
        <v>2960</v>
      </c>
      <c r="AM16" s="25">
        <f t="shared" si="22"/>
        <v>2960</v>
      </c>
      <c r="AN16" s="25">
        <f t="shared" si="22"/>
        <v>2220</v>
      </c>
      <c r="AO16" s="25">
        <f t="shared" si="22"/>
        <v>3330</v>
      </c>
      <c r="AP16" s="25">
        <f t="shared" si="22"/>
        <v>3700</v>
      </c>
      <c r="AQ16" s="25">
        <f t="shared" si="22"/>
        <v>3330</v>
      </c>
      <c r="AR16" s="25">
        <f t="shared" si="22"/>
        <v>2590.0000000000005</v>
      </c>
    </row>
    <row r="19" spans="2:58">
      <c r="AY19">
        <f>AV20</f>
        <v>1</v>
      </c>
      <c r="AZ19">
        <f>AW20</f>
        <v>1</v>
      </c>
      <c r="BA19">
        <f>AX20+AV20</f>
        <v>2</v>
      </c>
      <c r="BB19">
        <f>AY20+AW20</f>
        <v>1</v>
      </c>
      <c r="BC19">
        <f>AZ20+AX20+AV20</f>
        <v>3</v>
      </c>
      <c r="BD19">
        <f>BA20+AY20+AW20</f>
        <v>2</v>
      </c>
      <c r="BE19">
        <f>BB20+AZ20+AX20+AV20</f>
        <v>3</v>
      </c>
      <c r="BF19">
        <f>BC20+BA20+AY20+AW20</f>
        <v>3</v>
      </c>
    </row>
    <row r="20" spans="2:58">
      <c r="B20" t="s">
        <v>50</v>
      </c>
      <c r="C20" t="s">
        <v>86</v>
      </c>
      <c r="D20" t="s">
        <v>16</v>
      </c>
      <c r="E20" t="s">
        <v>73</v>
      </c>
      <c r="F20" s="39">
        <v>2026</v>
      </c>
      <c r="G20" s="33">
        <v>8</v>
      </c>
      <c r="H20" t="s">
        <v>50</v>
      </c>
      <c r="I20" t="s">
        <v>50</v>
      </c>
      <c r="K20" s="33">
        <v>100000</v>
      </c>
      <c r="O20" s="2">
        <v>0</v>
      </c>
      <c r="P20" s="2">
        <v>0</v>
      </c>
      <c r="Q20" s="2">
        <v>0</v>
      </c>
      <c r="S20" s="41" t="e">
        <f>$P20/O20-1</f>
        <v>#DIV/0!</v>
      </c>
      <c r="T20" s="41" t="e">
        <f>P20/Q20-1</f>
        <v>#DIV/0!</v>
      </c>
      <c r="V20" s="2">
        <v>0</v>
      </c>
      <c r="W20" s="2">
        <v>0</v>
      </c>
      <c r="X20" s="2">
        <v>0</v>
      </c>
      <c r="Y20" s="2">
        <v>0</v>
      </c>
      <c r="Z20" s="2">
        <f>J20</f>
        <v>0</v>
      </c>
      <c r="AA20" s="2">
        <f>K20</f>
        <v>100000</v>
      </c>
      <c r="AC20" s="41" t="e">
        <f>Z20/X20-1</f>
        <v>#DIV/0!</v>
      </c>
      <c r="AD20" s="41" t="e">
        <f>Z20/Y20-1</f>
        <v>#DIV/0!</v>
      </c>
      <c r="AE20" s="41" t="e">
        <f>AA20/Z20-1</f>
        <v>#DIV/0!</v>
      </c>
      <c r="AG20">
        <f>AU20*5000+AU19*4000</f>
        <v>0</v>
      </c>
      <c r="AH20">
        <f t="shared" ref="AH20:AQ20" si="23">AV20*5000+AV19*4000</f>
        <v>5000</v>
      </c>
      <c r="AI20">
        <f t="shared" si="23"/>
        <v>5000</v>
      </c>
      <c r="AJ20">
        <f t="shared" si="23"/>
        <v>5000</v>
      </c>
      <c r="AK20">
        <f t="shared" si="23"/>
        <v>4000</v>
      </c>
      <c r="AL20">
        <f t="shared" si="23"/>
        <v>9000</v>
      </c>
      <c r="AM20">
        <f>BA20*5000+BA19*4000-2000</f>
        <v>11000</v>
      </c>
      <c r="AN20">
        <f t="shared" si="23"/>
        <v>4000</v>
      </c>
      <c r="AO20">
        <f t="shared" si="23"/>
        <v>17000</v>
      </c>
      <c r="AP20">
        <f t="shared" si="23"/>
        <v>13000</v>
      </c>
      <c r="AQ20">
        <f t="shared" si="23"/>
        <v>17000</v>
      </c>
      <c r="AR20">
        <f>BF20*5000+BF19*4000-2000</f>
        <v>10000</v>
      </c>
      <c r="AV20">
        <v>1</v>
      </c>
      <c r="AW20">
        <v>1</v>
      </c>
      <c r="AX20">
        <v>1</v>
      </c>
      <c r="AZ20">
        <v>1</v>
      </c>
      <c r="BA20">
        <v>1</v>
      </c>
      <c r="BC20">
        <v>1</v>
      </c>
      <c r="BD20">
        <v>1</v>
      </c>
      <c r="BE20">
        <v>1</v>
      </c>
    </row>
    <row r="22" spans="2:58">
      <c r="B22" s="24" t="s">
        <v>87</v>
      </c>
      <c r="C22" s="24"/>
      <c r="D22" s="24"/>
      <c r="E22" s="24"/>
      <c r="F22" s="42"/>
      <c r="G22" s="44">
        <f>COUNTIF(G19:G19, "Yes")+G20</f>
        <v>8</v>
      </c>
      <c r="H22" s="42"/>
      <c r="I22" s="42"/>
      <c r="J22" s="44">
        <f t="shared" ref="J22:K22" si="24">SUM(J19:J20)</f>
        <v>0</v>
      </c>
      <c r="K22" s="25">
        <f t="shared" si="24"/>
        <v>100000</v>
      </c>
      <c r="L22" s="24"/>
      <c r="M22" s="24"/>
      <c r="N22" s="24"/>
      <c r="O22" s="25">
        <f t="shared" ref="O22:Q22" si="25">SUM(O19:O20)</f>
        <v>0</v>
      </c>
      <c r="P22" s="25">
        <f t="shared" si="25"/>
        <v>0</v>
      </c>
      <c r="Q22" s="25">
        <f t="shared" si="25"/>
        <v>0</v>
      </c>
      <c r="R22" s="24"/>
      <c r="S22" s="43" t="e">
        <f>$P22/O22-1</f>
        <v>#DIV/0!</v>
      </c>
      <c r="T22" s="43" t="e">
        <f>P22/Q22-1</f>
        <v>#DIV/0!</v>
      </c>
      <c r="U22" s="24"/>
      <c r="V22" s="25">
        <f t="shared" ref="V22:AA22" si="26">SUM(V19:V20)</f>
        <v>0</v>
      </c>
      <c r="W22" s="25">
        <f t="shared" si="26"/>
        <v>0</v>
      </c>
      <c r="X22" s="25">
        <f t="shared" si="26"/>
        <v>0</v>
      </c>
      <c r="Y22" s="25">
        <f t="shared" si="26"/>
        <v>0</v>
      </c>
      <c r="Z22" s="25">
        <f t="shared" si="26"/>
        <v>0</v>
      </c>
      <c r="AA22" s="25">
        <f t="shared" si="26"/>
        <v>100000</v>
      </c>
      <c r="AB22" s="24"/>
      <c r="AC22" s="43" t="e">
        <f>Z22/X22-1</f>
        <v>#DIV/0!</v>
      </c>
      <c r="AD22" s="43" t="e">
        <f>Z22/Y22-1</f>
        <v>#DIV/0!</v>
      </c>
      <c r="AE22" s="43" t="e">
        <f>AA22/Z22-1</f>
        <v>#DIV/0!</v>
      </c>
      <c r="AG22" s="25">
        <f t="shared" ref="AG22:AR22" si="27">SUM(AG19:AG20)</f>
        <v>0</v>
      </c>
      <c r="AH22" s="25">
        <f t="shared" si="27"/>
        <v>5000</v>
      </c>
      <c r="AI22" s="25">
        <f t="shared" si="27"/>
        <v>5000</v>
      </c>
      <c r="AJ22" s="25">
        <f t="shared" si="27"/>
        <v>5000</v>
      </c>
      <c r="AK22" s="25">
        <f t="shared" si="27"/>
        <v>4000</v>
      </c>
      <c r="AL22" s="25">
        <f t="shared" si="27"/>
        <v>9000</v>
      </c>
      <c r="AM22" s="25">
        <f t="shared" si="27"/>
        <v>11000</v>
      </c>
      <c r="AN22" s="25">
        <f t="shared" si="27"/>
        <v>4000</v>
      </c>
      <c r="AO22" s="25">
        <f t="shared" si="27"/>
        <v>17000</v>
      </c>
      <c r="AP22" s="25">
        <f t="shared" si="27"/>
        <v>13000</v>
      </c>
      <c r="AQ22" s="25">
        <f t="shared" si="27"/>
        <v>17000</v>
      </c>
      <c r="AR22" s="25">
        <f t="shared" si="27"/>
        <v>10000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43512B-4A40-41AD-8F79-DD33EFE200F0}">
          <x14:formula1>
            <xm:f>List!$B$2:$B$3</xm:f>
          </x14:formula1>
          <xm:sqref>G3:G6 G11:G13</xm:sqref>
        </x14:dataValidation>
        <x14:dataValidation type="list" allowBlank="1" showInputMessage="1" showErrorMessage="1" xr:uid="{7F446ECC-AD9D-4F5D-9315-AE0A213B99AC}">
          <x14:formula1>
            <xm:f>List!$D$2:$D$4</xm:f>
          </x14:formula1>
          <xm:sqref>M3:M6 M11:M13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637F-27B4-4873-868C-5A4C02B2B938}">
  <dimension ref="B1:BF25"/>
  <sheetViews>
    <sheetView showGridLines="0" workbookViewId="0">
      <pane xSplit="3" ySplit="2" topLeftCell="D3" activePane="bottomRight" state="frozen"/>
      <selection pane="bottomRight" activeCell="I5" sqref="I5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  <c r="AG1" s="29">
        <v>0.08</v>
      </c>
      <c r="AH1" s="29">
        <v>0.08</v>
      </c>
      <c r="AI1" s="29">
        <v>0.09</v>
      </c>
      <c r="AJ1" s="29">
        <v>0.09</v>
      </c>
      <c r="AK1" s="29">
        <v>0.09</v>
      </c>
      <c r="AL1" s="29">
        <v>0.08</v>
      </c>
      <c r="AM1" s="29">
        <v>0.08</v>
      </c>
      <c r="AN1" s="29">
        <v>0.06</v>
      </c>
      <c r="AO1" s="29">
        <v>0.09</v>
      </c>
      <c r="AP1" s="29">
        <v>0.1</v>
      </c>
      <c r="AQ1" s="29">
        <v>0.09</v>
      </c>
      <c r="AR1" s="29">
        <v>7.0000000000000007E-2</v>
      </c>
    </row>
    <row r="2" spans="2:44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62</v>
      </c>
      <c r="AA2" s="38" t="s">
        <v>4</v>
      </c>
      <c r="AB2" s="1"/>
      <c r="AC2" s="1" t="s">
        <v>68</v>
      </c>
      <c r="AD2" s="1" t="s">
        <v>69</v>
      </c>
      <c r="AE2" s="1" t="s">
        <v>71</v>
      </c>
      <c r="AG2" s="53">
        <v>46023</v>
      </c>
      <c r="AH2" s="53">
        <v>46054</v>
      </c>
      <c r="AI2" s="53">
        <v>46082</v>
      </c>
      <c r="AJ2" s="53">
        <v>46113</v>
      </c>
      <c r="AK2" s="53">
        <v>46143</v>
      </c>
      <c r="AL2" s="53">
        <v>46174</v>
      </c>
      <c r="AM2" s="53">
        <v>46204</v>
      </c>
      <c r="AN2" s="53">
        <v>46235</v>
      </c>
      <c r="AO2" s="53">
        <v>46266</v>
      </c>
      <c r="AP2" s="53">
        <v>46296</v>
      </c>
      <c r="AQ2" s="53">
        <v>46327</v>
      </c>
      <c r="AR2" s="53">
        <v>46357</v>
      </c>
    </row>
    <row r="3" spans="2:44">
      <c r="B3">
        <v>25039</v>
      </c>
      <c r="C3" t="s">
        <v>88</v>
      </c>
      <c r="D3" t="str">
        <f>VLOOKUP($B3, 'Performance data'!$B:$K, 3, 0)</f>
        <v>Central</v>
      </c>
      <c r="E3" t="str">
        <f>VLOOKUP($B3, 'Performance data'!$B:$K, 4, 0)</f>
        <v>Emily</v>
      </c>
      <c r="F3" s="39">
        <f>VLOOKUP($B3, 'Performance data'!$B:$K, 7, 0)</f>
        <v>2024</v>
      </c>
      <c r="G3" s="40"/>
      <c r="H3" s="39" t="str">
        <f>VLOOKUP($B3, 'Performance data'!$B:$K, 5, 0)</f>
        <v>NKD24</v>
      </c>
      <c r="I3" s="39" t="s">
        <v>31</v>
      </c>
      <c r="J3" s="4">
        <f>P3</f>
        <v>2153.52</v>
      </c>
      <c r="K3" s="40"/>
      <c r="M3" s="40" t="s">
        <v>89</v>
      </c>
      <c r="O3" s="2">
        <f>SUMIF('Performance data'!$B:$B, $B3,'Performance data'!K:K)</f>
        <v>18410.82</v>
      </c>
      <c r="P3" s="2">
        <f>SUMIF('Performance data'!$B:$B, $B3,'Performance data'!L:L)</f>
        <v>2153.52</v>
      </c>
      <c r="Q3" s="2">
        <f>SUMIF('Performance data'!$B:$B, $B3,'Performance data'!M:M)</f>
        <v>16000</v>
      </c>
      <c r="S3" s="41">
        <f>$P3/O3-1</f>
        <v>-0.88302965321479432</v>
      </c>
      <c r="T3" s="41">
        <f>P3/Q3-1</f>
        <v>-0.86540499999999998</v>
      </c>
      <c r="V3" s="2">
        <f>SUMIF('Performance data'!$B:$B, $B3,'Performance data'!Z:Z)</f>
        <v>0</v>
      </c>
      <c r="W3" s="2">
        <f>SUMIF('Performance data'!$B:$B, $B3,'Performance data'!AA:AA)</f>
        <v>0</v>
      </c>
      <c r="X3" s="2">
        <f>SUMIF('Performance data'!$B:$B, $B3,'Performance data'!AB:AB)</f>
        <v>18410.82</v>
      </c>
      <c r="Y3" s="2">
        <f>SUMIF('Performance data'!$B:$B, $B3,'Performance data'!AD:AD)</f>
        <v>16000</v>
      </c>
      <c r="Z3" s="2">
        <f>J3</f>
        <v>2153.52</v>
      </c>
      <c r="AA3" s="2">
        <f>K3</f>
        <v>0</v>
      </c>
      <c r="AC3" s="41">
        <f>Z3/X3-1</f>
        <v>-0.88302965321479432</v>
      </c>
      <c r="AD3" s="41">
        <f>Z3/Y3-1</f>
        <v>-0.86540499999999998</v>
      </c>
      <c r="AE3" s="41">
        <f>AA3/Z3-1</f>
        <v>-1</v>
      </c>
      <c r="AG3" s="34">
        <f>$AA3*AG$1</f>
        <v>0</v>
      </c>
      <c r="AH3" s="34">
        <f t="shared" ref="AH3:AR18" si="0">$AA3*AH$1</f>
        <v>0</v>
      </c>
      <c r="AI3" s="34">
        <f t="shared" si="0"/>
        <v>0</v>
      </c>
      <c r="AJ3" s="34">
        <f t="shared" si="0"/>
        <v>0</v>
      </c>
      <c r="AK3" s="34">
        <f t="shared" si="0"/>
        <v>0</v>
      </c>
      <c r="AL3" s="34">
        <f t="shared" si="0"/>
        <v>0</v>
      </c>
      <c r="AM3" s="34">
        <f t="shared" si="0"/>
        <v>0</v>
      </c>
      <c r="AN3" s="34">
        <f t="shared" si="0"/>
        <v>0</v>
      </c>
      <c r="AO3" s="34">
        <f t="shared" si="0"/>
        <v>0</v>
      </c>
      <c r="AP3" s="34">
        <f t="shared" si="0"/>
        <v>0</v>
      </c>
      <c r="AQ3" s="34">
        <f t="shared" si="0"/>
        <v>0</v>
      </c>
      <c r="AR3" s="34">
        <f t="shared" si="0"/>
        <v>0</v>
      </c>
    </row>
    <row r="4" spans="2:44">
      <c r="B4">
        <v>25044</v>
      </c>
      <c r="C4" t="s">
        <v>90</v>
      </c>
      <c r="D4" t="str">
        <f>VLOOKUP($B4, 'Performance data'!$B:$K, 3, 0)</f>
        <v>Central</v>
      </c>
      <c r="E4" t="str">
        <f>VLOOKUP($B4, 'Performance data'!$B:$K, 4, 0)</f>
        <v>Emily</v>
      </c>
      <c r="F4" s="39">
        <f>VLOOKUP($B4, 'Performance data'!$B:$K, 7, 0)</f>
        <v>2024</v>
      </c>
      <c r="G4" s="40"/>
      <c r="H4" s="39" t="str">
        <f>VLOOKUP($B4, 'Performance data'!$B:$K, 5, 0)</f>
        <v>NKD24</v>
      </c>
      <c r="I4" s="39" t="s">
        <v>43</v>
      </c>
      <c r="J4" s="4">
        <f t="shared" ref="J4:J7" si="1">P4</f>
        <v>26752.850000000002</v>
      </c>
      <c r="K4" s="40">
        <v>28000</v>
      </c>
      <c r="M4" s="40" t="s">
        <v>74</v>
      </c>
      <c r="O4" s="2">
        <f>SUMIF('Performance data'!$B:$B, $B4,'Performance data'!K:K)</f>
        <v>23382.73</v>
      </c>
      <c r="P4" s="2">
        <f>SUMIF('Performance data'!$B:$B, $B4,'Performance data'!L:L)</f>
        <v>26752.850000000002</v>
      </c>
      <c r="Q4" s="2">
        <f>SUMIF('Performance data'!$B:$B, $B4,'Performance data'!M:M)</f>
        <v>25000</v>
      </c>
      <c r="S4" s="41">
        <f t="shared" ref="S4:S7" si="2">$P4/O4-1</f>
        <v>0.14412859405210598</v>
      </c>
      <c r="T4" s="41">
        <f t="shared" ref="T4:T7" si="3">P4/Q4-1</f>
        <v>7.011400000000001E-2</v>
      </c>
      <c r="V4" s="2">
        <f>SUMIF('Performance data'!$B:$B, $B4,'Performance data'!Z:Z)</f>
        <v>0</v>
      </c>
      <c r="W4" s="2">
        <f>SUMIF('Performance data'!$B:$B, $B4,'Performance data'!AA:AA)</f>
        <v>0</v>
      </c>
      <c r="X4" s="2">
        <f>SUMIF('Performance data'!$B:$B, $B4,'Performance data'!AB:AB)</f>
        <v>23382.73</v>
      </c>
      <c r="Y4" s="2">
        <f>SUMIF('Performance data'!$B:$B, $B4,'Performance data'!AD:AD)</f>
        <v>25000</v>
      </c>
      <c r="Z4" s="2">
        <f t="shared" ref="Z4:AA7" si="4">J4</f>
        <v>26752.850000000002</v>
      </c>
      <c r="AA4" s="2">
        <f t="shared" si="4"/>
        <v>28000</v>
      </c>
      <c r="AC4" s="41">
        <f t="shared" ref="AC4:AC7" si="5">Z4/X4-1</f>
        <v>0.14412859405210598</v>
      </c>
      <c r="AD4" s="41">
        <f t="shared" ref="AD4:AE7" si="6">Z4/Y4-1</f>
        <v>7.011400000000001E-2</v>
      </c>
      <c r="AE4" s="41">
        <f t="shared" si="6"/>
        <v>4.6617463186165109E-2</v>
      </c>
      <c r="AG4" s="34">
        <f t="shared" ref="AG4:AG18" si="7">$AA4*AG$1</f>
        <v>2240</v>
      </c>
      <c r="AH4" s="34">
        <f t="shared" si="0"/>
        <v>2240</v>
      </c>
      <c r="AI4" s="34">
        <f t="shared" si="0"/>
        <v>2520</v>
      </c>
      <c r="AJ4" s="34">
        <f t="shared" si="0"/>
        <v>2520</v>
      </c>
      <c r="AK4" s="34">
        <f t="shared" si="0"/>
        <v>2520</v>
      </c>
      <c r="AL4" s="34">
        <f t="shared" si="0"/>
        <v>2240</v>
      </c>
      <c r="AM4" s="34">
        <f t="shared" si="0"/>
        <v>2240</v>
      </c>
      <c r="AN4" s="34">
        <f t="shared" si="0"/>
        <v>1680</v>
      </c>
      <c r="AO4" s="34">
        <f t="shared" si="0"/>
        <v>2520</v>
      </c>
      <c r="AP4" s="34">
        <f t="shared" si="0"/>
        <v>2800</v>
      </c>
      <c r="AQ4" s="34">
        <f t="shared" si="0"/>
        <v>2520</v>
      </c>
      <c r="AR4" s="34">
        <f t="shared" si="0"/>
        <v>1960.0000000000002</v>
      </c>
    </row>
    <row r="5" spans="2:44">
      <c r="B5">
        <v>25050</v>
      </c>
      <c r="C5" t="s">
        <v>91</v>
      </c>
      <c r="D5" t="str">
        <f>VLOOKUP($B5, 'Performance data'!$B:$K, 3, 0)</f>
        <v>Central</v>
      </c>
      <c r="E5" t="str">
        <f>VLOOKUP($B5, 'Performance data'!$B:$K, 4, 0)</f>
        <v>Emily</v>
      </c>
      <c r="F5" s="39">
        <f>VLOOKUP($B5, 'Performance data'!$B:$K, 7, 0)</f>
        <v>2024</v>
      </c>
      <c r="G5" s="40"/>
      <c r="H5" s="39" t="str">
        <f>VLOOKUP($B5, 'Performance data'!$B:$K, 5, 0)</f>
        <v>NKD24</v>
      </c>
      <c r="I5" s="39" t="s">
        <v>41</v>
      </c>
      <c r="J5" s="4">
        <f t="shared" si="1"/>
        <v>7207.32</v>
      </c>
      <c r="K5" s="40">
        <v>12000</v>
      </c>
      <c r="M5" s="40" t="s">
        <v>74</v>
      </c>
      <c r="O5" s="2">
        <f>SUMIF('Performance data'!$B:$B, $B5,'Performance data'!K:K)</f>
        <v>16142.96</v>
      </c>
      <c r="P5" s="2">
        <f>SUMIF('Performance data'!$B:$B, $B5,'Performance data'!L:L)</f>
        <v>7207.32</v>
      </c>
      <c r="Q5" s="2">
        <f>SUMIF('Performance data'!$B:$B, $B5,'Performance data'!M:M)</f>
        <v>16000</v>
      </c>
      <c r="S5" s="41">
        <f t="shared" si="2"/>
        <v>-0.5535316943113282</v>
      </c>
      <c r="T5" s="41">
        <f t="shared" si="3"/>
        <v>-0.54954250000000004</v>
      </c>
      <c r="V5" s="2">
        <f>SUMIF('Performance data'!$B:$B, $B5,'Performance data'!Z:Z)</f>
        <v>0</v>
      </c>
      <c r="W5" s="2">
        <f>SUMIF('Performance data'!$B:$B, $B5,'Performance data'!AA:AA)</f>
        <v>0</v>
      </c>
      <c r="X5" s="2">
        <f>SUMIF('Performance data'!$B:$B, $B5,'Performance data'!AB:AB)</f>
        <v>16142.96</v>
      </c>
      <c r="Y5" s="2">
        <f>SUMIF('Performance data'!$B:$B, $B5,'Performance data'!AD:AD)</f>
        <v>16000</v>
      </c>
      <c r="Z5" s="2">
        <f t="shared" si="4"/>
        <v>7207.32</v>
      </c>
      <c r="AA5" s="2">
        <f t="shared" si="4"/>
        <v>12000</v>
      </c>
      <c r="AC5" s="41">
        <f t="shared" si="5"/>
        <v>-0.5535316943113282</v>
      </c>
      <c r="AD5" s="41">
        <f t="shared" si="6"/>
        <v>-0.54954250000000004</v>
      </c>
      <c r="AE5" s="41">
        <f t="shared" si="6"/>
        <v>0.66497394315778968</v>
      </c>
      <c r="AG5" s="34">
        <f t="shared" si="7"/>
        <v>960</v>
      </c>
      <c r="AH5" s="34">
        <f t="shared" si="0"/>
        <v>960</v>
      </c>
      <c r="AI5" s="34">
        <f t="shared" si="0"/>
        <v>1080</v>
      </c>
      <c r="AJ5" s="34">
        <f t="shared" si="0"/>
        <v>1080</v>
      </c>
      <c r="AK5" s="34">
        <f t="shared" si="0"/>
        <v>1080</v>
      </c>
      <c r="AL5" s="34">
        <f t="shared" si="0"/>
        <v>960</v>
      </c>
      <c r="AM5" s="34">
        <f t="shared" si="0"/>
        <v>960</v>
      </c>
      <c r="AN5" s="34">
        <f t="shared" si="0"/>
        <v>720</v>
      </c>
      <c r="AO5" s="34">
        <f t="shared" si="0"/>
        <v>1080</v>
      </c>
      <c r="AP5" s="34">
        <f t="shared" si="0"/>
        <v>1200</v>
      </c>
      <c r="AQ5" s="34">
        <f t="shared" si="0"/>
        <v>1080</v>
      </c>
      <c r="AR5" s="34">
        <f t="shared" si="0"/>
        <v>840.00000000000011</v>
      </c>
    </row>
    <row r="6" spans="2:44">
      <c r="B6">
        <v>25054</v>
      </c>
      <c r="C6" s="50" t="s">
        <v>92</v>
      </c>
      <c r="D6" t="str">
        <f>VLOOKUP($B6, 'Performance data'!$B:$K, 3, 0)</f>
        <v>Southeast</v>
      </c>
      <c r="E6" t="s">
        <v>93</v>
      </c>
      <c r="F6" s="39">
        <f>VLOOKUP($B6, 'Performance data'!$B:$K, 7, 0)</f>
        <v>2024</v>
      </c>
      <c r="G6" s="40"/>
      <c r="H6" s="39" t="str">
        <f>VLOOKUP($B6, 'Performance data'!$B:$K, 5, 0)</f>
        <v>NKD24</v>
      </c>
      <c r="I6" s="39" t="s">
        <v>41</v>
      </c>
      <c r="J6" s="4">
        <f t="shared" si="1"/>
        <v>26549.660000000003</v>
      </c>
      <c r="K6" s="40">
        <v>30000</v>
      </c>
      <c r="M6" s="40" t="s">
        <v>74</v>
      </c>
      <c r="O6" s="2">
        <f>SUMIF('Performance data'!$B:$B, $B6,'Performance data'!K:K)</f>
        <v>24095.02</v>
      </c>
      <c r="P6" s="2">
        <f>SUMIF('Performance data'!$B:$B, $B6,'Performance data'!L:L)</f>
        <v>26549.660000000003</v>
      </c>
      <c r="Q6" s="2">
        <f>SUMIF('Performance data'!$B:$B, $B6,'Performance data'!M:M)</f>
        <v>25000</v>
      </c>
      <c r="S6" s="41">
        <f t="shared" si="2"/>
        <v>0.10187333316179048</v>
      </c>
      <c r="T6" s="41">
        <f t="shared" si="3"/>
        <v>6.1986400000000108E-2</v>
      </c>
      <c r="V6" s="2">
        <f>SUMIF('Performance data'!$B:$B, $B6,'Performance data'!Z:Z)</f>
        <v>0</v>
      </c>
      <c r="W6" s="2">
        <f>SUMIF('Performance data'!$B:$B, $B6,'Performance data'!AA:AA)</f>
        <v>0</v>
      </c>
      <c r="X6" s="2">
        <f>SUMIF('Performance data'!$B:$B, $B6,'Performance data'!AB:AB)</f>
        <v>24095.02</v>
      </c>
      <c r="Y6" s="2">
        <f>SUMIF('Performance data'!$B:$B, $B6,'Performance data'!AD:AD)</f>
        <v>25000</v>
      </c>
      <c r="Z6" s="2">
        <f t="shared" si="4"/>
        <v>26549.660000000003</v>
      </c>
      <c r="AA6" s="2">
        <f t="shared" si="4"/>
        <v>30000</v>
      </c>
      <c r="AC6" s="41">
        <f t="shared" si="5"/>
        <v>0.10187333316179048</v>
      </c>
      <c r="AD6" s="41">
        <f t="shared" si="6"/>
        <v>6.1986400000000108E-2</v>
      </c>
      <c r="AE6" s="41">
        <f t="shared" si="6"/>
        <v>0.12995797309645374</v>
      </c>
      <c r="AG6" s="34">
        <f t="shared" si="7"/>
        <v>2400</v>
      </c>
      <c r="AH6" s="34">
        <f t="shared" si="0"/>
        <v>2400</v>
      </c>
      <c r="AI6" s="34">
        <f t="shared" si="0"/>
        <v>2700</v>
      </c>
      <c r="AJ6" s="34">
        <f t="shared" si="0"/>
        <v>2700</v>
      </c>
      <c r="AK6" s="34">
        <f t="shared" si="0"/>
        <v>2700</v>
      </c>
      <c r="AL6" s="34">
        <f t="shared" si="0"/>
        <v>2400</v>
      </c>
      <c r="AM6" s="34">
        <f t="shared" si="0"/>
        <v>2400</v>
      </c>
      <c r="AN6" s="34">
        <f t="shared" si="0"/>
        <v>1800</v>
      </c>
      <c r="AO6" s="34">
        <f t="shared" si="0"/>
        <v>2700</v>
      </c>
      <c r="AP6" s="34">
        <f t="shared" si="0"/>
        <v>3000</v>
      </c>
      <c r="AQ6" s="34">
        <f t="shared" si="0"/>
        <v>2700</v>
      </c>
      <c r="AR6" s="34">
        <f t="shared" si="0"/>
        <v>2100</v>
      </c>
    </row>
    <row r="7" spans="2:44">
      <c r="B7">
        <v>25056</v>
      </c>
      <c r="C7" t="s">
        <v>94</v>
      </c>
      <c r="D7" t="str">
        <f>VLOOKUP($B7, 'Performance data'!$B:$K, 3, 0)</f>
        <v>Central</v>
      </c>
      <c r="E7" t="s">
        <v>93</v>
      </c>
      <c r="F7" s="39">
        <f>VLOOKUP($B7, 'Performance data'!$B:$K, 7, 0)</f>
        <v>2024</v>
      </c>
      <c r="G7" s="40"/>
      <c r="H7" s="39" t="str">
        <f>VLOOKUP($B7, 'Performance data'!$B:$K, 5, 0)</f>
        <v>NKD24</v>
      </c>
      <c r="I7" s="39" t="s">
        <v>37</v>
      </c>
      <c r="J7" s="4">
        <f t="shared" si="1"/>
        <v>35149.620000000003</v>
      </c>
      <c r="K7" s="40">
        <v>50000</v>
      </c>
      <c r="M7" s="40" t="s">
        <v>74</v>
      </c>
      <c r="O7" s="2">
        <f>SUMIF('Performance data'!$B:$B, $B7,'Performance data'!K:K)</f>
        <v>34205.64</v>
      </c>
      <c r="P7" s="2">
        <f>SUMIF('Performance data'!$B:$B, $B7,'Performance data'!L:L)</f>
        <v>35149.620000000003</v>
      </c>
      <c r="Q7" s="2">
        <f>SUMIF('Performance data'!$B:$B, $B7,'Performance data'!M:M)</f>
        <v>50000</v>
      </c>
      <c r="S7" s="41">
        <f t="shared" si="2"/>
        <v>2.7597203268233006E-2</v>
      </c>
      <c r="T7" s="41">
        <f t="shared" si="3"/>
        <v>-0.29700759999999993</v>
      </c>
      <c r="V7" s="2">
        <f>SUMIF('Performance data'!$B:$B, $B7,'Performance data'!Z:Z)</f>
        <v>0</v>
      </c>
      <c r="W7" s="2">
        <f>SUMIF('Performance data'!$B:$B, $B7,'Performance data'!AA:AA)</f>
        <v>0</v>
      </c>
      <c r="X7" s="2">
        <f>SUMIF('Performance data'!$B:$B, $B7,'Performance data'!AB:AB)</f>
        <v>34205.64</v>
      </c>
      <c r="Y7" s="2">
        <f>SUMIF('Performance data'!$B:$B, $B7,'Performance data'!AD:AD)</f>
        <v>50000</v>
      </c>
      <c r="Z7" s="2">
        <f t="shared" si="4"/>
        <v>35149.620000000003</v>
      </c>
      <c r="AA7" s="2">
        <f t="shared" si="4"/>
        <v>50000</v>
      </c>
      <c r="AC7" s="41">
        <f t="shared" si="5"/>
        <v>2.7597203268233006E-2</v>
      </c>
      <c r="AD7" s="41">
        <f t="shared" si="6"/>
        <v>-0.29700759999999993</v>
      </c>
      <c r="AE7" s="41">
        <f t="shared" si="6"/>
        <v>0.42249048496114594</v>
      </c>
      <c r="AG7" s="34">
        <f t="shared" si="7"/>
        <v>4000</v>
      </c>
      <c r="AH7" s="34">
        <f t="shared" si="0"/>
        <v>4000</v>
      </c>
      <c r="AI7" s="34">
        <f t="shared" si="0"/>
        <v>4500</v>
      </c>
      <c r="AJ7" s="34">
        <f t="shared" si="0"/>
        <v>4500</v>
      </c>
      <c r="AK7" s="34">
        <f t="shared" si="0"/>
        <v>4500</v>
      </c>
      <c r="AL7" s="34">
        <f t="shared" si="0"/>
        <v>4000</v>
      </c>
      <c r="AM7" s="34">
        <f t="shared" si="0"/>
        <v>4000</v>
      </c>
      <c r="AN7" s="34">
        <f t="shared" si="0"/>
        <v>3000</v>
      </c>
      <c r="AO7" s="34">
        <f t="shared" si="0"/>
        <v>4500</v>
      </c>
      <c r="AP7" s="34">
        <f t="shared" si="0"/>
        <v>5000</v>
      </c>
      <c r="AQ7" s="34">
        <f t="shared" si="0"/>
        <v>4500</v>
      </c>
      <c r="AR7" s="34">
        <f t="shared" si="0"/>
        <v>3500.0000000000005</v>
      </c>
    </row>
    <row r="8" spans="2:44">
      <c r="B8" s="24" t="s">
        <v>79</v>
      </c>
      <c r="C8" s="24"/>
      <c r="D8" s="24"/>
      <c r="E8" s="24"/>
      <c r="F8" s="42"/>
      <c r="G8" s="25">
        <f>COUNTIF(G3:G7, "Yes")</f>
        <v>0</v>
      </c>
      <c r="H8" s="42"/>
      <c r="I8" s="42"/>
      <c r="J8" s="44">
        <f>SUM(J3:J7)</f>
        <v>97812.97</v>
      </c>
      <c r="K8" s="25">
        <f>SUM(K3:K7)</f>
        <v>120000</v>
      </c>
      <c r="L8" s="24"/>
      <c r="M8" s="24"/>
      <c r="N8" s="24"/>
      <c r="O8" s="25">
        <f>SUM(O3:O7)</f>
        <v>116237.17</v>
      </c>
      <c r="P8" s="25">
        <f>SUM(P3:P7)</f>
        <v>97812.97</v>
      </c>
      <c r="Q8" s="25">
        <f>SUM(Q3:Q7)</f>
        <v>132000</v>
      </c>
      <c r="R8" s="24"/>
      <c r="S8" s="43">
        <f>$P8/O8-1</f>
        <v>-0.15850523545953499</v>
      </c>
      <c r="T8" s="43">
        <f>P8/Q8-1</f>
        <v>-0.2589926515151515</v>
      </c>
      <c r="U8" s="24"/>
      <c r="V8" s="25">
        <f t="shared" ref="V8:AA8" si="8">SUM(V3:V7)</f>
        <v>0</v>
      </c>
      <c r="W8" s="25">
        <f t="shared" si="8"/>
        <v>0</v>
      </c>
      <c r="X8" s="25">
        <f t="shared" si="8"/>
        <v>116237.17</v>
      </c>
      <c r="Y8" s="25">
        <f t="shared" si="8"/>
        <v>132000</v>
      </c>
      <c r="Z8" s="25">
        <f t="shared" si="8"/>
        <v>97812.97</v>
      </c>
      <c r="AA8" s="25">
        <f t="shared" si="8"/>
        <v>120000</v>
      </c>
      <c r="AB8" s="24"/>
      <c r="AC8" s="43">
        <f>Z8/X8-1</f>
        <v>-0.15850523545953499</v>
      </c>
      <c r="AD8" s="43">
        <f>Z8/Y8-1</f>
        <v>-0.2589926515151515</v>
      </c>
      <c r="AE8" s="43">
        <f>AA8/Z8-1</f>
        <v>0.22683116564193884</v>
      </c>
      <c r="AG8" s="25">
        <f t="shared" ref="AG8:AR8" si="9">SUM(AG3:AG7)</f>
        <v>9600</v>
      </c>
      <c r="AH8" s="25">
        <f t="shared" si="9"/>
        <v>9600</v>
      </c>
      <c r="AI8" s="25">
        <f t="shared" si="9"/>
        <v>10800</v>
      </c>
      <c r="AJ8" s="25">
        <f t="shared" si="9"/>
        <v>10800</v>
      </c>
      <c r="AK8" s="25">
        <f t="shared" si="9"/>
        <v>10800</v>
      </c>
      <c r="AL8" s="25">
        <f t="shared" si="9"/>
        <v>9600</v>
      </c>
      <c r="AM8" s="25">
        <f t="shared" si="9"/>
        <v>9600</v>
      </c>
      <c r="AN8" s="25">
        <f t="shared" si="9"/>
        <v>7200</v>
      </c>
      <c r="AO8" s="25">
        <f t="shared" si="9"/>
        <v>10800</v>
      </c>
      <c r="AP8" s="25">
        <f t="shared" si="9"/>
        <v>12000</v>
      </c>
      <c r="AQ8" s="25">
        <f t="shared" si="9"/>
        <v>10800</v>
      </c>
      <c r="AR8" s="25">
        <f t="shared" si="9"/>
        <v>8400</v>
      </c>
    </row>
    <row r="9" spans="2:44">
      <c r="F9" s="39"/>
      <c r="H9" s="39"/>
      <c r="I9" s="39"/>
      <c r="O9" s="2"/>
      <c r="P9" s="2"/>
      <c r="Q9" s="2"/>
      <c r="S9" s="41"/>
      <c r="T9" s="41"/>
      <c r="V9" s="2"/>
      <c r="W9" s="2"/>
      <c r="X9" s="2"/>
      <c r="Y9" s="2"/>
      <c r="Z9" s="2"/>
      <c r="AA9" s="2"/>
      <c r="AC9" s="41"/>
      <c r="AD9" s="41"/>
      <c r="AE9" s="41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</row>
    <row r="10" spans="2:44"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</row>
    <row r="11" spans="2:44"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</row>
    <row r="12" spans="2:44">
      <c r="B12">
        <v>25068</v>
      </c>
      <c r="C12" t="s">
        <v>95</v>
      </c>
      <c r="D12" t="str">
        <f>VLOOKUP($B12, 'Performance data'!$B:$K, 3, 0)</f>
        <v>Central</v>
      </c>
      <c r="E12" t="str">
        <f>VLOOKUP($B12, 'Performance data'!$B:$K, 4, 0)</f>
        <v>Emily</v>
      </c>
      <c r="F12" s="39">
        <f>VLOOKUP($B12, 'Performance data'!$B:$K, 7, 0)</f>
        <v>2025</v>
      </c>
      <c r="G12" s="40"/>
      <c r="H12" s="39" t="str">
        <f>VLOOKUP($B12, 'Performance data'!$B:$K, 5, 0)</f>
        <v>NKD25</v>
      </c>
      <c r="I12" s="39" t="s">
        <v>45</v>
      </c>
      <c r="J12" s="4">
        <f t="shared" ref="J12:J16" si="10">P12</f>
        <v>9538</v>
      </c>
      <c r="K12" s="40">
        <v>12000</v>
      </c>
      <c r="M12" s="40" t="s">
        <v>74</v>
      </c>
      <c r="O12" s="2">
        <f>SUMIF('Performance data'!$B:$B, $B12,'Performance data'!K:K)</f>
        <v>0</v>
      </c>
      <c r="P12" s="2">
        <f>SUMIF('Performance data'!$B:$B, $B12,'Performance data'!L:L)</f>
        <v>9538</v>
      </c>
      <c r="Q12" s="2">
        <f>SUMIF('Performance data'!$B:$B, $B12,'Performance data'!M:M)</f>
        <v>0</v>
      </c>
      <c r="S12" s="41" t="e">
        <f t="shared" ref="S12:S13" si="11">$P12/O12-1</f>
        <v>#DIV/0!</v>
      </c>
      <c r="T12" s="41" t="e">
        <f t="shared" ref="T12:T13" si="12">P12/Q12-1</f>
        <v>#DIV/0!</v>
      </c>
      <c r="V12" s="2">
        <f>SUMIF('Performance data'!$B:$B, $B12,'Performance data'!Z:Z)</f>
        <v>0</v>
      </c>
      <c r="W12" s="2">
        <f>SUMIF('Performance data'!$B:$B, $B12,'Performance data'!AA:AA)</f>
        <v>0</v>
      </c>
      <c r="X12" s="2">
        <f>SUMIF('Performance data'!$B:$B, $B12,'Performance data'!AB:AB)</f>
        <v>0</v>
      </c>
      <c r="Y12" s="2">
        <f>SUMIF('Performance data'!$B:$B, $B12,'Performance data'!AD:AD)</f>
        <v>0</v>
      </c>
      <c r="Z12" s="2">
        <f t="shared" ref="Z12:Z13" si="13">J12</f>
        <v>9538</v>
      </c>
      <c r="AA12" s="2">
        <f t="shared" ref="AA12:AA13" si="14">K12</f>
        <v>12000</v>
      </c>
      <c r="AC12" s="41" t="e">
        <f t="shared" ref="AC12:AC13" si="15">Z12/X12-1</f>
        <v>#DIV/0!</v>
      </c>
      <c r="AD12" s="41" t="e">
        <f t="shared" ref="AD12:AD13" si="16">Z12/Y12-1</f>
        <v>#DIV/0!</v>
      </c>
      <c r="AE12" s="41">
        <f t="shared" ref="AE12:AE13" si="17">AA12/Z12-1</f>
        <v>0.25812539316418537</v>
      </c>
      <c r="AG12" s="34">
        <f t="shared" si="7"/>
        <v>960</v>
      </c>
      <c r="AH12" s="34">
        <f t="shared" si="0"/>
        <v>960</v>
      </c>
      <c r="AI12" s="34">
        <f t="shared" si="0"/>
        <v>1080</v>
      </c>
      <c r="AJ12" s="34">
        <f t="shared" si="0"/>
        <v>1080</v>
      </c>
      <c r="AK12" s="34">
        <f t="shared" si="0"/>
        <v>1080</v>
      </c>
      <c r="AL12" s="34">
        <f t="shared" si="0"/>
        <v>960</v>
      </c>
      <c r="AM12" s="34">
        <f t="shared" si="0"/>
        <v>960</v>
      </c>
      <c r="AN12" s="34">
        <f t="shared" si="0"/>
        <v>720</v>
      </c>
      <c r="AO12" s="34">
        <f t="shared" si="0"/>
        <v>1080</v>
      </c>
      <c r="AP12" s="34">
        <f t="shared" si="0"/>
        <v>1200</v>
      </c>
      <c r="AQ12" s="34">
        <f t="shared" si="0"/>
        <v>1080</v>
      </c>
      <c r="AR12" s="34">
        <f t="shared" si="0"/>
        <v>840.00000000000011</v>
      </c>
    </row>
    <row r="13" spans="2:44">
      <c r="B13">
        <v>25071</v>
      </c>
      <c r="C13" t="s">
        <v>96</v>
      </c>
      <c r="D13" t="str">
        <f>VLOOKUP($B13, 'Performance data'!$B:$K, 3, 0)</f>
        <v>Central</v>
      </c>
      <c r="E13" t="str">
        <f>VLOOKUP($B13, 'Performance data'!$B:$K, 4, 0)</f>
        <v>Emily</v>
      </c>
      <c r="F13" s="39">
        <f>VLOOKUP($B13, 'Performance data'!$B:$K, 7, 0)</f>
        <v>2025</v>
      </c>
      <c r="G13" s="40"/>
      <c r="H13" s="39" t="str">
        <f>VLOOKUP($B13, 'Performance data'!$B:$K, 5, 0)</f>
        <v>NKD25</v>
      </c>
      <c r="I13" s="39" t="s">
        <v>45</v>
      </c>
      <c r="J13" s="4">
        <f t="shared" si="10"/>
        <v>5488.99</v>
      </c>
      <c r="K13" s="40">
        <v>10000</v>
      </c>
      <c r="M13" s="40" t="s">
        <v>74</v>
      </c>
      <c r="O13" s="2">
        <f>SUMIF('Performance data'!$B:$B, $B13,'Performance data'!K:K)</f>
        <v>0</v>
      </c>
      <c r="P13" s="2">
        <f>SUMIF('Performance data'!$B:$B, $B13,'Performance data'!L:L)</f>
        <v>5488.99</v>
      </c>
      <c r="Q13" s="2">
        <f>SUMIF('Performance data'!$B:$B, $B13,'Performance data'!M:M)</f>
        <v>0</v>
      </c>
      <c r="S13" s="41" t="e">
        <f t="shared" si="11"/>
        <v>#DIV/0!</v>
      </c>
      <c r="T13" s="41" t="e">
        <f t="shared" si="12"/>
        <v>#DIV/0!</v>
      </c>
      <c r="V13" s="2">
        <f>SUMIF('Performance data'!$B:$B, $B13,'Performance data'!Z:Z)</f>
        <v>0</v>
      </c>
      <c r="W13" s="2">
        <f>SUMIF('Performance data'!$B:$B, $B13,'Performance data'!AA:AA)</f>
        <v>0</v>
      </c>
      <c r="X13" s="2">
        <f>SUMIF('Performance data'!$B:$B, $B13,'Performance data'!AB:AB)</f>
        <v>0</v>
      </c>
      <c r="Y13" s="2">
        <f>SUMIF('Performance data'!$B:$B, $B13,'Performance data'!AD:AD)</f>
        <v>0</v>
      </c>
      <c r="Z13" s="2">
        <f t="shared" si="13"/>
        <v>5488.99</v>
      </c>
      <c r="AA13" s="2">
        <f t="shared" si="14"/>
        <v>10000</v>
      </c>
      <c r="AC13" s="41" t="e">
        <f t="shared" si="15"/>
        <v>#DIV/0!</v>
      </c>
      <c r="AD13" s="41" t="e">
        <f t="shared" si="16"/>
        <v>#DIV/0!</v>
      </c>
      <c r="AE13" s="41">
        <f t="shared" si="17"/>
        <v>0.82182878817414506</v>
      </c>
      <c r="AG13" s="34">
        <f t="shared" si="7"/>
        <v>800</v>
      </c>
      <c r="AH13" s="34">
        <f t="shared" si="0"/>
        <v>800</v>
      </c>
      <c r="AI13" s="34">
        <f t="shared" si="0"/>
        <v>900</v>
      </c>
      <c r="AJ13" s="34">
        <f t="shared" si="0"/>
        <v>900</v>
      </c>
      <c r="AK13" s="34">
        <f t="shared" si="0"/>
        <v>900</v>
      </c>
      <c r="AL13" s="34">
        <f t="shared" si="0"/>
        <v>800</v>
      </c>
      <c r="AM13" s="34">
        <f t="shared" si="0"/>
        <v>800</v>
      </c>
      <c r="AN13" s="34">
        <f t="shared" si="0"/>
        <v>600</v>
      </c>
      <c r="AO13" s="34">
        <f t="shared" si="0"/>
        <v>900</v>
      </c>
      <c r="AP13" s="34">
        <f t="shared" si="0"/>
        <v>1000</v>
      </c>
      <c r="AQ13" s="34">
        <f t="shared" si="0"/>
        <v>900</v>
      </c>
      <c r="AR13" s="34">
        <f t="shared" si="0"/>
        <v>700.00000000000011</v>
      </c>
    </row>
    <row r="14" spans="2:44">
      <c r="B14">
        <v>25073</v>
      </c>
      <c r="C14" t="s">
        <v>97</v>
      </c>
      <c r="D14" t="str">
        <f>VLOOKUP($B14, 'Performance data'!$B:$K, 3, 0)</f>
        <v>Central</v>
      </c>
      <c r="E14" t="str">
        <f>VLOOKUP($B14, 'Performance data'!$B:$K, 4, 0)</f>
        <v>Emily</v>
      </c>
      <c r="F14" s="39">
        <f>VLOOKUP($B14, 'Performance data'!$B:$K, 7, 0)</f>
        <v>2025</v>
      </c>
      <c r="G14" s="40"/>
      <c r="H14" s="39" t="str">
        <f>VLOOKUP($B14, 'Performance data'!$B:$K, 5, 0)</f>
        <v>NKD25</v>
      </c>
      <c r="I14" s="39" t="s">
        <v>43</v>
      </c>
      <c r="J14" s="4">
        <f t="shared" si="10"/>
        <v>8904</v>
      </c>
      <c r="K14" s="40">
        <v>20000</v>
      </c>
      <c r="M14" s="40" t="s">
        <v>74</v>
      </c>
      <c r="O14" s="2">
        <f>SUMIF('Performance data'!$B:$B, $B14,'Performance data'!K:K)</f>
        <v>0</v>
      </c>
      <c r="P14" s="2">
        <f>SUMIF('Performance data'!$B:$B, $B14,'Performance data'!L:L)</f>
        <v>8904</v>
      </c>
      <c r="Q14" s="2">
        <f>SUMIF('Performance data'!$B:$B, $B14,'Performance data'!M:M)</f>
        <v>0</v>
      </c>
      <c r="S14" s="41" t="e">
        <f t="shared" ref="S14:S16" si="18">$P14/O14-1</f>
        <v>#DIV/0!</v>
      </c>
      <c r="T14" s="41" t="e">
        <f t="shared" ref="T14:T16" si="19">P14/Q14-1</f>
        <v>#DIV/0!</v>
      </c>
      <c r="V14" s="2">
        <f>SUMIF('Performance data'!$B:$B, $B14,'Performance data'!Z:Z)</f>
        <v>0</v>
      </c>
      <c r="W14" s="2">
        <f>SUMIF('Performance data'!$B:$B, $B14,'Performance data'!AA:AA)</f>
        <v>0</v>
      </c>
      <c r="X14" s="2">
        <f>SUMIF('Performance data'!$B:$B, $B14,'Performance data'!AB:AB)</f>
        <v>0</v>
      </c>
      <c r="Y14" s="2">
        <f>SUMIF('Performance data'!$B:$B, $B14,'Performance data'!AD:AD)</f>
        <v>0</v>
      </c>
      <c r="Z14" s="2">
        <f t="shared" ref="Z14:AA16" si="20">J14</f>
        <v>8904</v>
      </c>
      <c r="AA14" s="2">
        <f t="shared" ref="AA14:AA15" si="21">K14</f>
        <v>20000</v>
      </c>
      <c r="AC14" s="41" t="e">
        <f t="shared" ref="AC14:AC16" si="22">Z14/X14-1</f>
        <v>#DIV/0!</v>
      </c>
      <c r="AD14" s="41" t="e">
        <f t="shared" ref="AD14:AE16" si="23">Z14/Y14-1</f>
        <v>#DIV/0!</v>
      </c>
      <c r="AE14" s="41">
        <f t="shared" ref="AE14:AE15" si="24">AA14/Z14-1</f>
        <v>1.2461814914645104</v>
      </c>
      <c r="AG14" s="34">
        <f t="shared" si="7"/>
        <v>1600</v>
      </c>
      <c r="AH14" s="34">
        <f t="shared" si="0"/>
        <v>1600</v>
      </c>
      <c r="AI14" s="34">
        <f t="shared" si="0"/>
        <v>1800</v>
      </c>
      <c r="AJ14" s="34">
        <f t="shared" si="0"/>
        <v>1800</v>
      </c>
      <c r="AK14" s="34">
        <f t="shared" si="0"/>
        <v>1800</v>
      </c>
      <c r="AL14" s="34">
        <f t="shared" si="0"/>
        <v>1600</v>
      </c>
      <c r="AM14" s="34">
        <f t="shared" si="0"/>
        <v>1600</v>
      </c>
      <c r="AN14" s="34">
        <f t="shared" si="0"/>
        <v>1200</v>
      </c>
      <c r="AO14" s="34">
        <f t="shared" si="0"/>
        <v>1800</v>
      </c>
      <c r="AP14" s="34">
        <f t="shared" si="0"/>
        <v>2000</v>
      </c>
      <c r="AQ14" s="34">
        <f t="shared" si="0"/>
        <v>1800</v>
      </c>
      <c r="AR14" s="34">
        <f t="shared" si="0"/>
        <v>1400.0000000000002</v>
      </c>
    </row>
    <row r="15" spans="2:44">
      <c r="B15">
        <v>25074</v>
      </c>
      <c r="C15" t="s">
        <v>98</v>
      </c>
      <c r="D15" t="str">
        <f>VLOOKUP($B15, 'Performance data'!$B:$K, 3, 0)</f>
        <v>Central</v>
      </c>
      <c r="E15" t="str">
        <f>VLOOKUP($B15, 'Performance data'!$B:$K, 4, 0)</f>
        <v>Emily</v>
      </c>
      <c r="F15" s="39">
        <f>VLOOKUP($B15, 'Performance data'!$B:$K, 7, 0)</f>
        <v>2025</v>
      </c>
      <c r="G15" s="40"/>
      <c r="H15" s="39" t="str">
        <f>VLOOKUP($B15, 'Performance data'!$B:$K, 5, 0)</f>
        <v>NKD25</v>
      </c>
      <c r="I15" s="39" t="s">
        <v>39</v>
      </c>
      <c r="J15" s="4">
        <f t="shared" si="10"/>
        <v>6178.28</v>
      </c>
      <c r="K15" s="40">
        <v>12000</v>
      </c>
      <c r="M15" s="40" t="s">
        <v>74</v>
      </c>
      <c r="O15" s="2">
        <f>SUMIF('Performance data'!$B:$B, $B15,'Performance data'!K:K)</f>
        <v>0</v>
      </c>
      <c r="P15" s="2">
        <f>SUMIF('Performance data'!$B:$B, $B15,'Performance data'!L:L)</f>
        <v>6178.28</v>
      </c>
      <c r="Q15" s="2">
        <f>SUMIF('Performance data'!$B:$B, $B15,'Performance data'!M:M)</f>
        <v>0</v>
      </c>
      <c r="S15" s="41" t="e">
        <f t="shared" si="18"/>
        <v>#DIV/0!</v>
      </c>
      <c r="T15" s="41" t="e">
        <f t="shared" si="19"/>
        <v>#DIV/0!</v>
      </c>
      <c r="V15" s="2">
        <f>SUMIF('Performance data'!$B:$B, $B15,'Performance data'!Z:Z)</f>
        <v>0</v>
      </c>
      <c r="W15" s="2">
        <f>SUMIF('Performance data'!$B:$B, $B15,'Performance data'!AA:AA)</f>
        <v>0</v>
      </c>
      <c r="X15" s="2">
        <f>SUMIF('Performance data'!$B:$B, $B15,'Performance data'!AB:AB)</f>
        <v>0</v>
      </c>
      <c r="Y15" s="2">
        <f>SUMIF('Performance data'!$B:$B, $B15,'Performance data'!AD:AD)</f>
        <v>0</v>
      </c>
      <c r="Z15" s="2">
        <f t="shared" si="20"/>
        <v>6178.28</v>
      </c>
      <c r="AA15" s="2">
        <f t="shared" si="21"/>
        <v>12000</v>
      </c>
      <c r="AC15" s="41" t="e">
        <f t="shared" si="22"/>
        <v>#DIV/0!</v>
      </c>
      <c r="AD15" s="41" t="e">
        <f t="shared" si="23"/>
        <v>#DIV/0!</v>
      </c>
      <c r="AE15" s="41">
        <f t="shared" si="24"/>
        <v>0.94228814492059287</v>
      </c>
      <c r="AG15" s="34">
        <f t="shared" si="7"/>
        <v>960</v>
      </c>
      <c r="AH15" s="34">
        <f t="shared" si="0"/>
        <v>960</v>
      </c>
      <c r="AI15" s="34">
        <f t="shared" si="0"/>
        <v>1080</v>
      </c>
      <c r="AJ15" s="34">
        <f t="shared" si="0"/>
        <v>1080</v>
      </c>
      <c r="AK15" s="34">
        <f t="shared" si="0"/>
        <v>1080</v>
      </c>
      <c r="AL15" s="34">
        <f t="shared" si="0"/>
        <v>960</v>
      </c>
      <c r="AM15" s="34">
        <f t="shared" si="0"/>
        <v>960</v>
      </c>
      <c r="AN15" s="34">
        <f t="shared" si="0"/>
        <v>720</v>
      </c>
      <c r="AO15" s="34">
        <f t="shared" si="0"/>
        <v>1080</v>
      </c>
      <c r="AP15" s="34">
        <f t="shared" si="0"/>
        <v>1200</v>
      </c>
      <c r="AQ15" s="34">
        <f t="shared" si="0"/>
        <v>1080</v>
      </c>
      <c r="AR15" s="34">
        <f t="shared" si="0"/>
        <v>840.00000000000011</v>
      </c>
    </row>
    <row r="16" spans="2:44">
      <c r="B16">
        <v>25060</v>
      </c>
      <c r="C16" s="50" t="s">
        <v>99</v>
      </c>
      <c r="D16" t="str">
        <f>VLOOKUP($B16, 'Performance data'!$B:$K, 3, 0)</f>
        <v>Southeast</v>
      </c>
      <c r="E16" t="s">
        <v>93</v>
      </c>
      <c r="F16" s="39">
        <f>VLOOKUP($B16, 'Performance data'!$B:$K, 7, 0)</f>
        <v>2025</v>
      </c>
      <c r="G16" s="40"/>
      <c r="H16" s="39" t="s">
        <v>83</v>
      </c>
      <c r="I16" s="39" t="s">
        <v>45</v>
      </c>
      <c r="J16" s="4">
        <f t="shared" si="10"/>
        <v>10814.48</v>
      </c>
      <c r="K16" s="40">
        <v>12000</v>
      </c>
      <c r="M16" s="40" t="s">
        <v>74</v>
      </c>
      <c r="O16" s="2">
        <f>SUMIF('Performance data'!$B:$B, $B16,'Performance data'!K:K)</f>
        <v>0</v>
      </c>
      <c r="P16" s="2">
        <f>SUMIF('Performance data'!$B:$B, $B16,'Performance data'!L:L)</f>
        <v>10814.48</v>
      </c>
      <c r="Q16" s="2">
        <f>SUMIF('Performance data'!$B:$B, $B16,'Performance data'!M:M)</f>
        <v>0</v>
      </c>
      <c r="S16" s="41" t="e">
        <f t="shared" si="18"/>
        <v>#DIV/0!</v>
      </c>
      <c r="T16" s="41" t="e">
        <f t="shared" si="19"/>
        <v>#DIV/0!</v>
      </c>
      <c r="V16" s="2">
        <f>SUMIF('Performance data'!$B:$B, $B16,'Performance data'!Z:Z)</f>
        <v>0</v>
      </c>
      <c r="W16" s="2">
        <f>SUMIF('Performance data'!$B:$B, $B16,'Performance data'!AA:AA)</f>
        <v>0</v>
      </c>
      <c r="X16" s="2">
        <f>SUMIF('Performance data'!$B:$B, $B16,'Performance data'!AB:AB)</f>
        <v>0</v>
      </c>
      <c r="Y16" s="2">
        <f>SUMIF('Performance data'!$B:$B, $B16,'Performance data'!AD:AD)</f>
        <v>0</v>
      </c>
      <c r="Z16" s="2">
        <f t="shared" si="20"/>
        <v>10814.48</v>
      </c>
      <c r="AA16" s="2">
        <f t="shared" si="20"/>
        <v>12000</v>
      </c>
      <c r="AC16" s="41" t="e">
        <f t="shared" si="22"/>
        <v>#DIV/0!</v>
      </c>
      <c r="AD16" s="41" t="e">
        <f t="shared" si="23"/>
        <v>#DIV/0!</v>
      </c>
      <c r="AE16" s="41">
        <f t="shared" si="23"/>
        <v>0.10962339382013742</v>
      </c>
      <c r="AG16" s="34">
        <f t="shared" si="7"/>
        <v>960</v>
      </c>
      <c r="AH16" s="34">
        <f t="shared" si="0"/>
        <v>960</v>
      </c>
      <c r="AI16" s="34">
        <f t="shared" si="0"/>
        <v>1080</v>
      </c>
      <c r="AJ16" s="34">
        <f t="shared" si="0"/>
        <v>1080</v>
      </c>
      <c r="AK16" s="34">
        <f t="shared" si="0"/>
        <v>1080</v>
      </c>
      <c r="AL16" s="34">
        <f t="shared" si="0"/>
        <v>960</v>
      </c>
      <c r="AM16" s="34">
        <f t="shared" si="0"/>
        <v>960</v>
      </c>
      <c r="AN16" s="34">
        <f t="shared" si="0"/>
        <v>720</v>
      </c>
      <c r="AO16" s="34">
        <f t="shared" si="0"/>
        <v>1080</v>
      </c>
      <c r="AP16" s="34">
        <f t="shared" si="0"/>
        <v>1200</v>
      </c>
      <c r="AQ16" s="34">
        <f t="shared" si="0"/>
        <v>1080</v>
      </c>
      <c r="AR16" s="34">
        <f t="shared" si="0"/>
        <v>840.00000000000011</v>
      </c>
    </row>
    <row r="17" spans="2:58">
      <c r="B17" t="s">
        <v>83</v>
      </c>
      <c r="C17" t="s">
        <v>84</v>
      </c>
      <c r="D17" t="s">
        <v>17</v>
      </c>
      <c r="E17" t="s">
        <v>93</v>
      </c>
      <c r="F17" s="39">
        <v>2025</v>
      </c>
      <c r="H17" t="s">
        <v>83</v>
      </c>
      <c r="O17" s="2">
        <v>0</v>
      </c>
      <c r="P17" s="2">
        <v>0</v>
      </c>
      <c r="Q17" s="2">
        <f>SUMIFS('2025 budget doc'!$AC:$AC, '2025 budget doc'!$B:$B, "NKD25", '2025 budget doc'!$E:$E, $D17)</f>
        <v>18000</v>
      </c>
      <c r="S17" s="41" t="e">
        <f>$P17/O17-1</f>
        <v>#DIV/0!</v>
      </c>
      <c r="T17" s="41">
        <f>P17/Q17-1</f>
        <v>-1</v>
      </c>
      <c r="V17" s="2">
        <v>0</v>
      </c>
      <c r="W17" s="2">
        <v>0</v>
      </c>
      <c r="X17" s="2">
        <v>0</v>
      </c>
      <c r="Y17" s="2">
        <f>SUMIFS('2025 budget doc'!$L:$L, '2025 budget doc'!$B:$B, "NKD25", '2025 budget doc'!$E:$E, $D17)</f>
        <v>100000</v>
      </c>
      <c r="Z17" s="2">
        <f>J17</f>
        <v>0</v>
      </c>
      <c r="AA17" s="2">
        <f>K17</f>
        <v>0</v>
      </c>
      <c r="AC17" s="41" t="e">
        <f>Z17/X17-1</f>
        <v>#DIV/0!</v>
      </c>
      <c r="AD17" s="41">
        <f>Z17/Y17-1</f>
        <v>-1</v>
      </c>
      <c r="AE17" s="41" t="e">
        <f>AA17/Z17-1</f>
        <v>#DIV/0!</v>
      </c>
      <c r="AG17" s="34">
        <f t="shared" si="7"/>
        <v>0</v>
      </c>
      <c r="AH17" s="34">
        <f t="shared" si="0"/>
        <v>0</v>
      </c>
      <c r="AI17" s="34">
        <f t="shared" si="0"/>
        <v>0</v>
      </c>
      <c r="AJ17" s="34">
        <f t="shared" si="0"/>
        <v>0</v>
      </c>
      <c r="AK17" s="34">
        <f t="shared" si="0"/>
        <v>0</v>
      </c>
      <c r="AL17" s="34">
        <f t="shared" si="0"/>
        <v>0</v>
      </c>
      <c r="AM17" s="34">
        <f t="shared" si="0"/>
        <v>0</v>
      </c>
      <c r="AN17" s="34">
        <f t="shared" si="0"/>
        <v>0</v>
      </c>
      <c r="AO17" s="34">
        <f t="shared" si="0"/>
        <v>0</v>
      </c>
      <c r="AP17" s="34">
        <f t="shared" si="0"/>
        <v>0</v>
      </c>
      <c r="AQ17" s="34">
        <f t="shared" si="0"/>
        <v>0</v>
      </c>
      <c r="AR17" s="34">
        <f t="shared" si="0"/>
        <v>0</v>
      </c>
    </row>
    <row r="18" spans="2:58">
      <c r="AG18" s="34">
        <f t="shared" si="7"/>
        <v>0</v>
      </c>
      <c r="AH18" s="34">
        <f t="shared" si="0"/>
        <v>0</v>
      </c>
      <c r="AI18" s="34">
        <f t="shared" si="0"/>
        <v>0</v>
      </c>
      <c r="AJ18" s="34">
        <f t="shared" si="0"/>
        <v>0</v>
      </c>
      <c r="AK18" s="34">
        <f t="shared" si="0"/>
        <v>0</v>
      </c>
      <c r="AL18" s="34">
        <f t="shared" si="0"/>
        <v>0</v>
      </c>
      <c r="AM18" s="34">
        <f t="shared" si="0"/>
        <v>0</v>
      </c>
      <c r="AN18" s="34">
        <f t="shared" si="0"/>
        <v>0</v>
      </c>
      <c r="AO18" s="34">
        <f t="shared" si="0"/>
        <v>0</v>
      </c>
      <c r="AP18" s="34">
        <f t="shared" si="0"/>
        <v>0</v>
      </c>
      <c r="AQ18" s="34">
        <f t="shared" si="0"/>
        <v>0</v>
      </c>
      <c r="AR18" s="34">
        <f t="shared" si="0"/>
        <v>0</v>
      </c>
    </row>
    <row r="19" spans="2:58">
      <c r="B19" s="24" t="s">
        <v>85</v>
      </c>
      <c r="C19" s="24"/>
      <c r="D19" s="24"/>
      <c r="E19" s="24"/>
      <c r="F19" s="42"/>
      <c r="G19" s="44">
        <f>COUNTIF(G12:G13, "Yes")+G17</f>
        <v>0</v>
      </c>
      <c r="H19" s="42"/>
      <c r="I19" s="42"/>
      <c r="J19" s="44">
        <f>SUM(J12:J17)</f>
        <v>40923.75</v>
      </c>
      <c r="K19" s="25">
        <f>SUM(K12:K17)</f>
        <v>66000</v>
      </c>
      <c r="L19" s="24"/>
      <c r="M19" s="24"/>
      <c r="N19" s="24"/>
      <c r="O19" s="25">
        <f>SUM(O12:O17)</f>
        <v>0</v>
      </c>
      <c r="P19" s="25">
        <f>SUM(P12:P17)</f>
        <v>40923.75</v>
      </c>
      <c r="Q19" s="25">
        <f>SUM(Q12:Q17)</f>
        <v>18000</v>
      </c>
      <c r="R19" s="24"/>
      <c r="S19" s="43" t="e">
        <f>$P19/O19-1</f>
        <v>#DIV/0!</v>
      </c>
      <c r="T19" s="43">
        <f>P19/Q19-1</f>
        <v>1.2735416666666666</v>
      </c>
      <c r="U19" s="24"/>
      <c r="V19" s="25">
        <f t="shared" ref="V19:AA19" si="25">SUM(V12:V17)</f>
        <v>0</v>
      </c>
      <c r="W19" s="25">
        <f t="shared" si="25"/>
        <v>0</v>
      </c>
      <c r="X19" s="25">
        <f t="shared" si="25"/>
        <v>0</v>
      </c>
      <c r="Y19" s="25">
        <f t="shared" si="25"/>
        <v>100000</v>
      </c>
      <c r="Z19" s="25">
        <f t="shared" si="25"/>
        <v>40923.75</v>
      </c>
      <c r="AA19" s="25">
        <f t="shared" si="25"/>
        <v>66000</v>
      </c>
      <c r="AB19" s="24"/>
      <c r="AC19" s="43" t="e">
        <f>Z19/X19-1</f>
        <v>#DIV/0!</v>
      </c>
      <c r="AD19" s="43">
        <f>Z19/Y19-1</f>
        <v>-0.59076250000000008</v>
      </c>
      <c r="AE19" s="43">
        <f>AA19/Z19-1</f>
        <v>0.61275542930449922</v>
      </c>
      <c r="AG19" s="25">
        <f t="shared" ref="AG19:AR19" si="26">SUM(AG12:AG17)</f>
        <v>5280</v>
      </c>
      <c r="AH19" s="25">
        <f t="shared" si="26"/>
        <v>5280</v>
      </c>
      <c r="AI19" s="25">
        <f t="shared" si="26"/>
        <v>5940</v>
      </c>
      <c r="AJ19" s="25">
        <f t="shared" si="26"/>
        <v>5940</v>
      </c>
      <c r="AK19" s="25">
        <f t="shared" si="26"/>
        <v>5940</v>
      </c>
      <c r="AL19" s="25">
        <f t="shared" si="26"/>
        <v>5280</v>
      </c>
      <c r="AM19" s="25">
        <f t="shared" si="26"/>
        <v>5280</v>
      </c>
      <c r="AN19" s="25">
        <f t="shared" si="26"/>
        <v>3960</v>
      </c>
      <c r="AO19" s="25">
        <f t="shared" si="26"/>
        <v>5940</v>
      </c>
      <c r="AP19" s="25">
        <f t="shared" si="26"/>
        <v>6600</v>
      </c>
      <c r="AQ19" s="25">
        <f t="shared" si="26"/>
        <v>5940</v>
      </c>
      <c r="AR19" s="25">
        <f t="shared" si="26"/>
        <v>4620.0000000000009</v>
      </c>
    </row>
    <row r="22" spans="2:58">
      <c r="AY22">
        <f>AV23</f>
        <v>1</v>
      </c>
      <c r="AZ22">
        <f>AW23</f>
        <v>1</v>
      </c>
      <c r="BA22">
        <f>AX23+AV23</f>
        <v>2</v>
      </c>
      <c r="BB22">
        <f>AY23+AW23</f>
        <v>1</v>
      </c>
      <c r="BC22">
        <f>AZ23+AX23+AV23</f>
        <v>3</v>
      </c>
      <c r="BD22">
        <f>BA23+AY23+AW23</f>
        <v>2</v>
      </c>
      <c r="BE22">
        <f>BB23+AZ23+AX23+AV23</f>
        <v>3</v>
      </c>
      <c r="BF22">
        <f>BC23+BA23+AY23+AW23</f>
        <v>3</v>
      </c>
    </row>
    <row r="23" spans="2:58">
      <c r="B23" t="s">
        <v>50</v>
      </c>
      <c r="C23" t="s">
        <v>86</v>
      </c>
      <c r="D23" t="s">
        <v>17</v>
      </c>
      <c r="E23" t="s">
        <v>93</v>
      </c>
      <c r="F23" s="39">
        <v>2026</v>
      </c>
      <c r="G23" s="40">
        <v>8</v>
      </c>
      <c r="H23" t="s">
        <v>50</v>
      </c>
      <c r="I23" t="s">
        <v>50</v>
      </c>
      <c r="K23" s="33">
        <v>100000</v>
      </c>
      <c r="O23" s="2">
        <v>0</v>
      </c>
      <c r="P23" s="2">
        <v>0</v>
      </c>
      <c r="Q23" s="2">
        <v>0</v>
      </c>
      <c r="S23" s="41" t="e">
        <f>$P23/O23-1</f>
        <v>#DIV/0!</v>
      </c>
      <c r="T23" s="41" t="e">
        <f>P23/Q23-1</f>
        <v>#DIV/0!</v>
      </c>
      <c r="V23" s="2">
        <v>0</v>
      </c>
      <c r="W23" s="2">
        <v>0</v>
      </c>
      <c r="X23" s="2">
        <v>0</v>
      </c>
      <c r="Y23" s="2">
        <v>0</v>
      </c>
      <c r="Z23" s="2">
        <f>J23</f>
        <v>0</v>
      </c>
      <c r="AA23" s="2">
        <f>K23</f>
        <v>100000</v>
      </c>
      <c r="AC23" s="41" t="e">
        <f>Z23/X23-1</f>
        <v>#DIV/0!</v>
      </c>
      <c r="AD23" s="41" t="e">
        <f>Z23/Y23-1</f>
        <v>#DIV/0!</v>
      </c>
      <c r="AE23" s="41" t="e">
        <f>AA23/Z23-1</f>
        <v>#DIV/0!</v>
      </c>
      <c r="AG23">
        <f>AU23*5000+AU22*4000</f>
        <v>0</v>
      </c>
      <c r="AH23">
        <f t="shared" ref="AH23:AQ23" si="27">AV23*5000+AV22*4000</f>
        <v>5000</v>
      </c>
      <c r="AI23">
        <f t="shared" si="27"/>
        <v>5000</v>
      </c>
      <c r="AJ23">
        <f t="shared" si="27"/>
        <v>5000</v>
      </c>
      <c r="AK23">
        <f t="shared" si="27"/>
        <v>4000</v>
      </c>
      <c r="AL23">
        <f t="shared" si="27"/>
        <v>9000</v>
      </c>
      <c r="AM23">
        <f>BA23*5000+BA22*4000-2000</f>
        <v>11000</v>
      </c>
      <c r="AN23">
        <f t="shared" si="27"/>
        <v>4000</v>
      </c>
      <c r="AO23">
        <f t="shared" si="27"/>
        <v>17000</v>
      </c>
      <c r="AP23">
        <f t="shared" si="27"/>
        <v>13000</v>
      </c>
      <c r="AQ23">
        <f t="shared" si="27"/>
        <v>17000</v>
      </c>
      <c r="AR23">
        <f>BF23*5000+BF22*4000-2000</f>
        <v>10000</v>
      </c>
      <c r="AV23">
        <v>1</v>
      </c>
      <c r="AW23">
        <v>1</v>
      </c>
      <c r="AX23">
        <v>1</v>
      </c>
      <c r="AZ23">
        <v>1</v>
      </c>
      <c r="BA23">
        <v>1</v>
      </c>
      <c r="BC23">
        <v>1</v>
      </c>
      <c r="BD23">
        <v>1</v>
      </c>
      <c r="BE23">
        <v>1</v>
      </c>
    </row>
    <row r="25" spans="2:58">
      <c r="B25" s="24" t="s">
        <v>87</v>
      </c>
      <c r="C25" s="24"/>
      <c r="D25" s="24"/>
      <c r="E25" s="24"/>
      <c r="F25" s="42"/>
      <c r="G25" s="44">
        <f>COUNTIF(G22:G22, "Yes")+G23</f>
        <v>8</v>
      </c>
      <c r="H25" s="42"/>
      <c r="I25" s="42"/>
      <c r="J25" s="44">
        <f t="shared" ref="J25:K25" si="28">SUM(J22:J23)</f>
        <v>0</v>
      </c>
      <c r="K25" s="25">
        <f t="shared" si="28"/>
        <v>100000</v>
      </c>
      <c r="L25" s="24"/>
      <c r="M25" s="24"/>
      <c r="N25" s="24"/>
      <c r="O25" s="25">
        <f t="shared" ref="O25:Q25" si="29">SUM(O22:O23)</f>
        <v>0</v>
      </c>
      <c r="P25" s="25">
        <f t="shared" si="29"/>
        <v>0</v>
      </c>
      <c r="Q25" s="25">
        <f t="shared" si="29"/>
        <v>0</v>
      </c>
      <c r="R25" s="24"/>
      <c r="S25" s="43" t="e">
        <f>$P25/O25-1</f>
        <v>#DIV/0!</v>
      </c>
      <c r="T25" s="43" t="e">
        <f>P25/Q25-1</f>
        <v>#DIV/0!</v>
      </c>
      <c r="U25" s="24"/>
      <c r="V25" s="25">
        <f t="shared" ref="V25:AA25" si="30">SUM(V22:V23)</f>
        <v>0</v>
      </c>
      <c r="W25" s="25">
        <f t="shared" si="30"/>
        <v>0</v>
      </c>
      <c r="X25" s="25">
        <f t="shared" si="30"/>
        <v>0</v>
      </c>
      <c r="Y25" s="25">
        <f t="shared" si="30"/>
        <v>0</v>
      </c>
      <c r="Z25" s="25">
        <f t="shared" si="30"/>
        <v>0</v>
      </c>
      <c r="AA25" s="25">
        <f t="shared" si="30"/>
        <v>100000</v>
      </c>
      <c r="AB25" s="24"/>
      <c r="AC25" s="43" t="e">
        <f>Z25/X25-1</f>
        <v>#DIV/0!</v>
      </c>
      <c r="AD25" s="43" t="e">
        <f>Z25/Y25-1</f>
        <v>#DIV/0!</v>
      </c>
      <c r="AE25" s="43" t="e">
        <f>AA25/Z25-1</f>
        <v>#DIV/0!</v>
      </c>
      <c r="AG25" s="25">
        <f t="shared" ref="AG25:AR25" si="31">SUM(AG22:AG23)</f>
        <v>0</v>
      </c>
      <c r="AH25" s="25">
        <f t="shared" si="31"/>
        <v>5000</v>
      </c>
      <c r="AI25" s="25">
        <f t="shared" si="31"/>
        <v>5000</v>
      </c>
      <c r="AJ25" s="25">
        <f t="shared" si="31"/>
        <v>5000</v>
      </c>
      <c r="AK25" s="25">
        <f t="shared" si="31"/>
        <v>4000</v>
      </c>
      <c r="AL25" s="25">
        <f t="shared" si="31"/>
        <v>9000</v>
      </c>
      <c r="AM25" s="25">
        <f t="shared" si="31"/>
        <v>11000</v>
      </c>
      <c r="AN25" s="25">
        <f t="shared" si="31"/>
        <v>4000</v>
      </c>
      <c r="AO25" s="25">
        <f t="shared" si="31"/>
        <v>17000</v>
      </c>
      <c r="AP25" s="25">
        <f t="shared" si="31"/>
        <v>13000</v>
      </c>
      <c r="AQ25" s="25">
        <f t="shared" si="31"/>
        <v>17000</v>
      </c>
      <c r="AR25" s="25">
        <f t="shared" si="31"/>
        <v>10000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DE66BE-A4A2-438E-8963-93E0DE33AA17}">
          <x14:formula1>
            <xm:f>List!$D$2:$D$4</xm:f>
          </x14:formula1>
          <xm:sqref>M3:M7 M12:M16</xm:sqref>
        </x14:dataValidation>
        <x14:dataValidation type="list" allowBlank="1" showInputMessage="1" showErrorMessage="1" xr:uid="{050A1DD2-EC48-419F-AB43-B90661D4E3C3}">
          <x14:formula1>
            <xm:f>List!$B$2:$B$3</xm:f>
          </x14:formula1>
          <xm:sqref>G3:G7 G12:G16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C656-D662-455D-AA4D-216BBDD361A5}">
  <dimension ref="B1:BF33"/>
  <sheetViews>
    <sheetView showGridLines="0" workbookViewId="0">
      <pane xSplit="3" ySplit="2" topLeftCell="D3" activePane="bottomRight" state="frozen"/>
      <selection pane="bottomRight" activeCell="K6" sqref="K6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  <c r="AG1" s="29">
        <v>0.08</v>
      </c>
      <c r="AH1" s="29">
        <v>0.08</v>
      </c>
      <c r="AI1" s="29">
        <v>0.09</v>
      </c>
      <c r="AJ1" s="29">
        <v>0.09</v>
      </c>
      <c r="AK1" s="29">
        <v>0.09</v>
      </c>
      <c r="AL1" s="29">
        <v>0.08</v>
      </c>
      <c r="AM1" s="29">
        <v>0.08</v>
      </c>
      <c r="AN1" s="29">
        <v>0.06</v>
      </c>
      <c r="AO1" s="29">
        <v>0.09</v>
      </c>
      <c r="AP1" s="29">
        <v>0.1</v>
      </c>
      <c r="AQ1" s="29">
        <v>0.09</v>
      </c>
      <c r="AR1" s="29">
        <v>7.0000000000000007E-2</v>
      </c>
    </row>
    <row r="2" spans="2:44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62</v>
      </c>
      <c r="AA2" s="38" t="s">
        <v>4</v>
      </c>
      <c r="AB2" s="1"/>
      <c r="AC2" s="1" t="s">
        <v>68</v>
      </c>
      <c r="AD2" s="1" t="s">
        <v>69</v>
      </c>
      <c r="AE2" s="1" t="s">
        <v>71</v>
      </c>
      <c r="AG2" s="53">
        <v>46023</v>
      </c>
      <c r="AH2" s="53">
        <v>46054</v>
      </c>
      <c r="AI2" s="53">
        <v>46082</v>
      </c>
      <c r="AJ2" s="53">
        <v>46113</v>
      </c>
      <c r="AK2" s="53">
        <v>46143</v>
      </c>
      <c r="AL2" s="53">
        <v>46174</v>
      </c>
      <c r="AM2" s="53">
        <v>46204</v>
      </c>
      <c r="AN2" s="53">
        <v>46235</v>
      </c>
      <c r="AO2" s="53">
        <v>46266</v>
      </c>
      <c r="AP2" s="53">
        <v>46296</v>
      </c>
      <c r="AQ2" s="53">
        <v>46327</v>
      </c>
      <c r="AR2" s="53">
        <v>46357</v>
      </c>
    </row>
    <row r="3" spans="2:44">
      <c r="B3" s="51">
        <v>25012</v>
      </c>
      <c r="C3" s="51" t="s">
        <v>100</v>
      </c>
      <c r="D3" t="str">
        <f>VLOOKUP($B3, 'Performance data'!$B:$K, 3, 0)</f>
        <v>West</v>
      </c>
      <c r="E3" t="s">
        <v>101</v>
      </c>
      <c r="F3" s="39">
        <f>VLOOKUP($B3, 'Performance data'!$B:$K, 7, 0)</f>
        <v>2022</v>
      </c>
      <c r="G3" s="40"/>
      <c r="H3" s="39" t="str">
        <f>VLOOKUP($B3, 'Performance data'!$B:$K, 5, 0)</f>
        <v>A+</v>
      </c>
      <c r="I3" s="39" t="s">
        <v>31</v>
      </c>
      <c r="J3" s="4">
        <f>P3</f>
        <v>52636.330000000009</v>
      </c>
      <c r="K3" s="40"/>
      <c r="M3" s="40" t="s">
        <v>89</v>
      </c>
      <c r="O3" s="2">
        <f>SUMIF('Performance data'!$B:$B, $B3,'Performance data'!K:K)</f>
        <v>104398.38</v>
      </c>
      <c r="P3" s="2">
        <f>SUMIF('Performance data'!$B:$B, $B3,'Performance data'!L:L)</f>
        <v>52636.330000000009</v>
      </c>
      <c r="Q3" s="2">
        <f>SUMIF('Performance data'!$B:$B, $B3,'Performance data'!M:M)</f>
        <v>120000</v>
      </c>
      <c r="S3" s="41">
        <f t="shared" ref="S3:S16" si="0">$P3/O3-1</f>
        <v>-0.49581277027478776</v>
      </c>
      <c r="T3" s="41">
        <f t="shared" ref="T3:T16" si="1">P3/Q3-1</f>
        <v>-0.56136391666666663</v>
      </c>
      <c r="V3" s="2">
        <f>SUMIF('Performance data'!$B:$B, $B3,'Performance data'!Z:Z)</f>
        <v>127800.66</v>
      </c>
      <c r="W3" s="2">
        <f>SUMIF('Performance data'!$B:$B, $B3,'Performance data'!AA:AA)</f>
        <v>127251.65999999997</v>
      </c>
      <c r="X3" s="2">
        <f>SUMIF('Performance data'!$B:$B, $B3,'Performance data'!AB:AB)</f>
        <v>104398.38</v>
      </c>
      <c r="Y3" s="2">
        <f>SUMIF('Performance data'!$B:$B, $B3,'Performance data'!AD:AD)</f>
        <v>120000</v>
      </c>
      <c r="Z3" s="2">
        <f t="shared" ref="Z3:Z15" si="2">J3</f>
        <v>52636.330000000009</v>
      </c>
      <c r="AA3" s="2">
        <f t="shared" ref="AA3:AA15" si="3">K3</f>
        <v>0</v>
      </c>
      <c r="AC3" s="41">
        <f t="shared" ref="AC3:AC16" si="4">Z3/X3-1</f>
        <v>-0.49581277027478776</v>
      </c>
      <c r="AD3" s="41">
        <f t="shared" ref="AD3:AD16" si="5">Z3/Y3-1</f>
        <v>-0.56136391666666663</v>
      </c>
      <c r="AE3" s="41">
        <f t="shared" ref="AE3:AE16" si="6">AA3/Z3-1</f>
        <v>-1</v>
      </c>
      <c r="AG3" s="34">
        <f>$AA3*AG$1</f>
        <v>0</v>
      </c>
      <c r="AH3" s="34">
        <f t="shared" ref="AH3:AR15" si="7">$AA3*AH$1</f>
        <v>0</v>
      </c>
      <c r="AI3" s="34">
        <f t="shared" si="7"/>
        <v>0</v>
      </c>
      <c r="AJ3" s="34">
        <f t="shared" si="7"/>
        <v>0</v>
      </c>
      <c r="AK3" s="34">
        <f t="shared" si="7"/>
        <v>0</v>
      </c>
      <c r="AL3" s="34">
        <f t="shared" si="7"/>
        <v>0</v>
      </c>
      <c r="AM3" s="34">
        <f t="shared" si="7"/>
        <v>0</v>
      </c>
      <c r="AN3" s="34">
        <f t="shared" si="7"/>
        <v>0</v>
      </c>
      <c r="AO3" s="34">
        <f t="shared" si="7"/>
        <v>0</v>
      </c>
      <c r="AP3" s="34">
        <f t="shared" si="7"/>
        <v>0</v>
      </c>
      <c r="AQ3" s="34">
        <f t="shared" si="7"/>
        <v>0</v>
      </c>
      <c r="AR3" s="34">
        <f t="shared" si="7"/>
        <v>0</v>
      </c>
    </row>
    <row r="4" spans="2:44">
      <c r="B4">
        <v>25027</v>
      </c>
      <c r="C4" t="s">
        <v>102</v>
      </c>
      <c r="D4" t="str">
        <f>VLOOKUP($B4, 'Performance data'!$B:$K, 3, 0)</f>
        <v>West</v>
      </c>
      <c r="E4" t="s">
        <v>101</v>
      </c>
      <c r="F4" s="39">
        <f>VLOOKUP($B4, 'Performance data'!$B:$K, 7, 0)</f>
        <v>2022</v>
      </c>
      <c r="G4" s="40"/>
      <c r="H4" s="39" t="str">
        <f>VLOOKUP($B4, 'Performance data'!$B:$K, 5, 0)</f>
        <v>A+</v>
      </c>
      <c r="I4" s="39" t="s">
        <v>37</v>
      </c>
      <c r="J4" s="4">
        <f t="shared" ref="J4:J15" si="8">P4</f>
        <v>113790.06999999999</v>
      </c>
      <c r="K4" s="40">
        <v>120000</v>
      </c>
      <c r="M4" s="40" t="s">
        <v>74</v>
      </c>
      <c r="O4" s="2">
        <f>SUMIF('Performance data'!$B:$B, $B4,'Performance data'!K:K)</f>
        <v>103728.38999999998</v>
      </c>
      <c r="P4" s="2">
        <f>SUMIF('Performance data'!$B:$B, $B4,'Performance data'!L:L)</f>
        <v>113790.06999999999</v>
      </c>
      <c r="Q4" s="2">
        <f>SUMIF('Performance data'!$B:$B, $B4,'Performance data'!M:M)</f>
        <v>115000</v>
      </c>
      <c r="S4" s="41">
        <f t="shared" si="0"/>
        <v>9.7000252293514055E-2</v>
      </c>
      <c r="T4" s="41">
        <f t="shared" si="1"/>
        <v>-1.0521130434782644E-2</v>
      </c>
      <c r="V4" s="2">
        <f>SUMIF('Performance data'!$B:$B, $B4,'Performance data'!Z:Z)</f>
        <v>19362.580000000002</v>
      </c>
      <c r="W4" s="2">
        <f>SUMIF('Performance data'!$B:$B, $B4,'Performance data'!AA:AA)</f>
        <v>57225.3</v>
      </c>
      <c r="X4" s="2">
        <f>SUMIF('Performance data'!$B:$B, $B4,'Performance data'!AB:AB)</f>
        <v>103728.38999999998</v>
      </c>
      <c r="Y4" s="2">
        <f>SUMIF('Performance data'!$B:$B, $B4,'Performance data'!AD:AD)</f>
        <v>115000</v>
      </c>
      <c r="Z4" s="2">
        <f t="shared" si="2"/>
        <v>113790.06999999999</v>
      </c>
      <c r="AA4" s="2">
        <f t="shared" si="3"/>
        <v>120000</v>
      </c>
      <c r="AC4" s="41">
        <f t="shared" si="4"/>
        <v>9.7000252293514055E-2</v>
      </c>
      <c r="AD4" s="41">
        <f t="shared" si="5"/>
        <v>-1.0521130434782644E-2</v>
      </c>
      <c r="AE4" s="41">
        <f t="shared" si="6"/>
        <v>5.4573566920206762E-2</v>
      </c>
      <c r="AG4" s="34">
        <f t="shared" ref="AG4:AR25" si="9">$AA4*AG$1</f>
        <v>9600</v>
      </c>
      <c r="AH4" s="34">
        <f t="shared" si="7"/>
        <v>9600</v>
      </c>
      <c r="AI4" s="34">
        <f t="shared" si="7"/>
        <v>10800</v>
      </c>
      <c r="AJ4" s="34">
        <f t="shared" si="7"/>
        <v>10800</v>
      </c>
      <c r="AK4" s="34">
        <f t="shared" si="7"/>
        <v>10800</v>
      </c>
      <c r="AL4" s="34">
        <f t="shared" si="7"/>
        <v>9600</v>
      </c>
      <c r="AM4" s="34">
        <f t="shared" si="7"/>
        <v>9600</v>
      </c>
      <c r="AN4" s="34">
        <f t="shared" si="7"/>
        <v>7200</v>
      </c>
      <c r="AO4" s="34">
        <f t="shared" si="7"/>
        <v>10800</v>
      </c>
      <c r="AP4" s="34">
        <f t="shared" si="7"/>
        <v>12000</v>
      </c>
      <c r="AQ4" s="34">
        <f t="shared" si="7"/>
        <v>10800</v>
      </c>
      <c r="AR4" s="34">
        <f t="shared" si="7"/>
        <v>8400</v>
      </c>
    </row>
    <row r="5" spans="2:44">
      <c r="B5">
        <v>25032</v>
      </c>
      <c r="C5" t="s">
        <v>103</v>
      </c>
      <c r="D5" t="str">
        <f>VLOOKUP($B5, 'Performance data'!$B:$K, 3, 0)</f>
        <v>West</v>
      </c>
      <c r="E5" t="s">
        <v>101</v>
      </c>
      <c r="F5" s="39">
        <f>VLOOKUP($B5, 'Performance data'!$B:$K, 7, 0)</f>
        <v>2023</v>
      </c>
      <c r="G5" s="40"/>
      <c r="H5" s="39" t="str">
        <f>VLOOKUP($B5, 'Performance data'!$B:$K, 5, 0)</f>
        <v>A+</v>
      </c>
      <c r="I5" s="39" t="s">
        <v>41</v>
      </c>
      <c r="J5" s="4">
        <f t="shared" si="8"/>
        <v>44420.929999999993</v>
      </c>
      <c r="K5" s="40">
        <v>50000</v>
      </c>
      <c r="M5" s="40" t="s">
        <v>74</v>
      </c>
      <c r="O5" s="2">
        <f>SUMIF('Performance data'!$B:$B, $B5,'Performance data'!K:K)</f>
        <v>50110.279999999992</v>
      </c>
      <c r="P5" s="2">
        <f>SUMIF('Performance data'!$B:$B, $B5,'Performance data'!L:L)</f>
        <v>44420.929999999993</v>
      </c>
      <c r="Q5" s="2">
        <f>SUMIF('Performance data'!$B:$B, $B5,'Performance data'!M:M)</f>
        <v>55000</v>
      </c>
      <c r="S5" s="41">
        <f t="shared" si="0"/>
        <v>-0.11353658371096709</v>
      </c>
      <c r="T5" s="41">
        <f t="shared" si="1"/>
        <v>-0.19234672727272739</v>
      </c>
      <c r="V5" s="2">
        <f>SUMIF('Performance data'!$B:$B, $B5,'Performance data'!Z:Z)</f>
        <v>0</v>
      </c>
      <c r="W5" s="2">
        <f>SUMIF('Performance data'!$B:$B, $B5,'Performance data'!AA:AA)</f>
        <v>38782.75</v>
      </c>
      <c r="X5" s="2">
        <f>SUMIF('Performance data'!$B:$B, $B5,'Performance data'!AB:AB)</f>
        <v>50110.279999999992</v>
      </c>
      <c r="Y5" s="2">
        <f>SUMIF('Performance data'!$B:$B, $B5,'Performance data'!AD:AD)</f>
        <v>55000</v>
      </c>
      <c r="Z5" s="2">
        <f t="shared" si="2"/>
        <v>44420.929999999993</v>
      </c>
      <c r="AA5" s="2">
        <f t="shared" si="3"/>
        <v>50000</v>
      </c>
      <c r="AC5" s="41">
        <f t="shared" si="4"/>
        <v>-0.11353658371096709</v>
      </c>
      <c r="AD5" s="41">
        <f t="shared" si="5"/>
        <v>-0.19234672727272739</v>
      </c>
      <c r="AE5" s="41">
        <f t="shared" si="6"/>
        <v>0.12559552445209965</v>
      </c>
      <c r="AG5" s="34">
        <f t="shared" si="9"/>
        <v>4000</v>
      </c>
      <c r="AH5" s="34">
        <f t="shared" si="7"/>
        <v>4000</v>
      </c>
      <c r="AI5" s="34">
        <f t="shared" si="7"/>
        <v>4500</v>
      </c>
      <c r="AJ5" s="34">
        <f t="shared" si="7"/>
        <v>4500</v>
      </c>
      <c r="AK5" s="34">
        <f t="shared" si="7"/>
        <v>4500</v>
      </c>
      <c r="AL5" s="34">
        <f t="shared" si="7"/>
        <v>4000</v>
      </c>
      <c r="AM5" s="34">
        <f t="shared" si="7"/>
        <v>4000</v>
      </c>
      <c r="AN5" s="34">
        <f t="shared" si="7"/>
        <v>3000</v>
      </c>
      <c r="AO5" s="34">
        <f t="shared" si="7"/>
        <v>4500</v>
      </c>
      <c r="AP5" s="34">
        <f t="shared" si="7"/>
        <v>5000</v>
      </c>
      <c r="AQ5" s="34">
        <f t="shared" si="7"/>
        <v>4500</v>
      </c>
      <c r="AR5" s="34">
        <f t="shared" si="7"/>
        <v>3500.0000000000005</v>
      </c>
    </row>
    <row r="6" spans="2:44">
      <c r="B6" s="50">
        <v>25038</v>
      </c>
      <c r="C6" s="50" t="s">
        <v>104</v>
      </c>
      <c r="D6" t="str">
        <f>VLOOKUP($B6, 'Performance data'!$B:$K, 3, 0)</f>
        <v>West</v>
      </c>
      <c r="E6" t="s">
        <v>101</v>
      </c>
      <c r="F6" s="39">
        <f>VLOOKUP($B6, 'Performance data'!$B:$K, 7, 0)</f>
        <v>2023</v>
      </c>
      <c r="G6" s="40"/>
      <c r="H6" s="39" t="str">
        <f>VLOOKUP($B6, 'Performance data'!$B:$K, 5, 0)</f>
        <v>A</v>
      </c>
      <c r="I6" s="39" t="s">
        <v>45</v>
      </c>
      <c r="J6" s="4">
        <f t="shared" si="8"/>
        <v>13457.210000000001</v>
      </c>
      <c r="K6" s="40">
        <v>13000</v>
      </c>
      <c r="M6" s="40" t="s">
        <v>76</v>
      </c>
      <c r="O6" s="2">
        <f>SUMIF('Performance data'!$B:$B, $B6,'Performance data'!K:K)</f>
        <v>28530.959999999999</v>
      </c>
      <c r="P6" s="2">
        <f>SUMIF('Performance data'!$B:$B, $B6,'Performance data'!L:L)</f>
        <v>13457.210000000001</v>
      </c>
      <c r="Q6" s="2">
        <f>SUMIF('Performance data'!$B:$B, $B6,'Performance data'!M:M)</f>
        <v>26000</v>
      </c>
      <c r="S6" s="41">
        <f t="shared" si="0"/>
        <v>-0.52832957601146258</v>
      </c>
      <c r="T6" s="41">
        <f t="shared" si="1"/>
        <v>-0.48241499999999993</v>
      </c>
      <c r="V6" s="2">
        <f>SUMIF('Performance data'!$B:$B, $B6,'Performance data'!Z:Z)</f>
        <v>0</v>
      </c>
      <c r="W6" s="2">
        <f>SUMIF('Performance data'!$B:$B, $B6,'Performance data'!AA:AA)</f>
        <v>5204.37</v>
      </c>
      <c r="X6" s="2">
        <f>SUMIF('Performance data'!$B:$B, $B6,'Performance data'!AB:AB)</f>
        <v>28530.959999999999</v>
      </c>
      <c r="Y6" s="2">
        <f>SUMIF('Performance data'!$B:$B, $B6,'Performance data'!AD:AD)</f>
        <v>26000</v>
      </c>
      <c r="Z6" s="2">
        <f t="shared" si="2"/>
        <v>13457.210000000001</v>
      </c>
      <c r="AA6" s="2">
        <f t="shared" si="3"/>
        <v>13000</v>
      </c>
      <c r="AC6" s="41">
        <f t="shared" si="4"/>
        <v>-0.52832957601146258</v>
      </c>
      <c r="AD6" s="41">
        <f t="shared" si="5"/>
        <v>-0.48241499999999993</v>
      </c>
      <c r="AE6" s="41">
        <f t="shared" si="6"/>
        <v>-3.3975095877971762E-2</v>
      </c>
      <c r="AG6" s="34">
        <f t="shared" si="9"/>
        <v>1040</v>
      </c>
      <c r="AH6" s="34">
        <f t="shared" si="7"/>
        <v>1040</v>
      </c>
      <c r="AI6" s="34">
        <f t="shared" si="7"/>
        <v>1170</v>
      </c>
      <c r="AJ6" s="34">
        <f t="shared" si="7"/>
        <v>1170</v>
      </c>
      <c r="AK6" s="34">
        <f t="shared" si="7"/>
        <v>1170</v>
      </c>
      <c r="AL6" s="34">
        <f t="shared" si="7"/>
        <v>1040</v>
      </c>
      <c r="AM6" s="34">
        <f t="shared" si="7"/>
        <v>1040</v>
      </c>
      <c r="AN6" s="34">
        <f t="shared" si="7"/>
        <v>780</v>
      </c>
      <c r="AO6" s="34">
        <f t="shared" si="7"/>
        <v>1170</v>
      </c>
      <c r="AP6" s="34">
        <f t="shared" si="7"/>
        <v>1300</v>
      </c>
      <c r="AQ6" s="34">
        <f t="shared" si="7"/>
        <v>1170</v>
      </c>
      <c r="AR6" s="34">
        <f t="shared" si="7"/>
        <v>910.00000000000011</v>
      </c>
    </row>
    <row r="7" spans="2:44">
      <c r="B7">
        <v>25004</v>
      </c>
      <c r="C7" t="s">
        <v>105</v>
      </c>
      <c r="D7" t="str">
        <f>VLOOKUP($B7, 'Performance data'!$B:$K, 3, 0)</f>
        <v>West</v>
      </c>
      <c r="E7" t="s">
        <v>101</v>
      </c>
      <c r="F7" s="39">
        <f>VLOOKUP($B7, 'Performance data'!$B:$K, 7, 0)</f>
        <v>2021</v>
      </c>
      <c r="G7" s="40"/>
      <c r="H7" s="39" t="str">
        <f>VLOOKUP($B7, 'Performance data'!$B:$K, 5, 0)</f>
        <v>B</v>
      </c>
      <c r="I7" s="39" t="s">
        <v>47</v>
      </c>
      <c r="J7" s="4">
        <f t="shared" si="8"/>
        <v>6008.52</v>
      </c>
      <c r="K7" s="40">
        <v>6000</v>
      </c>
      <c r="M7" s="40" t="s">
        <v>76</v>
      </c>
      <c r="O7" s="2">
        <f>SUMIF('Performance data'!$B:$B, $B7,'Performance data'!K:K)</f>
        <v>10917.56</v>
      </c>
      <c r="P7" s="2">
        <f>SUMIF('Performance data'!$B:$B, $B7,'Performance data'!L:L)</f>
        <v>6008.52</v>
      </c>
      <c r="Q7" s="2">
        <f>SUMIF('Performance data'!$B:$B, $B7,'Performance data'!M:M)</f>
        <v>12000</v>
      </c>
      <c r="S7" s="41">
        <f t="shared" si="0"/>
        <v>-0.44964625795507418</v>
      </c>
      <c r="T7" s="41">
        <f t="shared" si="1"/>
        <v>-0.49929000000000001</v>
      </c>
      <c r="V7" s="2">
        <f>SUMIF('Performance data'!$B:$B, $B7,'Performance data'!Z:Z)</f>
        <v>5634</v>
      </c>
      <c r="W7" s="2">
        <f>SUMIF('Performance data'!$B:$B, $B7,'Performance data'!AA:AA)</f>
        <v>7158.0599999999995</v>
      </c>
      <c r="X7" s="2">
        <f>SUMIF('Performance data'!$B:$B, $B7,'Performance data'!AB:AB)</f>
        <v>10917.56</v>
      </c>
      <c r="Y7" s="2">
        <f>SUMIF('Performance data'!$B:$B, $B7,'Performance data'!AD:AD)</f>
        <v>12000</v>
      </c>
      <c r="Z7" s="2">
        <f t="shared" si="2"/>
        <v>6008.52</v>
      </c>
      <c r="AA7" s="2">
        <f t="shared" si="3"/>
        <v>6000</v>
      </c>
      <c r="AC7" s="41">
        <f t="shared" si="4"/>
        <v>-0.44964625795507418</v>
      </c>
      <c r="AD7" s="41">
        <f t="shared" si="5"/>
        <v>-0.49929000000000001</v>
      </c>
      <c r="AE7" s="41">
        <f t="shared" si="6"/>
        <v>-1.4179864592279712E-3</v>
      </c>
      <c r="AG7" s="34">
        <f t="shared" si="9"/>
        <v>480</v>
      </c>
      <c r="AH7" s="34">
        <f t="shared" si="7"/>
        <v>480</v>
      </c>
      <c r="AI7" s="34">
        <f t="shared" si="7"/>
        <v>540</v>
      </c>
      <c r="AJ7" s="34">
        <f t="shared" si="7"/>
        <v>540</v>
      </c>
      <c r="AK7" s="34">
        <f t="shared" si="7"/>
        <v>540</v>
      </c>
      <c r="AL7" s="34">
        <f t="shared" si="7"/>
        <v>480</v>
      </c>
      <c r="AM7" s="34">
        <f t="shared" si="7"/>
        <v>480</v>
      </c>
      <c r="AN7" s="34">
        <f t="shared" si="7"/>
        <v>360</v>
      </c>
      <c r="AO7" s="34">
        <f t="shared" si="7"/>
        <v>540</v>
      </c>
      <c r="AP7" s="34">
        <f t="shared" si="7"/>
        <v>600</v>
      </c>
      <c r="AQ7" s="34">
        <f t="shared" si="7"/>
        <v>540</v>
      </c>
      <c r="AR7" s="34">
        <f t="shared" si="7"/>
        <v>420.00000000000006</v>
      </c>
    </row>
    <row r="8" spans="2:44">
      <c r="B8" s="52">
        <v>25000</v>
      </c>
      <c r="C8" s="52" t="s">
        <v>106</v>
      </c>
      <c r="D8" t="str">
        <f>VLOOKUP($B8, 'Performance data'!$B:$K, 3, 0)</f>
        <v>West</v>
      </c>
      <c r="E8" t="s">
        <v>101</v>
      </c>
      <c r="F8" s="39">
        <f>VLOOKUP($B8, 'Performance data'!$B:$K, 7, 0)</f>
        <v>2021</v>
      </c>
      <c r="G8" s="40"/>
      <c r="H8" s="39" t="str">
        <f>VLOOKUP($B8, 'Performance data'!$B:$K, 5, 0)</f>
        <v>C</v>
      </c>
      <c r="I8" s="39" t="s">
        <v>31</v>
      </c>
      <c r="J8" s="4">
        <f t="shared" si="8"/>
        <v>737</v>
      </c>
      <c r="K8" s="40"/>
      <c r="M8" s="40" t="s">
        <v>89</v>
      </c>
      <c r="O8" s="2">
        <f>SUMIF('Performance data'!$B:$B, $B8,'Performance data'!K:K)</f>
        <v>1539.92</v>
      </c>
      <c r="P8" s="2">
        <f>SUMIF('Performance data'!$B:$B, $B8,'Performance data'!L:L)</f>
        <v>737</v>
      </c>
      <c r="Q8" s="2">
        <f>SUMIF('Performance data'!$B:$B, $B8,'Performance data'!M:M)</f>
        <v>1500</v>
      </c>
      <c r="S8" s="41">
        <f t="shared" si="0"/>
        <v>-0.52140370928359925</v>
      </c>
      <c r="T8" s="41">
        <f t="shared" si="1"/>
        <v>-0.5086666666666666</v>
      </c>
      <c r="V8" s="2">
        <f>SUMIF('Performance data'!$B:$B, $B8,'Performance data'!Z:Z)</f>
        <v>5749.6500000000005</v>
      </c>
      <c r="W8" s="2">
        <f>SUMIF('Performance data'!$B:$B, $B8,'Performance data'!AA:AA)</f>
        <v>7017.2800000000007</v>
      </c>
      <c r="X8" s="2">
        <f>SUMIF('Performance data'!$B:$B, $B8,'Performance data'!AB:AB)</f>
        <v>1539.92</v>
      </c>
      <c r="Y8" s="2">
        <f>SUMIF('Performance data'!$B:$B, $B8,'Performance data'!AD:AD)</f>
        <v>1500</v>
      </c>
      <c r="Z8" s="2">
        <f t="shared" si="2"/>
        <v>737</v>
      </c>
      <c r="AA8" s="2">
        <f t="shared" si="3"/>
        <v>0</v>
      </c>
      <c r="AC8" s="41">
        <f t="shared" si="4"/>
        <v>-0.52140370928359925</v>
      </c>
      <c r="AD8" s="41">
        <f t="shared" si="5"/>
        <v>-0.5086666666666666</v>
      </c>
      <c r="AE8" s="41">
        <f t="shared" si="6"/>
        <v>-1</v>
      </c>
      <c r="AG8" s="34">
        <f t="shared" si="9"/>
        <v>0</v>
      </c>
      <c r="AH8" s="34">
        <f t="shared" si="7"/>
        <v>0</v>
      </c>
      <c r="AI8" s="34">
        <f t="shared" si="7"/>
        <v>0</v>
      </c>
      <c r="AJ8" s="34">
        <f t="shared" si="7"/>
        <v>0</v>
      </c>
      <c r="AK8" s="34">
        <f t="shared" si="7"/>
        <v>0</v>
      </c>
      <c r="AL8" s="34">
        <f t="shared" si="7"/>
        <v>0</v>
      </c>
      <c r="AM8" s="34">
        <f t="shared" si="7"/>
        <v>0</v>
      </c>
      <c r="AN8" s="34">
        <f t="shared" si="7"/>
        <v>0</v>
      </c>
      <c r="AO8" s="34">
        <f t="shared" si="7"/>
        <v>0</v>
      </c>
      <c r="AP8" s="34">
        <f t="shared" si="7"/>
        <v>0</v>
      </c>
      <c r="AQ8" s="34">
        <f t="shared" si="7"/>
        <v>0</v>
      </c>
      <c r="AR8" s="34">
        <f t="shared" si="7"/>
        <v>0</v>
      </c>
    </row>
    <row r="9" spans="2:44">
      <c r="B9">
        <v>25015</v>
      </c>
      <c r="C9" t="s">
        <v>107</v>
      </c>
      <c r="D9" t="str">
        <f>VLOOKUP($B9, 'Performance data'!$B:$K, 3, 0)</f>
        <v>West</v>
      </c>
      <c r="E9" t="s">
        <v>101</v>
      </c>
      <c r="F9" s="39">
        <f>VLOOKUP($B9, 'Performance data'!$B:$K, 7, 0)</f>
        <v>2022</v>
      </c>
      <c r="G9" s="40"/>
      <c r="H9" s="39" t="str">
        <f>VLOOKUP($B9, 'Performance data'!$B:$K, 5, 0)</f>
        <v>C</v>
      </c>
      <c r="I9" s="39" t="s">
        <v>47</v>
      </c>
      <c r="J9" s="4">
        <f t="shared" si="8"/>
        <v>1573.68</v>
      </c>
      <c r="K9" s="40"/>
      <c r="M9" s="40"/>
      <c r="O9" s="2">
        <f>SUMIF('Performance data'!$B:$B, $B9,'Performance data'!K:K)</f>
        <v>2717.3199999999997</v>
      </c>
      <c r="P9" s="2">
        <f>SUMIF('Performance data'!$B:$B, $B9,'Performance data'!L:L)</f>
        <v>1573.68</v>
      </c>
      <c r="Q9" s="2">
        <f>SUMIF('Performance data'!$B:$B, $B9,'Performance data'!M:M)</f>
        <v>3000</v>
      </c>
      <c r="S9" s="41">
        <f t="shared" si="0"/>
        <v>-0.42087056364358988</v>
      </c>
      <c r="T9" s="41">
        <f t="shared" si="1"/>
        <v>-0.47543999999999997</v>
      </c>
      <c r="V9" s="2">
        <f>SUMIF('Performance data'!$B:$B, $B9,'Performance data'!Z:Z)</f>
        <v>9631.1</v>
      </c>
      <c r="W9" s="2">
        <f>SUMIF('Performance data'!$B:$B, $B9,'Performance data'!AA:AA)</f>
        <v>6958.4800000000005</v>
      </c>
      <c r="X9" s="2">
        <f>SUMIF('Performance data'!$B:$B, $B9,'Performance data'!AB:AB)</f>
        <v>2717.3199999999997</v>
      </c>
      <c r="Y9" s="2">
        <f>SUMIF('Performance data'!$B:$B, $B9,'Performance data'!AD:AD)</f>
        <v>3000</v>
      </c>
      <c r="Z9" s="2">
        <f t="shared" si="2"/>
        <v>1573.68</v>
      </c>
      <c r="AA9" s="2">
        <f t="shared" si="3"/>
        <v>0</v>
      </c>
      <c r="AC9" s="41">
        <f t="shared" si="4"/>
        <v>-0.42087056364358988</v>
      </c>
      <c r="AD9" s="41">
        <f t="shared" si="5"/>
        <v>-0.47543999999999997</v>
      </c>
      <c r="AE9" s="41">
        <f t="shared" si="6"/>
        <v>-1</v>
      </c>
      <c r="AG9" s="34">
        <f t="shared" si="9"/>
        <v>0</v>
      </c>
      <c r="AH9" s="34">
        <f t="shared" si="7"/>
        <v>0</v>
      </c>
      <c r="AI9" s="34">
        <f t="shared" si="7"/>
        <v>0</v>
      </c>
      <c r="AJ9" s="34">
        <f t="shared" si="7"/>
        <v>0</v>
      </c>
      <c r="AK9" s="34">
        <f t="shared" si="7"/>
        <v>0</v>
      </c>
      <c r="AL9" s="34">
        <f t="shared" si="7"/>
        <v>0</v>
      </c>
      <c r="AM9" s="34">
        <f t="shared" si="7"/>
        <v>0</v>
      </c>
      <c r="AN9" s="34">
        <f t="shared" si="7"/>
        <v>0</v>
      </c>
      <c r="AO9" s="34">
        <f t="shared" si="7"/>
        <v>0</v>
      </c>
      <c r="AP9" s="34">
        <f t="shared" si="7"/>
        <v>0</v>
      </c>
      <c r="AQ9" s="34">
        <f t="shared" si="7"/>
        <v>0</v>
      </c>
      <c r="AR9" s="34">
        <f t="shared" si="7"/>
        <v>0</v>
      </c>
    </row>
    <row r="10" spans="2:44">
      <c r="B10">
        <v>25036</v>
      </c>
      <c r="C10" t="s">
        <v>108</v>
      </c>
      <c r="D10" t="str">
        <f>VLOOKUP($B10, 'Performance data'!$B:$K, 3, 0)</f>
        <v>West</v>
      </c>
      <c r="E10" t="s">
        <v>101</v>
      </c>
      <c r="F10" s="39">
        <f>VLOOKUP($B10, 'Performance data'!$B:$K, 7, 0)</f>
        <v>2023</v>
      </c>
      <c r="G10" s="40"/>
      <c r="H10" s="39" t="str">
        <f>VLOOKUP($B10, 'Performance data'!$B:$K, 5, 0)</f>
        <v>C</v>
      </c>
      <c r="I10" s="39" t="s">
        <v>47</v>
      </c>
      <c r="J10" s="4">
        <f t="shared" si="8"/>
        <v>654.34</v>
      </c>
      <c r="K10" s="40"/>
      <c r="M10" s="40"/>
      <c r="O10" s="2">
        <f>SUMIF('Performance data'!$B:$B, $B10,'Performance data'!K:K)</f>
        <v>2357.58</v>
      </c>
      <c r="P10" s="2">
        <f>SUMIF('Performance data'!$B:$B, $B10,'Performance data'!L:L)</f>
        <v>654.34</v>
      </c>
      <c r="Q10" s="2">
        <f>SUMIF('Performance data'!$B:$B, $B10,'Performance data'!M:M)</f>
        <v>5000</v>
      </c>
      <c r="S10" s="41">
        <f t="shared" si="0"/>
        <v>-0.72245268453244427</v>
      </c>
      <c r="T10" s="41">
        <f t="shared" si="1"/>
        <v>-0.86913200000000002</v>
      </c>
      <c r="V10" s="2">
        <f>SUMIF('Performance data'!$B:$B, $B10,'Performance data'!Z:Z)</f>
        <v>0</v>
      </c>
      <c r="W10" s="2">
        <f>SUMIF('Performance data'!$B:$B, $B10,'Performance data'!AA:AA)</f>
        <v>5919.87</v>
      </c>
      <c r="X10" s="2">
        <f>SUMIF('Performance data'!$B:$B, $B10,'Performance data'!AB:AB)</f>
        <v>2357.58</v>
      </c>
      <c r="Y10" s="2">
        <f>SUMIF('Performance data'!$B:$B, $B10,'Performance data'!AD:AD)</f>
        <v>5000</v>
      </c>
      <c r="Z10" s="2">
        <f t="shared" si="2"/>
        <v>654.34</v>
      </c>
      <c r="AA10" s="2">
        <f t="shared" si="3"/>
        <v>0</v>
      </c>
      <c r="AC10" s="41">
        <f t="shared" si="4"/>
        <v>-0.72245268453244427</v>
      </c>
      <c r="AD10" s="41">
        <f t="shared" si="5"/>
        <v>-0.86913200000000002</v>
      </c>
      <c r="AE10" s="41">
        <f t="shared" si="6"/>
        <v>-1</v>
      </c>
      <c r="AG10" s="34">
        <f t="shared" si="9"/>
        <v>0</v>
      </c>
      <c r="AH10" s="34">
        <f t="shared" si="7"/>
        <v>0</v>
      </c>
      <c r="AI10" s="34">
        <f t="shared" si="7"/>
        <v>0</v>
      </c>
      <c r="AJ10" s="34">
        <f t="shared" si="7"/>
        <v>0</v>
      </c>
      <c r="AK10" s="34">
        <f t="shared" si="7"/>
        <v>0</v>
      </c>
      <c r="AL10" s="34">
        <f t="shared" si="7"/>
        <v>0</v>
      </c>
      <c r="AM10" s="34">
        <f t="shared" si="7"/>
        <v>0</v>
      </c>
      <c r="AN10" s="34">
        <f t="shared" si="7"/>
        <v>0</v>
      </c>
      <c r="AO10" s="34">
        <f t="shared" si="7"/>
        <v>0</v>
      </c>
      <c r="AP10" s="34">
        <f t="shared" si="7"/>
        <v>0</v>
      </c>
      <c r="AQ10" s="34">
        <f t="shared" si="7"/>
        <v>0</v>
      </c>
      <c r="AR10" s="34">
        <f t="shared" si="7"/>
        <v>0</v>
      </c>
    </row>
    <row r="11" spans="2:44">
      <c r="B11" s="52">
        <v>25046</v>
      </c>
      <c r="C11" s="52" t="s">
        <v>109</v>
      </c>
      <c r="D11" t="str">
        <f>VLOOKUP($B11, 'Performance data'!$B:$K, 3, 0)</f>
        <v>West</v>
      </c>
      <c r="E11" t="s">
        <v>101</v>
      </c>
      <c r="F11" s="39">
        <f>VLOOKUP($B11, 'Performance data'!$B:$K, 7, 0)</f>
        <v>2024</v>
      </c>
      <c r="G11" s="40"/>
      <c r="H11" s="39" t="str">
        <f>VLOOKUP($B11, 'Performance data'!$B:$K, 5, 0)</f>
        <v>NKD24</v>
      </c>
      <c r="I11" s="39" t="s">
        <v>31</v>
      </c>
      <c r="J11" s="4">
        <f t="shared" si="8"/>
        <v>1551.69</v>
      </c>
      <c r="K11" s="40"/>
      <c r="M11" s="40" t="s">
        <v>89</v>
      </c>
      <c r="O11" s="2">
        <f>SUMIF('Performance data'!$B:$B, $B11,'Performance data'!K:K)</f>
        <v>14440.24</v>
      </c>
      <c r="P11" s="2">
        <f>SUMIF('Performance data'!$B:$B, $B11,'Performance data'!L:L)</f>
        <v>1551.69</v>
      </c>
      <c r="Q11" s="2">
        <f>SUMIF('Performance data'!$B:$B, $B11,'Performance data'!M:M)</f>
        <v>16000</v>
      </c>
      <c r="S11" s="41">
        <f t="shared" si="0"/>
        <v>-0.89254402973911795</v>
      </c>
      <c r="T11" s="41">
        <f t="shared" si="1"/>
        <v>-0.90301937499999996</v>
      </c>
      <c r="V11" s="2">
        <f>SUMIF('Performance data'!$B:$B, $B11,'Performance data'!Z:Z)</f>
        <v>0</v>
      </c>
      <c r="W11" s="2">
        <f>SUMIF('Performance data'!$B:$B, $B11,'Performance data'!AA:AA)</f>
        <v>0</v>
      </c>
      <c r="X11" s="2">
        <f>SUMIF('Performance data'!$B:$B, $B11,'Performance data'!AB:AB)</f>
        <v>14440.24</v>
      </c>
      <c r="Y11" s="2">
        <f>SUMIF('Performance data'!$B:$B, $B11,'Performance data'!AD:AD)</f>
        <v>16000</v>
      </c>
      <c r="Z11" s="2">
        <f t="shared" si="2"/>
        <v>1551.69</v>
      </c>
      <c r="AA11" s="2">
        <f t="shared" si="3"/>
        <v>0</v>
      </c>
      <c r="AC11" s="41">
        <f t="shared" si="4"/>
        <v>-0.89254402973911795</v>
      </c>
      <c r="AD11" s="41">
        <f t="shared" si="5"/>
        <v>-0.90301937499999996</v>
      </c>
      <c r="AE11" s="41">
        <f t="shared" si="6"/>
        <v>-1</v>
      </c>
      <c r="AG11" s="34">
        <f t="shared" si="9"/>
        <v>0</v>
      </c>
      <c r="AH11" s="34">
        <f t="shared" si="7"/>
        <v>0</v>
      </c>
      <c r="AI11" s="34">
        <f t="shared" si="7"/>
        <v>0</v>
      </c>
      <c r="AJ11" s="34">
        <f t="shared" si="7"/>
        <v>0</v>
      </c>
      <c r="AK11" s="34">
        <f t="shared" si="7"/>
        <v>0</v>
      </c>
      <c r="AL11" s="34">
        <f t="shared" si="7"/>
        <v>0</v>
      </c>
      <c r="AM11" s="34">
        <f t="shared" si="7"/>
        <v>0</v>
      </c>
      <c r="AN11" s="34">
        <f t="shared" si="7"/>
        <v>0</v>
      </c>
      <c r="AO11" s="34">
        <f t="shared" si="7"/>
        <v>0</v>
      </c>
      <c r="AP11" s="34">
        <f t="shared" si="7"/>
        <v>0</v>
      </c>
      <c r="AQ11" s="34">
        <f t="shared" si="7"/>
        <v>0</v>
      </c>
      <c r="AR11" s="34">
        <f t="shared" si="7"/>
        <v>0</v>
      </c>
    </row>
    <row r="12" spans="2:44">
      <c r="B12" s="52">
        <v>25052</v>
      </c>
      <c r="C12" s="52" t="s">
        <v>110</v>
      </c>
      <c r="D12" t="str">
        <f>VLOOKUP($B12, 'Performance data'!$B:$K, 3, 0)</f>
        <v>West</v>
      </c>
      <c r="E12" t="s">
        <v>101</v>
      </c>
      <c r="F12" s="39">
        <f>VLOOKUP($B12, 'Performance data'!$B:$K, 7, 0)</f>
        <v>2024</v>
      </c>
      <c r="G12" s="40"/>
      <c r="H12" s="39" t="str">
        <f>VLOOKUP($B12, 'Performance data'!$B:$K, 5, 0)</f>
        <v>NKD24</v>
      </c>
      <c r="I12" s="39" t="s">
        <v>31</v>
      </c>
      <c r="J12" s="4">
        <f t="shared" si="8"/>
        <v>0</v>
      </c>
      <c r="K12" s="40"/>
      <c r="M12" s="40" t="s">
        <v>89</v>
      </c>
      <c r="O12" s="2">
        <f>SUMIF('Performance data'!$B:$B, $B12,'Performance data'!K:K)</f>
        <v>5734</v>
      </c>
      <c r="P12" s="2">
        <f>SUMIF('Performance data'!$B:$B, $B12,'Performance data'!L:L)</f>
        <v>0</v>
      </c>
      <c r="Q12" s="2">
        <f>SUMIF('Performance data'!$B:$B, $B12,'Performance data'!M:M)</f>
        <v>5000</v>
      </c>
      <c r="S12" s="41">
        <f t="shared" si="0"/>
        <v>-1</v>
      </c>
      <c r="T12" s="41">
        <f t="shared" si="1"/>
        <v>-1</v>
      </c>
      <c r="V12" s="2">
        <f>SUMIF('Performance data'!$B:$B, $B12,'Performance data'!Z:Z)</f>
        <v>0</v>
      </c>
      <c r="W12" s="2">
        <f>SUMIF('Performance data'!$B:$B, $B12,'Performance data'!AA:AA)</f>
        <v>0</v>
      </c>
      <c r="X12" s="2">
        <f>SUMIF('Performance data'!$B:$B, $B12,'Performance data'!AB:AB)</f>
        <v>5734</v>
      </c>
      <c r="Y12" s="2">
        <f>SUMIF('Performance data'!$B:$B, $B12,'Performance data'!AD:AD)</f>
        <v>5000</v>
      </c>
      <c r="Z12" s="2">
        <f t="shared" si="2"/>
        <v>0</v>
      </c>
      <c r="AA12" s="2">
        <f t="shared" si="3"/>
        <v>0</v>
      </c>
      <c r="AC12" s="41">
        <f t="shared" si="4"/>
        <v>-1</v>
      </c>
      <c r="AD12" s="41">
        <f t="shared" si="5"/>
        <v>-1</v>
      </c>
      <c r="AE12" s="41" t="e">
        <f t="shared" si="6"/>
        <v>#DIV/0!</v>
      </c>
      <c r="AG12" s="34">
        <f t="shared" si="9"/>
        <v>0</v>
      </c>
      <c r="AH12" s="34">
        <f t="shared" si="7"/>
        <v>0</v>
      </c>
      <c r="AI12" s="34">
        <f t="shared" si="7"/>
        <v>0</v>
      </c>
      <c r="AJ12" s="34">
        <f t="shared" si="7"/>
        <v>0</v>
      </c>
      <c r="AK12" s="34">
        <f t="shared" si="7"/>
        <v>0</v>
      </c>
      <c r="AL12" s="34">
        <f t="shared" si="7"/>
        <v>0</v>
      </c>
      <c r="AM12" s="34">
        <f t="shared" si="7"/>
        <v>0</v>
      </c>
      <c r="AN12" s="34">
        <f t="shared" si="7"/>
        <v>0</v>
      </c>
      <c r="AO12" s="34">
        <f t="shared" si="7"/>
        <v>0</v>
      </c>
      <c r="AP12" s="34">
        <f t="shared" si="7"/>
        <v>0</v>
      </c>
      <c r="AQ12" s="34">
        <f t="shared" si="7"/>
        <v>0</v>
      </c>
      <c r="AR12" s="34">
        <f t="shared" si="7"/>
        <v>0</v>
      </c>
    </row>
    <row r="13" spans="2:44">
      <c r="B13">
        <v>25053</v>
      </c>
      <c r="C13" t="s">
        <v>111</v>
      </c>
      <c r="D13" t="str">
        <f>VLOOKUP($B13, 'Performance data'!$B:$K, 3, 0)</f>
        <v>West</v>
      </c>
      <c r="E13" t="s">
        <v>101</v>
      </c>
      <c r="F13" s="39">
        <f>VLOOKUP($B13, 'Performance data'!$B:$K, 7, 0)</f>
        <v>2024</v>
      </c>
      <c r="G13" s="40"/>
      <c r="H13" s="39" t="str">
        <f>VLOOKUP($B13, 'Performance data'!$B:$K, 5, 0)</f>
        <v>NKD24</v>
      </c>
      <c r="I13" s="39" t="s">
        <v>47</v>
      </c>
      <c r="J13" s="4">
        <f t="shared" si="8"/>
        <v>1846.6399999999999</v>
      </c>
      <c r="K13" s="40">
        <v>2000</v>
      </c>
      <c r="M13" s="40" t="s">
        <v>76</v>
      </c>
      <c r="O13" s="2">
        <f>SUMIF('Performance data'!$B:$B, $B13,'Performance data'!K:K)</f>
        <v>12533.029999999999</v>
      </c>
      <c r="P13" s="2">
        <f>SUMIF('Performance data'!$B:$B, $B13,'Performance data'!L:L)</f>
        <v>1846.6399999999999</v>
      </c>
      <c r="Q13" s="2">
        <f>SUMIF('Performance data'!$B:$B, $B13,'Performance data'!M:M)</f>
        <v>12000</v>
      </c>
      <c r="S13" s="41">
        <f t="shared" si="0"/>
        <v>-0.8526581361410609</v>
      </c>
      <c r="T13" s="41">
        <f t="shared" si="1"/>
        <v>-0.84611333333333338</v>
      </c>
      <c r="V13" s="2">
        <f>SUMIF('Performance data'!$B:$B, $B13,'Performance data'!Z:Z)</f>
        <v>0</v>
      </c>
      <c r="W13" s="2">
        <f>SUMIF('Performance data'!$B:$B, $B13,'Performance data'!AA:AA)</f>
        <v>0</v>
      </c>
      <c r="X13" s="2">
        <f>SUMIF('Performance data'!$B:$B, $B13,'Performance data'!AB:AB)</f>
        <v>12533.029999999999</v>
      </c>
      <c r="Y13" s="2">
        <f>SUMIF('Performance data'!$B:$B, $B13,'Performance data'!AD:AD)</f>
        <v>12000</v>
      </c>
      <c r="Z13" s="2">
        <f t="shared" si="2"/>
        <v>1846.6399999999999</v>
      </c>
      <c r="AA13" s="2">
        <f t="shared" si="3"/>
        <v>2000</v>
      </c>
      <c r="AC13" s="41">
        <f t="shared" si="4"/>
        <v>-0.8526581361410609</v>
      </c>
      <c r="AD13" s="41">
        <f t="shared" si="5"/>
        <v>-0.84611333333333338</v>
      </c>
      <c r="AE13" s="41">
        <f t="shared" si="6"/>
        <v>8.3048130658926578E-2</v>
      </c>
      <c r="AG13" s="34">
        <f t="shared" si="9"/>
        <v>160</v>
      </c>
      <c r="AH13" s="34">
        <f t="shared" si="7"/>
        <v>160</v>
      </c>
      <c r="AI13" s="34">
        <f t="shared" si="7"/>
        <v>180</v>
      </c>
      <c r="AJ13" s="34">
        <f t="shared" si="7"/>
        <v>180</v>
      </c>
      <c r="AK13" s="34">
        <f t="shared" si="7"/>
        <v>180</v>
      </c>
      <c r="AL13" s="34">
        <f t="shared" si="7"/>
        <v>160</v>
      </c>
      <c r="AM13" s="34">
        <f t="shared" si="7"/>
        <v>160</v>
      </c>
      <c r="AN13" s="34">
        <f t="shared" si="7"/>
        <v>120</v>
      </c>
      <c r="AO13" s="34">
        <f t="shared" si="7"/>
        <v>180</v>
      </c>
      <c r="AP13" s="34">
        <f t="shared" si="7"/>
        <v>200</v>
      </c>
      <c r="AQ13" s="34">
        <f t="shared" si="7"/>
        <v>180</v>
      </c>
      <c r="AR13" s="34">
        <f t="shared" si="7"/>
        <v>140</v>
      </c>
    </row>
    <row r="14" spans="2:44">
      <c r="B14">
        <v>25058</v>
      </c>
      <c r="C14" t="s">
        <v>112</v>
      </c>
      <c r="D14" t="str">
        <f>VLOOKUP($B14, 'Performance data'!$B:$K, 3, 0)</f>
        <v>West</v>
      </c>
      <c r="E14" t="s">
        <v>101</v>
      </c>
      <c r="F14" s="39">
        <f>VLOOKUP($B14, 'Performance data'!$B:$K, 7, 0)</f>
        <v>2024</v>
      </c>
      <c r="G14" s="40"/>
      <c r="H14" s="39" t="str">
        <f>VLOOKUP($B14, 'Performance data'!$B:$K, 5, 0)</f>
        <v>NKD24</v>
      </c>
      <c r="I14" s="39" t="s">
        <v>47</v>
      </c>
      <c r="J14" s="4">
        <f t="shared" si="8"/>
        <v>3996</v>
      </c>
      <c r="K14" s="40">
        <v>4000</v>
      </c>
      <c r="M14" s="40" t="s">
        <v>76</v>
      </c>
      <c r="O14" s="2">
        <f>SUMIF('Performance data'!$B:$B, $B14,'Performance data'!K:K)</f>
        <v>4359.49</v>
      </c>
      <c r="P14" s="2">
        <f>SUMIF('Performance data'!$B:$B, $B14,'Performance data'!L:L)</f>
        <v>3996</v>
      </c>
      <c r="Q14" s="2">
        <f>SUMIF('Performance data'!$B:$B, $B14,'Performance data'!M:M)</f>
        <v>12000</v>
      </c>
      <c r="S14" s="41">
        <f t="shared" si="0"/>
        <v>-8.3379019105445762E-2</v>
      </c>
      <c r="T14" s="41">
        <f t="shared" si="1"/>
        <v>-0.66700000000000004</v>
      </c>
      <c r="V14" s="2">
        <f>SUMIF('Performance data'!$B:$B, $B14,'Performance data'!Z:Z)</f>
        <v>0</v>
      </c>
      <c r="W14" s="2">
        <f>SUMIF('Performance data'!$B:$B, $B14,'Performance data'!AA:AA)</f>
        <v>0</v>
      </c>
      <c r="X14" s="2">
        <f>SUMIF('Performance data'!$B:$B, $B14,'Performance data'!AB:AB)</f>
        <v>4359.49</v>
      </c>
      <c r="Y14" s="2">
        <f>SUMIF('Performance data'!$B:$B, $B14,'Performance data'!AD:AD)</f>
        <v>12000</v>
      </c>
      <c r="Z14" s="2">
        <f t="shared" si="2"/>
        <v>3996</v>
      </c>
      <c r="AA14" s="2">
        <f t="shared" si="3"/>
        <v>4000</v>
      </c>
      <c r="AC14" s="41">
        <f t="shared" si="4"/>
        <v>-8.3379019105445762E-2</v>
      </c>
      <c r="AD14" s="41">
        <f t="shared" si="5"/>
        <v>-0.66700000000000004</v>
      </c>
      <c r="AE14" s="41">
        <f t="shared" si="6"/>
        <v>1.0010010010010895E-3</v>
      </c>
      <c r="AG14" s="34">
        <f t="shared" si="9"/>
        <v>320</v>
      </c>
      <c r="AH14" s="34">
        <f t="shared" si="7"/>
        <v>320</v>
      </c>
      <c r="AI14" s="34">
        <f t="shared" si="7"/>
        <v>360</v>
      </c>
      <c r="AJ14" s="34">
        <f t="shared" si="7"/>
        <v>360</v>
      </c>
      <c r="AK14" s="34">
        <f t="shared" si="7"/>
        <v>360</v>
      </c>
      <c r="AL14" s="34">
        <f t="shared" si="7"/>
        <v>320</v>
      </c>
      <c r="AM14" s="34">
        <f t="shared" si="7"/>
        <v>320</v>
      </c>
      <c r="AN14" s="34">
        <f t="shared" si="7"/>
        <v>240</v>
      </c>
      <c r="AO14" s="34">
        <f t="shared" si="7"/>
        <v>360</v>
      </c>
      <c r="AP14" s="34">
        <f t="shared" si="7"/>
        <v>400</v>
      </c>
      <c r="AQ14" s="34">
        <f t="shared" si="7"/>
        <v>360</v>
      </c>
      <c r="AR14" s="34">
        <f t="shared" si="7"/>
        <v>280</v>
      </c>
    </row>
    <row r="15" spans="2:44">
      <c r="B15">
        <v>25059</v>
      </c>
      <c r="C15" t="s">
        <v>113</v>
      </c>
      <c r="D15" t="str">
        <f>VLOOKUP($B15, 'Performance data'!$B:$K, 3, 0)</f>
        <v>West</v>
      </c>
      <c r="E15" t="s">
        <v>101</v>
      </c>
      <c r="F15" s="39">
        <f>VLOOKUP($B15, 'Performance data'!$B:$K, 7, 0)</f>
        <v>2024</v>
      </c>
      <c r="G15" s="40"/>
      <c r="H15" s="39" t="str">
        <f>VLOOKUP($B15, 'Performance data'!$B:$K, 5, 0)</f>
        <v>NKD24</v>
      </c>
      <c r="I15" s="39" t="s">
        <v>47</v>
      </c>
      <c r="J15" s="4">
        <f t="shared" si="8"/>
        <v>5002.82</v>
      </c>
      <c r="K15" s="40">
        <v>5000</v>
      </c>
      <c r="M15" s="40" t="s">
        <v>76</v>
      </c>
      <c r="O15" s="2">
        <f>SUMIF('Performance data'!$B:$B, $B15,'Performance data'!K:K)</f>
        <v>2469.9699999999998</v>
      </c>
      <c r="P15" s="2">
        <f>SUMIF('Performance data'!$B:$B, $B15,'Performance data'!L:L)</f>
        <v>5002.82</v>
      </c>
      <c r="Q15" s="2">
        <f>SUMIF('Performance data'!$B:$B, $B15,'Performance data'!M:M)</f>
        <v>12000</v>
      </c>
      <c r="S15" s="41">
        <f t="shared" si="0"/>
        <v>1.0254577990825799</v>
      </c>
      <c r="T15" s="41">
        <f t="shared" si="1"/>
        <v>-0.58309833333333339</v>
      </c>
      <c r="V15" s="2">
        <f>SUMIF('Performance data'!$B:$B, $B15,'Performance data'!Z:Z)</f>
        <v>0</v>
      </c>
      <c r="W15" s="2">
        <f>SUMIF('Performance data'!$B:$B, $B15,'Performance data'!AA:AA)</f>
        <v>0</v>
      </c>
      <c r="X15" s="2">
        <f>SUMIF('Performance data'!$B:$B, $B15,'Performance data'!AB:AB)</f>
        <v>2469.9699999999998</v>
      </c>
      <c r="Y15" s="2">
        <f>SUMIF('Performance data'!$B:$B, $B15,'Performance data'!AD:AD)</f>
        <v>12000</v>
      </c>
      <c r="Z15" s="2">
        <f t="shared" si="2"/>
        <v>5002.82</v>
      </c>
      <c r="AA15" s="2">
        <f t="shared" si="3"/>
        <v>5000</v>
      </c>
      <c r="AC15" s="41">
        <f t="shared" si="4"/>
        <v>1.0254577990825799</v>
      </c>
      <c r="AD15" s="41">
        <f t="shared" si="5"/>
        <v>-0.58309833333333339</v>
      </c>
      <c r="AE15" s="41">
        <f t="shared" si="6"/>
        <v>-5.6368208330492831E-4</v>
      </c>
      <c r="AG15" s="34">
        <f t="shared" si="9"/>
        <v>400</v>
      </c>
      <c r="AH15" s="34">
        <f t="shared" si="7"/>
        <v>400</v>
      </c>
      <c r="AI15" s="34">
        <f t="shared" si="7"/>
        <v>450</v>
      </c>
      <c r="AJ15" s="34">
        <f t="shared" si="7"/>
        <v>450</v>
      </c>
      <c r="AK15" s="34">
        <f t="shared" si="7"/>
        <v>450</v>
      </c>
      <c r="AL15" s="34">
        <f t="shared" si="7"/>
        <v>400</v>
      </c>
      <c r="AM15" s="34">
        <f t="shared" si="7"/>
        <v>400</v>
      </c>
      <c r="AN15" s="34">
        <f t="shared" si="7"/>
        <v>300</v>
      </c>
      <c r="AO15" s="34">
        <f t="shared" si="7"/>
        <v>450</v>
      </c>
      <c r="AP15" s="34">
        <f t="shared" si="7"/>
        <v>500</v>
      </c>
      <c r="AQ15" s="34">
        <f t="shared" si="7"/>
        <v>450</v>
      </c>
      <c r="AR15" s="34">
        <f t="shared" si="7"/>
        <v>350.00000000000006</v>
      </c>
    </row>
    <row r="16" spans="2:44">
      <c r="B16" s="24" t="s">
        <v>79</v>
      </c>
      <c r="C16" s="24"/>
      <c r="D16" s="24"/>
      <c r="E16" s="24"/>
      <c r="F16" s="42"/>
      <c r="G16" s="25">
        <f>COUNTIF(G3:G15, "Yes")</f>
        <v>0</v>
      </c>
      <c r="H16" s="42"/>
      <c r="I16" s="42"/>
      <c r="J16" s="44">
        <f>SUM(J3:J15)</f>
        <v>245675.22999999998</v>
      </c>
      <c r="K16" s="25">
        <f>SUM(K3:K15)</f>
        <v>200000</v>
      </c>
      <c r="L16" s="24"/>
      <c r="M16" s="24"/>
      <c r="N16" s="24"/>
      <c r="O16" s="25">
        <f>SUM(O3:O15)</f>
        <v>343837.12</v>
      </c>
      <c r="P16" s="25">
        <f>SUM(P3:P15)</f>
        <v>245675.22999999998</v>
      </c>
      <c r="Q16" s="25">
        <f>SUM(Q3:Q15)</f>
        <v>394500</v>
      </c>
      <c r="R16" s="24"/>
      <c r="S16" s="43">
        <f t="shared" si="0"/>
        <v>-0.28548950735743717</v>
      </c>
      <c r="T16" s="43">
        <f t="shared" si="1"/>
        <v>-0.37724910012674273</v>
      </c>
      <c r="U16" s="24"/>
      <c r="V16" s="25">
        <f t="shared" ref="V16:AA16" si="10">SUM(V3:V15)</f>
        <v>168177.99</v>
      </c>
      <c r="W16" s="25">
        <f t="shared" si="10"/>
        <v>255517.76999999996</v>
      </c>
      <c r="X16" s="25">
        <f t="shared" si="10"/>
        <v>343837.12</v>
      </c>
      <c r="Y16" s="25">
        <f t="shared" si="10"/>
        <v>394500</v>
      </c>
      <c r="Z16" s="25">
        <f t="shared" si="10"/>
        <v>245675.22999999998</v>
      </c>
      <c r="AA16" s="25">
        <f t="shared" si="10"/>
        <v>200000</v>
      </c>
      <c r="AB16" s="24"/>
      <c r="AC16" s="43">
        <f t="shared" si="4"/>
        <v>-0.28548950735743717</v>
      </c>
      <c r="AD16" s="43">
        <f t="shared" si="5"/>
        <v>-0.37724910012674273</v>
      </c>
      <c r="AE16" s="43">
        <f t="shared" si="6"/>
        <v>-0.18591711504655961</v>
      </c>
      <c r="AG16" s="25">
        <f t="shared" ref="AG16:AR16" si="11">SUM(AG3:AG15)</f>
        <v>16000</v>
      </c>
      <c r="AH16" s="25">
        <f t="shared" si="11"/>
        <v>16000</v>
      </c>
      <c r="AI16" s="25">
        <f t="shared" si="11"/>
        <v>18000</v>
      </c>
      <c r="AJ16" s="25">
        <f t="shared" si="11"/>
        <v>18000</v>
      </c>
      <c r="AK16" s="25">
        <f t="shared" si="11"/>
        <v>18000</v>
      </c>
      <c r="AL16" s="25">
        <f t="shared" si="11"/>
        <v>16000</v>
      </c>
      <c r="AM16" s="25">
        <f t="shared" si="11"/>
        <v>16000</v>
      </c>
      <c r="AN16" s="25">
        <f t="shared" si="11"/>
        <v>12000</v>
      </c>
      <c r="AO16" s="25">
        <f t="shared" si="11"/>
        <v>18000</v>
      </c>
      <c r="AP16" s="25">
        <f t="shared" si="11"/>
        <v>20000</v>
      </c>
      <c r="AQ16" s="25">
        <f t="shared" si="11"/>
        <v>18000</v>
      </c>
      <c r="AR16" s="25">
        <f t="shared" si="11"/>
        <v>14000</v>
      </c>
    </row>
    <row r="17" spans="2:58">
      <c r="F17" s="39"/>
      <c r="H17" s="39"/>
      <c r="I17" s="39"/>
      <c r="O17" s="2"/>
      <c r="P17" s="2"/>
      <c r="Q17" s="2"/>
      <c r="S17" s="41"/>
      <c r="T17" s="41"/>
      <c r="V17" s="2"/>
      <c r="W17" s="2"/>
      <c r="X17" s="2"/>
      <c r="Y17" s="2"/>
      <c r="Z17" s="2"/>
      <c r="AA17" s="2"/>
      <c r="AC17" s="41"/>
      <c r="AD17" s="41"/>
      <c r="AE17" s="41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20" spans="2:58">
      <c r="B20">
        <v>25064</v>
      </c>
      <c r="C20" t="s">
        <v>114</v>
      </c>
      <c r="D20" t="str">
        <f>VLOOKUP($B20, 'Performance data'!$B:$K, 3, 0)</f>
        <v>West</v>
      </c>
      <c r="E20" t="s">
        <v>101</v>
      </c>
      <c r="F20" s="39">
        <f>VLOOKUP($B20, 'Performance data'!$B:$K, 7, 0)</f>
        <v>2025</v>
      </c>
      <c r="G20" s="40"/>
      <c r="H20" s="39" t="str">
        <f>VLOOKUP($B20, 'Performance data'!$B:$K, 5, 0)</f>
        <v>NKD25</v>
      </c>
      <c r="I20" s="39" t="s">
        <v>31</v>
      </c>
      <c r="J20" s="4">
        <f t="shared" ref="J20:J24" si="12">P20</f>
        <v>2111.7600000000002</v>
      </c>
      <c r="K20" s="40"/>
      <c r="M20" s="40" t="s">
        <v>89</v>
      </c>
      <c r="O20" s="2">
        <f>SUMIF('Performance data'!$B:$B, $B20,'Performance data'!K:K)</f>
        <v>0</v>
      </c>
      <c r="P20" s="2">
        <f>SUMIF('Performance data'!$B:$B, $B20,'Performance data'!L:L)</f>
        <v>2111.7600000000002</v>
      </c>
      <c r="Q20" s="2">
        <f>SUMIF('Performance data'!$B:$B, $B20,'Performance data'!M:M)</f>
        <v>0</v>
      </c>
      <c r="S20" s="41" t="e">
        <f t="shared" ref="S20:S24" si="13">$P20/O20-1</f>
        <v>#DIV/0!</v>
      </c>
      <c r="T20" s="41" t="e">
        <f t="shared" ref="T20:T24" si="14">P20/Q20-1</f>
        <v>#DIV/0!</v>
      </c>
      <c r="V20" s="2">
        <f>SUMIF('Performance data'!$B:$B, $B20,'Performance data'!Z:Z)</f>
        <v>0</v>
      </c>
      <c r="W20" s="2">
        <f>SUMIF('Performance data'!$B:$B, $B20,'Performance data'!AA:AA)</f>
        <v>0</v>
      </c>
      <c r="X20" s="2">
        <f>SUMIF('Performance data'!$B:$B, $B20,'Performance data'!AB:AB)</f>
        <v>0</v>
      </c>
      <c r="Y20" s="2">
        <f>SUMIF('Performance data'!$B:$B, $B20,'Performance data'!AD:AD)</f>
        <v>0</v>
      </c>
      <c r="Z20" s="2">
        <f t="shared" ref="Z20:AA24" si="15">J20</f>
        <v>2111.7600000000002</v>
      </c>
      <c r="AA20" s="2">
        <f t="shared" si="15"/>
        <v>0</v>
      </c>
      <c r="AC20" s="41" t="e">
        <f t="shared" ref="AC20:AC24" si="16">Z20/X20-1</f>
        <v>#DIV/0!</v>
      </c>
      <c r="AD20" s="41" t="e">
        <f t="shared" ref="AD20:AE24" si="17">Z20/Y20-1</f>
        <v>#DIV/0!</v>
      </c>
      <c r="AE20" s="41">
        <f t="shared" si="17"/>
        <v>-1</v>
      </c>
      <c r="AG20" s="34">
        <f t="shared" si="9"/>
        <v>0</v>
      </c>
      <c r="AH20" s="34">
        <f t="shared" si="9"/>
        <v>0</v>
      </c>
      <c r="AI20" s="34">
        <f t="shared" si="9"/>
        <v>0</v>
      </c>
      <c r="AJ20" s="34">
        <f t="shared" si="9"/>
        <v>0</v>
      </c>
      <c r="AK20" s="34">
        <f t="shared" si="9"/>
        <v>0</v>
      </c>
      <c r="AL20" s="34">
        <f t="shared" si="9"/>
        <v>0</v>
      </c>
      <c r="AM20" s="34">
        <f t="shared" si="9"/>
        <v>0</v>
      </c>
      <c r="AN20" s="34">
        <f t="shared" si="9"/>
        <v>0</v>
      </c>
      <c r="AO20" s="34">
        <f t="shared" si="9"/>
        <v>0</v>
      </c>
      <c r="AP20" s="34">
        <f t="shared" si="9"/>
        <v>0</v>
      </c>
      <c r="AQ20" s="34">
        <f t="shared" si="9"/>
        <v>0</v>
      </c>
      <c r="AR20" s="34">
        <f t="shared" si="9"/>
        <v>0</v>
      </c>
    </row>
    <row r="21" spans="2:58">
      <c r="B21">
        <v>25065</v>
      </c>
      <c r="C21" t="s">
        <v>115</v>
      </c>
      <c r="D21" t="str">
        <f>VLOOKUP($B21, 'Performance data'!$B:$K, 3, 0)</f>
        <v>West</v>
      </c>
      <c r="E21" t="s">
        <v>101</v>
      </c>
      <c r="F21" s="39">
        <f>VLOOKUP($B21, 'Performance data'!$B:$K, 7, 0)</f>
        <v>2025</v>
      </c>
      <c r="G21" s="40"/>
      <c r="H21" s="39" t="str">
        <f>VLOOKUP($B21, 'Performance data'!$B:$K, 5, 0)</f>
        <v>NKD25</v>
      </c>
      <c r="I21" s="39" t="s">
        <v>47</v>
      </c>
      <c r="J21" s="4">
        <f t="shared" si="12"/>
        <v>4155</v>
      </c>
      <c r="K21" s="40">
        <v>5000</v>
      </c>
      <c r="M21" s="40" t="s">
        <v>76</v>
      </c>
      <c r="O21" s="2">
        <f>SUMIF('Performance data'!$B:$B, $B21,'Performance data'!K:K)</f>
        <v>0</v>
      </c>
      <c r="P21" s="2">
        <f>SUMIF('Performance data'!$B:$B, $B21,'Performance data'!L:L)</f>
        <v>4155</v>
      </c>
      <c r="Q21" s="2">
        <f>SUMIF('Performance data'!$B:$B, $B21,'Performance data'!M:M)</f>
        <v>0</v>
      </c>
      <c r="S21" s="41" t="e">
        <f t="shared" si="13"/>
        <v>#DIV/0!</v>
      </c>
      <c r="T21" s="41" t="e">
        <f t="shared" si="14"/>
        <v>#DIV/0!</v>
      </c>
      <c r="V21" s="2">
        <f>SUMIF('Performance data'!$B:$B, $B21,'Performance data'!Z:Z)</f>
        <v>0</v>
      </c>
      <c r="W21" s="2">
        <f>SUMIF('Performance data'!$B:$B, $B21,'Performance data'!AA:AA)</f>
        <v>0</v>
      </c>
      <c r="X21" s="2">
        <f>SUMIF('Performance data'!$B:$B, $B21,'Performance data'!AB:AB)</f>
        <v>0</v>
      </c>
      <c r="Y21" s="2">
        <f>SUMIF('Performance data'!$B:$B, $B21,'Performance data'!AD:AD)</f>
        <v>0</v>
      </c>
      <c r="Z21" s="2">
        <f t="shared" si="15"/>
        <v>4155</v>
      </c>
      <c r="AA21" s="2">
        <f t="shared" si="15"/>
        <v>5000</v>
      </c>
      <c r="AC21" s="41" t="e">
        <f t="shared" si="16"/>
        <v>#DIV/0!</v>
      </c>
      <c r="AD21" s="41" t="e">
        <f t="shared" si="17"/>
        <v>#DIV/0!</v>
      </c>
      <c r="AE21" s="41">
        <f t="shared" si="17"/>
        <v>0.2033694344163659</v>
      </c>
      <c r="AG21" s="34">
        <f t="shared" si="9"/>
        <v>400</v>
      </c>
      <c r="AH21" s="34">
        <f t="shared" si="9"/>
        <v>400</v>
      </c>
      <c r="AI21" s="34">
        <f t="shared" si="9"/>
        <v>450</v>
      </c>
      <c r="AJ21" s="34">
        <f t="shared" si="9"/>
        <v>450</v>
      </c>
      <c r="AK21" s="34">
        <f t="shared" si="9"/>
        <v>450</v>
      </c>
      <c r="AL21" s="34">
        <f t="shared" si="9"/>
        <v>400</v>
      </c>
      <c r="AM21" s="34">
        <f t="shared" si="9"/>
        <v>400</v>
      </c>
      <c r="AN21" s="34">
        <f t="shared" si="9"/>
        <v>300</v>
      </c>
      <c r="AO21" s="34">
        <f t="shared" si="9"/>
        <v>450</v>
      </c>
      <c r="AP21" s="34">
        <f t="shared" si="9"/>
        <v>500</v>
      </c>
      <c r="AQ21" s="34">
        <f t="shared" si="9"/>
        <v>450</v>
      </c>
      <c r="AR21" s="34">
        <f t="shared" si="9"/>
        <v>350.00000000000006</v>
      </c>
    </row>
    <row r="22" spans="2:58">
      <c r="B22">
        <v>25066</v>
      </c>
      <c r="C22" t="s">
        <v>116</v>
      </c>
      <c r="D22" t="str">
        <f>VLOOKUP($B22, 'Performance data'!$B:$K, 3, 0)</f>
        <v>West</v>
      </c>
      <c r="E22" t="s">
        <v>101</v>
      </c>
      <c r="F22" s="39">
        <f>VLOOKUP($B22, 'Performance data'!$B:$K, 7, 0)</f>
        <v>2025</v>
      </c>
      <c r="G22" s="40"/>
      <c r="H22" s="39" t="str">
        <f>VLOOKUP($B22, 'Performance data'!$B:$K, 5, 0)</f>
        <v>NKD25</v>
      </c>
      <c r="I22" s="39" t="s">
        <v>37</v>
      </c>
      <c r="J22" s="4">
        <f t="shared" si="12"/>
        <v>20154.800000000003</v>
      </c>
      <c r="K22" s="40">
        <v>30000</v>
      </c>
      <c r="M22" s="40" t="s">
        <v>74</v>
      </c>
      <c r="O22" s="2">
        <f>SUMIF('Performance data'!$B:$B, $B22,'Performance data'!K:K)</f>
        <v>0</v>
      </c>
      <c r="P22" s="2">
        <f>SUMIF('Performance data'!$B:$B, $B22,'Performance data'!L:L)</f>
        <v>20154.800000000003</v>
      </c>
      <c r="Q22" s="2">
        <f>SUMIF('Performance data'!$B:$B, $B22,'Performance data'!M:M)</f>
        <v>0</v>
      </c>
      <c r="S22" s="41" t="e">
        <f t="shared" si="13"/>
        <v>#DIV/0!</v>
      </c>
      <c r="T22" s="41" t="e">
        <f t="shared" si="14"/>
        <v>#DIV/0!</v>
      </c>
      <c r="V22" s="2">
        <f>SUMIF('Performance data'!$B:$B, $B22,'Performance data'!Z:Z)</f>
        <v>0</v>
      </c>
      <c r="W22" s="2">
        <f>SUMIF('Performance data'!$B:$B, $B22,'Performance data'!AA:AA)</f>
        <v>0</v>
      </c>
      <c r="X22" s="2">
        <f>SUMIF('Performance data'!$B:$B, $B22,'Performance data'!AB:AB)</f>
        <v>0</v>
      </c>
      <c r="Y22" s="2">
        <f>SUMIF('Performance data'!$B:$B, $B22,'Performance data'!AD:AD)</f>
        <v>0</v>
      </c>
      <c r="Z22" s="2">
        <f t="shared" si="15"/>
        <v>20154.800000000003</v>
      </c>
      <c r="AA22" s="2">
        <f t="shared" si="15"/>
        <v>30000</v>
      </c>
      <c r="AC22" s="41" t="e">
        <f t="shared" si="16"/>
        <v>#DIV/0!</v>
      </c>
      <c r="AD22" s="41" t="e">
        <f t="shared" si="17"/>
        <v>#DIV/0!</v>
      </c>
      <c r="AE22" s="41">
        <f t="shared" si="17"/>
        <v>0.48847917121479734</v>
      </c>
      <c r="AG22" s="34">
        <f t="shared" si="9"/>
        <v>2400</v>
      </c>
      <c r="AH22" s="34">
        <f t="shared" si="9"/>
        <v>2400</v>
      </c>
      <c r="AI22" s="34">
        <f t="shared" si="9"/>
        <v>2700</v>
      </c>
      <c r="AJ22" s="34">
        <f t="shared" si="9"/>
        <v>2700</v>
      </c>
      <c r="AK22" s="34">
        <f t="shared" si="9"/>
        <v>2700</v>
      </c>
      <c r="AL22" s="34">
        <f t="shared" si="9"/>
        <v>2400</v>
      </c>
      <c r="AM22" s="34">
        <f t="shared" si="9"/>
        <v>2400</v>
      </c>
      <c r="AN22" s="34">
        <f t="shared" si="9"/>
        <v>1800</v>
      </c>
      <c r="AO22" s="34">
        <f t="shared" si="9"/>
        <v>2700</v>
      </c>
      <c r="AP22" s="34">
        <f t="shared" si="9"/>
        <v>3000</v>
      </c>
      <c r="AQ22" s="34">
        <f t="shared" si="9"/>
        <v>2700</v>
      </c>
      <c r="AR22" s="34">
        <f t="shared" si="9"/>
        <v>2100</v>
      </c>
    </row>
    <row r="23" spans="2:58">
      <c r="B23">
        <v>25067</v>
      </c>
      <c r="C23" t="s">
        <v>117</v>
      </c>
      <c r="D23" t="str">
        <f>VLOOKUP($B23, 'Performance data'!$B:$K, 3, 0)</f>
        <v>West</v>
      </c>
      <c r="E23" t="s">
        <v>101</v>
      </c>
      <c r="F23" s="39">
        <f>VLOOKUP($B23, 'Performance data'!$B:$K, 7, 0)</f>
        <v>2025</v>
      </c>
      <c r="G23" s="40"/>
      <c r="H23" s="39" t="str">
        <f>VLOOKUP($B23, 'Performance data'!$B:$K, 5, 0)</f>
        <v>NKD25</v>
      </c>
      <c r="I23" s="39" t="s">
        <v>37</v>
      </c>
      <c r="J23" s="4">
        <f t="shared" si="12"/>
        <v>25962.32</v>
      </c>
      <c r="K23" s="40">
        <v>30000</v>
      </c>
      <c r="M23" s="40" t="s">
        <v>74</v>
      </c>
      <c r="O23" s="2">
        <f>SUMIF('Performance data'!$B:$B, $B23,'Performance data'!K:K)</f>
        <v>0</v>
      </c>
      <c r="P23" s="2">
        <f>SUMIF('Performance data'!$B:$B, $B23,'Performance data'!L:L)</f>
        <v>25962.32</v>
      </c>
      <c r="Q23" s="2">
        <f>SUMIF('Performance data'!$B:$B, $B23,'Performance data'!M:M)</f>
        <v>0</v>
      </c>
      <c r="S23" s="41" t="e">
        <f t="shared" si="13"/>
        <v>#DIV/0!</v>
      </c>
      <c r="T23" s="41" t="e">
        <f t="shared" si="14"/>
        <v>#DIV/0!</v>
      </c>
      <c r="V23" s="2">
        <f>SUMIF('Performance data'!$B:$B, $B23,'Performance data'!Z:Z)</f>
        <v>0</v>
      </c>
      <c r="W23" s="2">
        <f>SUMIF('Performance data'!$B:$B, $B23,'Performance data'!AA:AA)</f>
        <v>0</v>
      </c>
      <c r="X23" s="2">
        <f>SUMIF('Performance data'!$B:$B, $B23,'Performance data'!AB:AB)</f>
        <v>0</v>
      </c>
      <c r="Y23" s="2">
        <f>SUMIF('Performance data'!$B:$B, $B23,'Performance data'!AD:AD)</f>
        <v>0</v>
      </c>
      <c r="Z23" s="2">
        <f t="shared" si="15"/>
        <v>25962.32</v>
      </c>
      <c r="AA23" s="2">
        <f t="shared" si="15"/>
        <v>30000</v>
      </c>
      <c r="AC23" s="41" t="e">
        <f t="shared" si="16"/>
        <v>#DIV/0!</v>
      </c>
      <c r="AD23" s="41" t="e">
        <f t="shared" si="17"/>
        <v>#DIV/0!</v>
      </c>
      <c r="AE23" s="41">
        <f t="shared" si="17"/>
        <v>0.15552077010066889</v>
      </c>
      <c r="AG23" s="34">
        <f t="shared" si="9"/>
        <v>2400</v>
      </c>
      <c r="AH23" s="34">
        <f t="shared" si="9"/>
        <v>2400</v>
      </c>
      <c r="AI23" s="34">
        <f t="shared" si="9"/>
        <v>2700</v>
      </c>
      <c r="AJ23" s="34">
        <f t="shared" si="9"/>
        <v>2700</v>
      </c>
      <c r="AK23" s="34">
        <f t="shared" si="9"/>
        <v>2700</v>
      </c>
      <c r="AL23" s="34">
        <f t="shared" si="9"/>
        <v>2400</v>
      </c>
      <c r="AM23" s="34">
        <f t="shared" si="9"/>
        <v>2400</v>
      </c>
      <c r="AN23" s="34">
        <f t="shared" si="9"/>
        <v>1800</v>
      </c>
      <c r="AO23" s="34">
        <f t="shared" si="9"/>
        <v>2700</v>
      </c>
      <c r="AP23" s="34">
        <f t="shared" si="9"/>
        <v>3000</v>
      </c>
      <c r="AQ23" s="34">
        <f t="shared" si="9"/>
        <v>2700</v>
      </c>
      <c r="AR23" s="34">
        <f t="shared" si="9"/>
        <v>2100</v>
      </c>
    </row>
    <row r="24" spans="2:58">
      <c r="B24">
        <v>25072</v>
      </c>
      <c r="C24" t="s">
        <v>118</v>
      </c>
      <c r="D24" t="str">
        <f>VLOOKUP($B24, 'Performance data'!$B:$K, 3, 0)</f>
        <v>West</v>
      </c>
      <c r="E24" t="s">
        <v>101</v>
      </c>
      <c r="F24" s="39">
        <f>VLOOKUP($B24, 'Performance data'!$B:$K, 7, 0)</f>
        <v>2025</v>
      </c>
      <c r="G24" s="40"/>
      <c r="H24" s="39" t="str">
        <f>VLOOKUP($B24, 'Performance data'!$B:$K, 5, 0)</f>
        <v>NKD25</v>
      </c>
      <c r="I24" s="39" t="s">
        <v>45</v>
      </c>
      <c r="J24" s="4">
        <f t="shared" si="12"/>
        <v>8683.91</v>
      </c>
      <c r="K24" s="40">
        <v>12000</v>
      </c>
      <c r="M24" s="40" t="s">
        <v>74</v>
      </c>
      <c r="O24" s="2">
        <f>SUMIF('Performance data'!$B:$B, $B24,'Performance data'!K:K)</f>
        <v>0</v>
      </c>
      <c r="P24" s="2">
        <f>SUMIF('Performance data'!$B:$B, $B24,'Performance data'!L:L)</f>
        <v>8683.91</v>
      </c>
      <c r="Q24" s="2">
        <f>SUMIF('Performance data'!$B:$B, $B24,'Performance data'!M:M)</f>
        <v>0</v>
      </c>
      <c r="S24" s="41" t="e">
        <f t="shared" si="13"/>
        <v>#DIV/0!</v>
      </c>
      <c r="T24" s="41" t="e">
        <f t="shared" si="14"/>
        <v>#DIV/0!</v>
      </c>
      <c r="V24" s="2">
        <f>SUMIF('Performance data'!$B:$B, $B24,'Performance data'!Z:Z)</f>
        <v>0</v>
      </c>
      <c r="W24" s="2">
        <f>SUMIF('Performance data'!$B:$B, $B24,'Performance data'!AA:AA)</f>
        <v>0</v>
      </c>
      <c r="X24" s="2">
        <f>SUMIF('Performance data'!$B:$B, $B24,'Performance data'!AB:AB)</f>
        <v>0</v>
      </c>
      <c r="Y24" s="2">
        <f>SUMIF('Performance data'!$B:$B, $B24,'Performance data'!AD:AD)</f>
        <v>0</v>
      </c>
      <c r="Z24" s="2">
        <f t="shared" si="15"/>
        <v>8683.91</v>
      </c>
      <c r="AA24" s="2">
        <f t="shared" si="15"/>
        <v>12000</v>
      </c>
      <c r="AC24" s="41" t="e">
        <f t="shared" si="16"/>
        <v>#DIV/0!</v>
      </c>
      <c r="AD24" s="41" t="e">
        <f t="shared" si="17"/>
        <v>#DIV/0!</v>
      </c>
      <c r="AE24" s="41">
        <f t="shared" si="17"/>
        <v>0.38186600275682281</v>
      </c>
      <c r="AG24" s="34">
        <f t="shared" si="9"/>
        <v>960</v>
      </c>
      <c r="AH24" s="34">
        <f t="shared" si="9"/>
        <v>960</v>
      </c>
      <c r="AI24" s="34">
        <f t="shared" si="9"/>
        <v>1080</v>
      </c>
      <c r="AJ24" s="34">
        <f t="shared" si="9"/>
        <v>1080</v>
      </c>
      <c r="AK24" s="34">
        <f t="shared" si="9"/>
        <v>1080</v>
      </c>
      <c r="AL24" s="34">
        <f t="shared" si="9"/>
        <v>960</v>
      </c>
      <c r="AM24" s="34">
        <f t="shared" si="9"/>
        <v>960</v>
      </c>
      <c r="AN24" s="34">
        <f t="shared" si="9"/>
        <v>720</v>
      </c>
      <c r="AO24" s="34">
        <f t="shared" si="9"/>
        <v>1080</v>
      </c>
      <c r="AP24" s="34">
        <f t="shared" si="9"/>
        <v>1200</v>
      </c>
      <c r="AQ24" s="34">
        <f t="shared" si="9"/>
        <v>1080</v>
      </c>
      <c r="AR24" s="34">
        <f t="shared" si="9"/>
        <v>840.00000000000011</v>
      </c>
    </row>
    <row r="25" spans="2:58">
      <c r="B25" t="s">
        <v>83</v>
      </c>
      <c r="C25" t="s">
        <v>84</v>
      </c>
      <c r="D25" t="s">
        <v>18</v>
      </c>
      <c r="E25" t="s">
        <v>101</v>
      </c>
      <c r="F25" s="39">
        <v>2025</v>
      </c>
      <c r="H25" t="s">
        <v>83</v>
      </c>
      <c r="O25" s="2">
        <v>0</v>
      </c>
      <c r="P25" s="2">
        <v>0</v>
      </c>
      <c r="Q25" s="2">
        <f>SUMIFS('2025 budget doc'!$AC:$AC, '2025 budget doc'!$B:$B, "NKD25", '2025 budget doc'!$E:$E, $D25)</f>
        <v>106200</v>
      </c>
      <c r="S25" s="41" t="e">
        <f>$P25/O25-1</f>
        <v>#DIV/0!</v>
      </c>
      <c r="T25" s="41">
        <f>P25/Q25-1</f>
        <v>-1</v>
      </c>
      <c r="V25" s="2">
        <v>0</v>
      </c>
      <c r="W25" s="2">
        <v>0</v>
      </c>
      <c r="X25" s="2">
        <v>0</v>
      </c>
      <c r="Y25" s="2">
        <f>SUMIFS('2025 budget doc'!$L:$L, '2025 budget doc'!$B:$B, "NKD25", '2025 budget doc'!$E:$E, $D25)</f>
        <v>180000</v>
      </c>
      <c r="Z25" s="2">
        <f>J25</f>
        <v>0</v>
      </c>
      <c r="AA25" s="2">
        <f>K25</f>
        <v>0</v>
      </c>
      <c r="AC25" s="41" t="e">
        <f>Z25/X25-1</f>
        <v>#DIV/0!</v>
      </c>
      <c r="AD25" s="41">
        <f>Z25/Y25-1</f>
        <v>-1</v>
      </c>
      <c r="AE25" s="41" t="e">
        <f>AA25/Z25-1</f>
        <v>#DIV/0!</v>
      </c>
      <c r="AG25" s="34">
        <f t="shared" si="9"/>
        <v>0</v>
      </c>
      <c r="AH25" s="34">
        <f t="shared" si="9"/>
        <v>0</v>
      </c>
      <c r="AI25" s="34">
        <f t="shared" si="9"/>
        <v>0</v>
      </c>
      <c r="AJ25" s="34">
        <f t="shared" si="9"/>
        <v>0</v>
      </c>
      <c r="AK25" s="34">
        <f t="shared" si="9"/>
        <v>0</v>
      </c>
      <c r="AL25" s="34">
        <f t="shared" si="9"/>
        <v>0</v>
      </c>
      <c r="AM25" s="34">
        <f t="shared" si="9"/>
        <v>0</v>
      </c>
      <c r="AN25" s="34">
        <f t="shared" si="9"/>
        <v>0</v>
      </c>
      <c r="AO25" s="34">
        <f t="shared" si="9"/>
        <v>0</v>
      </c>
      <c r="AP25" s="34">
        <f t="shared" si="9"/>
        <v>0</v>
      </c>
      <c r="AQ25" s="34">
        <f t="shared" si="9"/>
        <v>0</v>
      </c>
      <c r="AR25" s="34">
        <f t="shared" si="9"/>
        <v>0</v>
      </c>
    </row>
    <row r="27" spans="2:58">
      <c r="B27" s="24" t="s">
        <v>85</v>
      </c>
      <c r="C27" s="24"/>
      <c r="D27" s="24"/>
      <c r="E27" s="24"/>
      <c r="F27" s="42"/>
      <c r="G27" s="44">
        <f>COUNTIF(G20:G24, "Yes")+G25</f>
        <v>0</v>
      </c>
      <c r="H27" s="42"/>
      <c r="I27" s="42"/>
      <c r="J27" s="44">
        <f>SUM(J20:J25)</f>
        <v>61067.790000000008</v>
      </c>
      <c r="K27" s="25">
        <f>SUM(K20:K25)</f>
        <v>77000</v>
      </c>
      <c r="L27" s="24"/>
      <c r="M27" s="24"/>
      <c r="N27" s="24"/>
      <c r="O27" s="25">
        <f>SUM(O20:O25)</f>
        <v>0</v>
      </c>
      <c r="P27" s="25">
        <f>SUM(P20:P25)</f>
        <v>61067.790000000008</v>
      </c>
      <c r="Q27" s="25">
        <f>SUM(Q20:Q25)</f>
        <v>106200</v>
      </c>
      <c r="R27" s="24"/>
      <c r="S27" s="43" t="e">
        <f>$P27/O27-1</f>
        <v>#DIV/0!</v>
      </c>
      <c r="T27" s="43">
        <f>P27/Q27-1</f>
        <v>-0.42497372881355922</v>
      </c>
      <c r="U27" s="24"/>
      <c r="V27" s="25">
        <f t="shared" ref="V27:AA27" si="18">SUM(V20:V25)</f>
        <v>0</v>
      </c>
      <c r="W27" s="25">
        <f t="shared" si="18"/>
        <v>0</v>
      </c>
      <c r="X27" s="25">
        <f t="shared" si="18"/>
        <v>0</v>
      </c>
      <c r="Y27" s="25">
        <f t="shared" si="18"/>
        <v>180000</v>
      </c>
      <c r="Z27" s="25">
        <f t="shared" si="18"/>
        <v>61067.790000000008</v>
      </c>
      <c r="AA27" s="25">
        <f t="shared" si="18"/>
        <v>77000</v>
      </c>
      <c r="AB27" s="24"/>
      <c r="AC27" s="43" t="e">
        <f>Z27/X27-1</f>
        <v>#DIV/0!</v>
      </c>
      <c r="AD27" s="43">
        <f>Z27/Y27-1</f>
        <v>-0.6607345</v>
      </c>
      <c r="AE27" s="43">
        <f>AA27/Z27-1</f>
        <v>0.26089383617779505</v>
      </c>
      <c r="AG27" s="25">
        <f t="shared" ref="AG27:AR27" si="19">SUM(AG20:AG25)</f>
        <v>6160</v>
      </c>
      <c r="AH27" s="25">
        <f t="shared" si="19"/>
        <v>6160</v>
      </c>
      <c r="AI27" s="25">
        <f t="shared" si="19"/>
        <v>6930</v>
      </c>
      <c r="AJ27" s="25">
        <f t="shared" si="19"/>
        <v>6930</v>
      </c>
      <c r="AK27" s="25">
        <f t="shared" si="19"/>
        <v>6930</v>
      </c>
      <c r="AL27" s="25">
        <f t="shared" si="19"/>
        <v>6160</v>
      </c>
      <c r="AM27" s="25">
        <f t="shared" si="19"/>
        <v>6160</v>
      </c>
      <c r="AN27" s="25">
        <f t="shared" si="19"/>
        <v>4620</v>
      </c>
      <c r="AO27" s="25">
        <f t="shared" si="19"/>
        <v>6930</v>
      </c>
      <c r="AP27" s="25">
        <f t="shared" si="19"/>
        <v>7700</v>
      </c>
      <c r="AQ27" s="25">
        <f t="shared" si="19"/>
        <v>6930</v>
      </c>
      <c r="AR27" s="25">
        <f t="shared" si="19"/>
        <v>5390</v>
      </c>
    </row>
    <row r="30" spans="2:58">
      <c r="AY30">
        <f>AV31</f>
        <v>1</v>
      </c>
      <c r="AZ30">
        <f>AW31</f>
        <v>1</v>
      </c>
      <c r="BA30">
        <f>AX31+AV31</f>
        <v>2</v>
      </c>
      <c r="BB30">
        <f>AY31+AW31</f>
        <v>1</v>
      </c>
      <c r="BC30">
        <f>AZ31+AX31+AV31</f>
        <v>3</v>
      </c>
      <c r="BD30">
        <f>BA31+AY31+AW31</f>
        <v>2</v>
      </c>
      <c r="BE30">
        <f>BB31+AZ31+AX31+AV31</f>
        <v>3</v>
      </c>
      <c r="BF30">
        <f>BC31+BA31+AY31+AW31</f>
        <v>3</v>
      </c>
    </row>
    <row r="31" spans="2:58">
      <c r="B31" t="s">
        <v>50</v>
      </c>
      <c r="C31" t="s">
        <v>86</v>
      </c>
      <c r="D31" t="s">
        <v>18</v>
      </c>
      <c r="E31" t="s">
        <v>101</v>
      </c>
      <c r="F31" s="39">
        <v>2026</v>
      </c>
      <c r="G31" s="40">
        <v>8</v>
      </c>
      <c r="H31" t="s">
        <v>50</v>
      </c>
      <c r="K31" s="33">
        <v>100000</v>
      </c>
      <c r="O31" s="2">
        <v>0</v>
      </c>
      <c r="P31" s="2">
        <v>0</v>
      </c>
      <c r="Q31" s="2">
        <v>0</v>
      </c>
      <c r="S31" s="41" t="e">
        <f>$P31/O31-1</f>
        <v>#DIV/0!</v>
      </c>
      <c r="T31" s="41" t="e">
        <f>P31/Q31-1</f>
        <v>#DIV/0!</v>
      </c>
      <c r="V31" s="2">
        <v>0</v>
      </c>
      <c r="W31" s="2">
        <v>0</v>
      </c>
      <c r="X31" s="2">
        <v>0</v>
      </c>
      <c r="Y31" s="2">
        <v>0</v>
      </c>
      <c r="Z31" s="2">
        <f>J31</f>
        <v>0</v>
      </c>
      <c r="AA31" s="2">
        <f>K31</f>
        <v>100000</v>
      </c>
      <c r="AC31" s="41" t="e">
        <f>Z31/X31-1</f>
        <v>#DIV/0!</v>
      </c>
      <c r="AD31" s="41" t="e">
        <f>Z31/Y31-1</f>
        <v>#DIV/0!</v>
      </c>
      <c r="AE31" s="41" t="e">
        <f>AA31/Z31-1</f>
        <v>#DIV/0!</v>
      </c>
      <c r="AG31">
        <f>AU31*5000+AU30*4000</f>
        <v>0</v>
      </c>
      <c r="AH31">
        <f t="shared" ref="AH31:AQ31" si="20">AV31*5000+AV30*4000</f>
        <v>5000</v>
      </c>
      <c r="AI31">
        <f t="shared" si="20"/>
        <v>5000</v>
      </c>
      <c r="AJ31">
        <f t="shared" si="20"/>
        <v>5000</v>
      </c>
      <c r="AK31">
        <f t="shared" si="20"/>
        <v>4000</v>
      </c>
      <c r="AL31">
        <f t="shared" si="20"/>
        <v>9000</v>
      </c>
      <c r="AM31">
        <f>BA31*5000+BA30*4000-2000</f>
        <v>11000</v>
      </c>
      <c r="AN31">
        <f t="shared" si="20"/>
        <v>4000</v>
      </c>
      <c r="AO31">
        <f t="shared" si="20"/>
        <v>17000</v>
      </c>
      <c r="AP31">
        <f t="shared" si="20"/>
        <v>13000</v>
      </c>
      <c r="AQ31">
        <f t="shared" si="20"/>
        <v>17000</v>
      </c>
      <c r="AR31">
        <f>BF31*5000+BF30*4000-2000</f>
        <v>10000</v>
      </c>
      <c r="AV31">
        <v>1</v>
      </c>
      <c r="AW31">
        <v>1</v>
      </c>
      <c r="AX31">
        <v>1</v>
      </c>
      <c r="AZ31">
        <v>1</v>
      </c>
      <c r="BA31">
        <v>1</v>
      </c>
      <c r="BC31">
        <v>1</v>
      </c>
      <c r="BD31">
        <v>1</v>
      </c>
      <c r="BE31">
        <v>1</v>
      </c>
    </row>
    <row r="33" spans="2:44">
      <c r="B33" s="24" t="s">
        <v>87</v>
      </c>
      <c r="C33" s="24"/>
      <c r="D33" s="24"/>
      <c r="E33" s="24"/>
      <c r="F33" s="42"/>
      <c r="G33" s="44">
        <f>COUNTIF(G30:G30, "Yes")+G31</f>
        <v>8</v>
      </c>
      <c r="H33" s="42"/>
      <c r="I33" s="42"/>
      <c r="J33" s="44">
        <f t="shared" ref="J33:K33" si="21">SUM(J30:J31)</f>
        <v>0</v>
      </c>
      <c r="K33" s="25">
        <f t="shared" si="21"/>
        <v>100000</v>
      </c>
      <c r="L33" s="24"/>
      <c r="M33" s="24"/>
      <c r="N33" s="24"/>
      <c r="O33" s="25">
        <f t="shared" ref="O33:Q33" si="22">SUM(O30:O31)</f>
        <v>0</v>
      </c>
      <c r="P33" s="25">
        <f t="shared" si="22"/>
        <v>0</v>
      </c>
      <c r="Q33" s="25">
        <f t="shared" si="22"/>
        <v>0</v>
      </c>
      <c r="R33" s="24"/>
      <c r="S33" s="43" t="e">
        <f>$P33/O33-1</f>
        <v>#DIV/0!</v>
      </c>
      <c r="T33" s="43" t="e">
        <f>P33/Q33-1</f>
        <v>#DIV/0!</v>
      </c>
      <c r="U33" s="24"/>
      <c r="V33" s="25">
        <f t="shared" ref="V33:AA33" si="23">SUM(V30:V31)</f>
        <v>0</v>
      </c>
      <c r="W33" s="25">
        <f t="shared" si="23"/>
        <v>0</v>
      </c>
      <c r="X33" s="25">
        <f t="shared" si="23"/>
        <v>0</v>
      </c>
      <c r="Y33" s="25">
        <f t="shared" si="23"/>
        <v>0</v>
      </c>
      <c r="Z33" s="25">
        <f t="shared" si="23"/>
        <v>0</v>
      </c>
      <c r="AA33" s="25">
        <f t="shared" si="23"/>
        <v>100000</v>
      </c>
      <c r="AB33" s="24"/>
      <c r="AC33" s="43" t="e">
        <f>Z33/X33-1</f>
        <v>#DIV/0!</v>
      </c>
      <c r="AD33" s="43" t="e">
        <f>Z33/Y33-1</f>
        <v>#DIV/0!</v>
      </c>
      <c r="AE33" s="43" t="e">
        <f>AA33/Z33-1</f>
        <v>#DIV/0!</v>
      </c>
      <c r="AG33" s="25">
        <f t="shared" ref="AG33:AR33" si="24">SUM(AG30:AG31)</f>
        <v>0</v>
      </c>
      <c r="AH33" s="25">
        <f t="shared" si="24"/>
        <v>5000</v>
      </c>
      <c r="AI33" s="25">
        <f t="shared" si="24"/>
        <v>5000</v>
      </c>
      <c r="AJ33" s="25">
        <f t="shared" si="24"/>
        <v>5000</v>
      </c>
      <c r="AK33" s="25">
        <f t="shared" si="24"/>
        <v>4000</v>
      </c>
      <c r="AL33" s="25">
        <f t="shared" si="24"/>
        <v>9000</v>
      </c>
      <c r="AM33" s="25">
        <f t="shared" si="24"/>
        <v>11000</v>
      </c>
      <c r="AN33" s="25">
        <f t="shared" si="24"/>
        <v>4000</v>
      </c>
      <c r="AO33" s="25">
        <f t="shared" si="24"/>
        <v>17000</v>
      </c>
      <c r="AP33" s="25">
        <f t="shared" si="24"/>
        <v>13000</v>
      </c>
      <c r="AQ33" s="25">
        <f t="shared" si="24"/>
        <v>17000</v>
      </c>
      <c r="AR33" s="25">
        <f t="shared" si="24"/>
        <v>10000</v>
      </c>
    </row>
  </sheetData>
  <phoneticPr fontId="5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FC460A0-982A-4E5A-B6C4-995DA9F9F488}">
          <x14:formula1>
            <xm:f>List!$B$2:$B$3</xm:f>
          </x14:formula1>
          <xm:sqref>G20:G24 G3:G15</xm:sqref>
        </x14:dataValidation>
        <x14:dataValidation type="list" allowBlank="1" showInputMessage="1" showErrorMessage="1" xr:uid="{E51D37AB-AAE1-484B-92E1-E04680E5DD16}">
          <x14:formula1>
            <xm:f>List!$D$2:$D$4</xm:f>
          </x14:formula1>
          <xm:sqref>M20:M24 M3:M15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9645-C959-4E9A-B165-164CFCEDCFF7}">
  <dimension ref="B1:BF29"/>
  <sheetViews>
    <sheetView showGridLines="0" workbookViewId="0">
      <pane xSplit="3" ySplit="2" topLeftCell="D3" activePane="bottomRight" state="frozen"/>
      <selection pane="bottomRight" activeCell="I21" sqref="I21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  <c r="AG1" s="29">
        <v>0.08</v>
      </c>
      <c r="AH1" s="29">
        <v>0.08</v>
      </c>
      <c r="AI1" s="29">
        <v>0.09</v>
      </c>
      <c r="AJ1" s="29">
        <v>0.09</v>
      </c>
      <c r="AK1" s="29">
        <v>0.09</v>
      </c>
      <c r="AL1" s="29">
        <v>0.08</v>
      </c>
      <c r="AM1" s="29">
        <v>0.08</v>
      </c>
      <c r="AN1" s="29">
        <v>0.06</v>
      </c>
      <c r="AO1" s="29">
        <v>0.09</v>
      </c>
      <c r="AP1" s="29">
        <v>0.1</v>
      </c>
      <c r="AQ1" s="29">
        <v>0.09</v>
      </c>
      <c r="AR1" s="29">
        <v>7.0000000000000007E-2</v>
      </c>
    </row>
    <row r="2" spans="2:44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62</v>
      </c>
      <c r="AA2" s="38" t="s">
        <v>4</v>
      </c>
      <c r="AB2" s="1"/>
      <c r="AC2" s="1" t="s">
        <v>68</v>
      </c>
      <c r="AD2" s="1" t="s">
        <v>69</v>
      </c>
      <c r="AE2" s="1" t="s">
        <v>71</v>
      </c>
      <c r="AG2" s="53">
        <v>46023</v>
      </c>
      <c r="AH2" s="53">
        <v>46054</v>
      </c>
      <c r="AI2" s="53">
        <v>46082</v>
      </c>
      <c r="AJ2" s="53">
        <v>46113</v>
      </c>
      <c r="AK2" s="53">
        <v>46143</v>
      </c>
      <c r="AL2" s="53">
        <v>46174</v>
      </c>
      <c r="AM2" s="53">
        <v>46204</v>
      </c>
      <c r="AN2" s="53">
        <v>46235</v>
      </c>
      <c r="AO2" s="53">
        <v>46266</v>
      </c>
      <c r="AP2" s="53">
        <v>46296</v>
      </c>
      <c r="AQ2" s="53">
        <v>46327</v>
      </c>
      <c r="AR2" s="53">
        <v>46357</v>
      </c>
    </row>
    <row r="3" spans="2:44">
      <c r="B3">
        <v>25010</v>
      </c>
      <c r="C3" t="s">
        <v>119</v>
      </c>
      <c r="D3" t="str">
        <f>VLOOKUP($B3, 'Performance data'!$B:$K, 3, 0)</f>
        <v>Southeast</v>
      </c>
      <c r="E3" t="s">
        <v>120</v>
      </c>
      <c r="F3" s="39">
        <f>VLOOKUP($B3, 'Performance data'!$B:$K, 7, 0)</f>
        <v>2022</v>
      </c>
      <c r="G3" s="40"/>
      <c r="H3" s="39" t="str">
        <f>VLOOKUP($B3, 'Performance data'!$B:$K, 5, 0)</f>
        <v>A</v>
      </c>
      <c r="I3" s="39" t="s">
        <v>37</v>
      </c>
      <c r="J3" s="4">
        <f>P3</f>
        <v>37341.279999999999</v>
      </c>
      <c r="K3" s="40">
        <v>45000</v>
      </c>
      <c r="M3" s="40" t="s">
        <v>74</v>
      </c>
      <c r="O3" s="2">
        <f>SUMIF('Performance data'!$B:$B, $B3,'Performance data'!K:K)</f>
        <v>45516.32</v>
      </c>
      <c r="P3" s="2">
        <f>SUMIF('Performance data'!$B:$B, $B3,'Performance data'!L:L)</f>
        <v>37341.279999999999</v>
      </c>
      <c r="Q3" s="2">
        <f>SUMIF('Performance data'!$B:$B, $B3,'Performance data'!M:M)</f>
        <v>50000</v>
      </c>
      <c r="S3" s="41">
        <f>$P3/O3-1</f>
        <v>-0.17960678719193468</v>
      </c>
      <c r="T3" s="41">
        <f t="shared" ref="T3:T14" si="0">P3/Q3-1</f>
        <v>-0.25317440000000002</v>
      </c>
      <c r="V3" s="2">
        <f>SUMIF('Performance data'!$B:$B, $B3,'Performance data'!Z:Z)</f>
        <v>54627.810000000005</v>
      </c>
      <c r="W3" s="2">
        <f>SUMIF('Performance data'!$B:$B, $B3,'Performance data'!AA:AA)</f>
        <v>53276.36</v>
      </c>
      <c r="X3" s="2">
        <f>SUMIF('Performance data'!$B:$B, $B3,'Performance data'!AB:AB)</f>
        <v>45516.32</v>
      </c>
      <c r="Y3" s="2">
        <f>SUMIF('Performance data'!$B:$B, $B3,'Performance data'!AD:AD)</f>
        <v>50000</v>
      </c>
      <c r="Z3" s="2">
        <f t="shared" ref="Z3:Z13" si="1">J3</f>
        <v>37341.279999999999</v>
      </c>
      <c r="AA3" s="2">
        <f t="shared" ref="AA3:AA13" si="2">K3</f>
        <v>45000</v>
      </c>
      <c r="AC3" s="41">
        <f t="shared" ref="AC3:AC14" si="3">Z3/X3-1</f>
        <v>-0.17960678719193468</v>
      </c>
      <c r="AD3" s="41">
        <f t="shared" ref="AD3:AD14" si="4">Z3/Y3-1</f>
        <v>-0.25317440000000002</v>
      </c>
      <c r="AE3" s="41">
        <f t="shared" ref="AE3:AE14" si="5">AA3/Z3-1</f>
        <v>0.20510062858048794</v>
      </c>
      <c r="AG3" s="34">
        <f>$AA3*AG$1</f>
        <v>3600</v>
      </c>
      <c r="AH3" s="34">
        <f>$AA3*AH$1</f>
        <v>3600</v>
      </c>
      <c r="AI3" s="34">
        <f>$AA3*AI$1</f>
        <v>4050</v>
      </c>
      <c r="AJ3" s="34">
        <f>$AA3*AJ$1</f>
        <v>4050</v>
      </c>
      <c r="AK3" s="34">
        <f>$AA3*AK$1</f>
        <v>4050</v>
      </c>
      <c r="AL3" s="34">
        <f>$AA3*AL$1</f>
        <v>3600</v>
      </c>
      <c r="AM3" s="34">
        <f>$AA3*AM$1</f>
        <v>3600</v>
      </c>
      <c r="AN3" s="34">
        <f>$AA3*AN$1</f>
        <v>2700</v>
      </c>
      <c r="AO3" s="34">
        <f>$AA3*AO$1</f>
        <v>4050</v>
      </c>
      <c r="AP3" s="34">
        <f>$AA3*AP$1</f>
        <v>4500</v>
      </c>
      <c r="AQ3" s="34">
        <f>$AA3*AQ$1</f>
        <v>4050</v>
      </c>
      <c r="AR3" s="34">
        <f>$AA3*AR$1</f>
        <v>3150.0000000000005</v>
      </c>
    </row>
    <row r="4" spans="2:44">
      <c r="B4">
        <v>25002</v>
      </c>
      <c r="C4" t="s">
        <v>121</v>
      </c>
      <c r="D4" t="str">
        <f>VLOOKUP($B4, 'Performance data'!$B:$K, 3, 0)</f>
        <v>Southeast</v>
      </c>
      <c r="E4" t="s">
        <v>120</v>
      </c>
      <c r="F4" s="39">
        <f>VLOOKUP($B4, 'Performance data'!$B:$K, 7, 0)</f>
        <v>2021</v>
      </c>
      <c r="G4" s="40"/>
      <c r="H4" s="39" t="str">
        <f>VLOOKUP($B4, 'Performance data'!$B:$K, 5, 0)</f>
        <v>B</v>
      </c>
      <c r="I4" s="39" t="s">
        <v>43</v>
      </c>
      <c r="J4" s="4">
        <f t="shared" ref="J4:J13" si="6">P4</f>
        <v>25700.67</v>
      </c>
      <c r="K4" s="40">
        <v>27000</v>
      </c>
      <c r="M4" s="40" t="s">
        <v>74</v>
      </c>
      <c r="O4" s="2">
        <f>SUMIF('Performance data'!$B:$B, $B4,'Performance data'!K:K)</f>
        <v>18065.78</v>
      </c>
      <c r="P4" s="2">
        <f>SUMIF('Performance data'!$B:$B, $B4,'Performance data'!L:L)</f>
        <v>25700.67</v>
      </c>
      <c r="Q4" s="2">
        <f>SUMIF('Performance data'!$B:$B, $B4,'Performance data'!M:M)</f>
        <v>20000</v>
      </c>
      <c r="S4" s="41">
        <f>$P4/O4-1</f>
        <v>0.42261612839301699</v>
      </c>
      <c r="T4" s="41">
        <f t="shared" si="0"/>
        <v>0.28503349999999994</v>
      </c>
      <c r="V4" s="2">
        <f>SUMIF('Performance data'!$B:$B, $B4,'Performance data'!Z:Z)</f>
        <v>16004.090000000002</v>
      </c>
      <c r="W4" s="2">
        <f>SUMIF('Performance data'!$B:$B, $B4,'Performance data'!AA:AA)</f>
        <v>7361.6400000000012</v>
      </c>
      <c r="X4" s="2">
        <f>SUMIF('Performance data'!$B:$B, $B4,'Performance data'!AB:AB)</f>
        <v>18065.78</v>
      </c>
      <c r="Y4" s="2">
        <f>SUMIF('Performance data'!$B:$B, $B4,'Performance data'!AD:AD)</f>
        <v>20000</v>
      </c>
      <c r="Z4" s="2">
        <f t="shared" si="1"/>
        <v>25700.67</v>
      </c>
      <c r="AA4" s="2">
        <f t="shared" si="2"/>
        <v>27000</v>
      </c>
      <c r="AC4" s="41">
        <f t="shared" si="3"/>
        <v>0.42261612839301699</v>
      </c>
      <c r="AD4" s="41">
        <f t="shared" si="4"/>
        <v>0.28503349999999994</v>
      </c>
      <c r="AE4" s="41">
        <f t="shared" si="5"/>
        <v>5.055626954472392E-2</v>
      </c>
      <c r="AG4" s="34">
        <f>$AA4*AG$1</f>
        <v>2160</v>
      </c>
      <c r="AH4" s="34">
        <f>$AA4*AH$1</f>
        <v>2160</v>
      </c>
      <c r="AI4" s="34">
        <f>$AA4*AI$1</f>
        <v>2430</v>
      </c>
      <c r="AJ4" s="34">
        <f>$AA4*AJ$1</f>
        <v>2430</v>
      </c>
      <c r="AK4" s="34">
        <f>$AA4*AK$1</f>
        <v>2430</v>
      </c>
      <c r="AL4" s="34">
        <f>$AA4*AL$1</f>
        <v>2160</v>
      </c>
      <c r="AM4" s="34">
        <f>$AA4*AM$1</f>
        <v>2160</v>
      </c>
      <c r="AN4" s="34">
        <f>$AA4*AN$1</f>
        <v>1620</v>
      </c>
      <c r="AO4" s="34">
        <f>$AA4*AO$1</f>
        <v>2430</v>
      </c>
      <c r="AP4" s="34">
        <f>$AA4*AP$1</f>
        <v>2700</v>
      </c>
      <c r="AQ4" s="34">
        <f>$AA4*AQ$1</f>
        <v>2430</v>
      </c>
      <c r="AR4" s="34">
        <f>$AA4*AR$1</f>
        <v>1890.0000000000002</v>
      </c>
    </row>
    <row r="5" spans="2:44">
      <c r="B5">
        <v>25016</v>
      </c>
      <c r="C5" t="s">
        <v>122</v>
      </c>
      <c r="D5" t="str">
        <f>VLOOKUP($B5, 'Performance data'!$B:$K, 3, 0)</f>
        <v>Southeast</v>
      </c>
      <c r="E5" t="s">
        <v>120</v>
      </c>
      <c r="F5" s="39">
        <f>VLOOKUP($B5, 'Performance data'!$B:$K, 7, 0)</f>
        <v>2022</v>
      </c>
      <c r="G5" s="40"/>
      <c r="H5" s="39" t="str">
        <f>VLOOKUP($B5, 'Performance data'!$B:$K, 5, 0)</f>
        <v>B</v>
      </c>
      <c r="I5" s="39" t="s">
        <v>47</v>
      </c>
      <c r="J5" s="4">
        <f t="shared" si="6"/>
        <v>3383.2200000000003</v>
      </c>
      <c r="K5" s="40">
        <v>5000</v>
      </c>
      <c r="M5" s="40" t="s">
        <v>76</v>
      </c>
      <c r="O5" s="2">
        <f>SUMIF('Performance data'!$B:$B, $B5,'Performance data'!K:K)</f>
        <v>11466.5</v>
      </c>
      <c r="P5" s="2">
        <f>SUMIF('Performance data'!$B:$B, $B5,'Performance data'!L:L)</f>
        <v>3383.2200000000003</v>
      </c>
      <c r="Q5" s="2">
        <f>SUMIF('Performance data'!$B:$B, $B5,'Performance data'!M:M)</f>
        <v>12000</v>
      </c>
      <c r="S5" s="41">
        <f>$P5/O5-1</f>
        <v>-0.70494745563162253</v>
      </c>
      <c r="T5" s="41">
        <f t="shared" si="0"/>
        <v>-0.71806499999999995</v>
      </c>
      <c r="V5" s="2">
        <f>SUMIF('Performance data'!$B:$B, $B5,'Performance data'!Z:Z)</f>
        <v>11106.15</v>
      </c>
      <c r="W5" s="2">
        <f>SUMIF('Performance data'!$B:$B, $B5,'Performance data'!AA:AA)</f>
        <v>7571.13</v>
      </c>
      <c r="X5" s="2">
        <f>SUMIF('Performance data'!$B:$B, $B5,'Performance data'!AB:AB)</f>
        <v>11466.5</v>
      </c>
      <c r="Y5" s="2">
        <f>SUMIF('Performance data'!$B:$B, $B5,'Performance data'!AD:AD)</f>
        <v>12000</v>
      </c>
      <c r="Z5" s="2">
        <f t="shared" si="1"/>
        <v>3383.2200000000003</v>
      </c>
      <c r="AA5" s="2">
        <f t="shared" si="2"/>
        <v>5000</v>
      </c>
      <c r="AC5" s="41">
        <f t="shared" si="3"/>
        <v>-0.70494745563162253</v>
      </c>
      <c r="AD5" s="41">
        <f t="shared" si="4"/>
        <v>-0.71806499999999995</v>
      </c>
      <c r="AE5" s="41">
        <f t="shared" si="5"/>
        <v>0.47788201772276095</v>
      </c>
      <c r="AG5" s="34">
        <f>$AA5*AG$1</f>
        <v>400</v>
      </c>
      <c r="AH5" s="34">
        <f>$AA5*AH$1</f>
        <v>400</v>
      </c>
      <c r="AI5" s="34">
        <f>$AA5*AI$1</f>
        <v>450</v>
      </c>
      <c r="AJ5" s="34">
        <f>$AA5*AJ$1</f>
        <v>450</v>
      </c>
      <c r="AK5" s="34">
        <f>$AA5*AK$1</f>
        <v>450</v>
      </c>
      <c r="AL5" s="34">
        <f>$AA5*AL$1</f>
        <v>400</v>
      </c>
      <c r="AM5" s="34">
        <f>$AA5*AM$1</f>
        <v>400</v>
      </c>
      <c r="AN5" s="34">
        <f>$AA5*AN$1</f>
        <v>300</v>
      </c>
      <c r="AO5" s="34">
        <f>$AA5*AO$1</f>
        <v>450</v>
      </c>
      <c r="AP5" s="34">
        <f>$AA5*AP$1</f>
        <v>500</v>
      </c>
      <c r="AQ5" s="34">
        <f>$AA5*AQ$1</f>
        <v>450</v>
      </c>
      <c r="AR5" s="34">
        <f>$AA5*AR$1</f>
        <v>350.00000000000006</v>
      </c>
    </row>
    <row r="6" spans="2:44">
      <c r="B6">
        <v>25026</v>
      </c>
      <c r="C6" t="s">
        <v>123</v>
      </c>
      <c r="D6" t="str">
        <f>VLOOKUP($B6, 'Performance data'!$B:$K, 3, 0)</f>
        <v>Southeast</v>
      </c>
      <c r="E6" t="s">
        <v>120</v>
      </c>
      <c r="F6" s="39">
        <f>VLOOKUP($B6, 'Performance data'!$B:$K, 7, 0)</f>
        <v>2023</v>
      </c>
      <c r="G6" s="40"/>
      <c r="H6" s="39" t="str">
        <f>VLOOKUP($B6, 'Performance data'!$B:$K, 5, 0)</f>
        <v>C</v>
      </c>
      <c r="I6" s="39" t="s">
        <v>47</v>
      </c>
      <c r="J6" s="4">
        <f t="shared" si="6"/>
        <v>3885.2</v>
      </c>
      <c r="K6" s="40">
        <v>5000</v>
      </c>
      <c r="M6" s="40" t="s">
        <v>76</v>
      </c>
      <c r="O6" s="2">
        <f>SUMIF('Performance data'!$B:$B, $B6,'Performance data'!K:K)</f>
        <v>3224.75</v>
      </c>
      <c r="P6" s="2">
        <f>SUMIF('Performance data'!$B:$B, $B6,'Performance data'!L:L)</f>
        <v>3885.2</v>
      </c>
      <c r="Q6" s="2">
        <f>SUMIF('Performance data'!$B:$B, $B6,'Performance data'!M:M)</f>
        <v>5000</v>
      </c>
      <c r="S6" s="41">
        <f>$P6/O6-1</f>
        <v>0.20480657415303516</v>
      </c>
      <c r="T6" s="41">
        <f t="shared" si="0"/>
        <v>-0.22296000000000005</v>
      </c>
      <c r="V6" s="2">
        <f>SUMIF('Performance data'!$B:$B, $B6,'Performance data'!Z:Z)</f>
        <v>0</v>
      </c>
      <c r="W6" s="2">
        <f>SUMIF('Performance data'!$B:$B, $B6,'Performance data'!AA:AA)</f>
        <v>10735.11</v>
      </c>
      <c r="X6" s="2">
        <f>SUMIF('Performance data'!$B:$B, $B6,'Performance data'!AB:AB)</f>
        <v>3224.75</v>
      </c>
      <c r="Y6" s="2">
        <f>SUMIF('Performance data'!$B:$B, $B6,'Performance data'!AD:AD)</f>
        <v>5000</v>
      </c>
      <c r="Z6" s="2">
        <f t="shared" si="1"/>
        <v>3885.2</v>
      </c>
      <c r="AA6" s="2">
        <f t="shared" si="2"/>
        <v>5000</v>
      </c>
      <c r="AC6" s="41">
        <f t="shared" si="3"/>
        <v>0.20480657415303516</v>
      </c>
      <c r="AD6" s="41">
        <f t="shared" si="4"/>
        <v>-0.22296000000000005</v>
      </c>
      <c r="AE6" s="41">
        <f t="shared" si="5"/>
        <v>0.28693503551940713</v>
      </c>
      <c r="AG6" s="34">
        <f>$AA6*AG$1</f>
        <v>400</v>
      </c>
      <c r="AH6" s="34">
        <f>$AA6*AH$1</f>
        <v>400</v>
      </c>
      <c r="AI6" s="34">
        <f>$AA6*AI$1</f>
        <v>450</v>
      </c>
      <c r="AJ6" s="34">
        <f>$AA6*AJ$1</f>
        <v>450</v>
      </c>
      <c r="AK6" s="34">
        <f>$AA6*AK$1</f>
        <v>450</v>
      </c>
      <c r="AL6" s="34">
        <f>$AA6*AL$1</f>
        <v>400</v>
      </c>
      <c r="AM6" s="34">
        <f>$AA6*AM$1</f>
        <v>400</v>
      </c>
      <c r="AN6" s="34">
        <f>$AA6*AN$1</f>
        <v>300</v>
      </c>
      <c r="AO6" s="34">
        <f>$AA6*AO$1</f>
        <v>450</v>
      </c>
      <c r="AP6" s="34">
        <f>$AA6*AP$1</f>
        <v>500</v>
      </c>
      <c r="AQ6" s="34">
        <f>$AA6*AQ$1</f>
        <v>450</v>
      </c>
      <c r="AR6" s="34">
        <f>$AA6*AR$1</f>
        <v>350.00000000000006</v>
      </c>
    </row>
    <row r="7" spans="2:44">
      <c r="B7">
        <v>25029</v>
      </c>
      <c r="C7" t="s">
        <v>124</v>
      </c>
      <c r="D7" t="str">
        <f>VLOOKUP($B7, 'Performance data'!$B:$K, 3, 0)</f>
        <v>Southeast</v>
      </c>
      <c r="E7" t="s">
        <v>120</v>
      </c>
      <c r="F7" s="39">
        <f>VLOOKUP($B7, 'Performance data'!$B:$K, 7, 0)</f>
        <v>2023</v>
      </c>
      <c r="G7" s="40"/>
      <c r="H7" s="39" t="str">
        <f>VLOOKUP($B7, 'Performance data'!$B:$K, 5, 0)</f>
        <v>C</v>
      </c>
      <c r="I7" s="39" t="s">
        <v>47</v>
      </c>
      <c r="J7" s="4">
        <f t="shared" si="6"/>
        <v>4862.18</v>
      </c>
      <c r="K7" s="40">
        <v>5000</v>
      </c>
      <c r="M7" s="40" t="s">
        <v>76</v>
      </c>
      <c r="O7" s="2">
        <f>SUMIF('Performance data'!$B:$B, $B7,'Performance data'!K:K)</f>
        <v>7659.2600000000011</v>
      </c>
      <c r="P7" s="2">
        <f>SUMIF('Performance data'!$B:$B, $B7,'Performance data'!L:L)</f>
        <v>4862.18</v>
      </c>
      <c r="Q7" s="2">
        <f>SUMIF('Performance data'!$B:$B, $B7,'Performance data'!M:M)</f>
        <v>8000</v>
      </c>
      <c r="S7" s="41">
        <f>$P7/O7-1</f>
        <v>-0.36518932638401103</v>
      </c>
      <c r="T7" s="41">
        <f t="shared" si="0"/>
        <v>-0.39222749999999995</v>
      </c>
      <c r="V7" s="2">
        <f>SUMIF('Performance data'!$B:$B, $B7,'Performance data'!Z:Z)</f>
        <v>0</v>
      </c>
      <c r="W7" s="2">
        <f>SUMIF('Performance data'!$B:$B, $B7,'Performance data'!AA:AA)</f>
        <v>3872.89</v>
      </c>
      <c r="X7" s="2">
        <f>SUMIF('Performance data'!$B:$B, $B7,'Performance data'!AB:AB)</f>
        <v>7659.2600000000011</v>
      </c>
      <c r="Y7" s="2">
        <f>SUMIF('Performance data'!$B:$B, $B7,'Performance data'!AD:AD)</f>
        <v>8000</v>
      </c>
      <c r="Z7" s="2">
        <f t="shared" si="1"/>
        <v>4862.18</v>
      </c>
      <c r="AA7" s="2">
        <f t="shared" si="2"/>
        <v>5000</v>
      </c>
      <c r="AC7" s="41">
        <f t="shared" si="3"/>
        <v>-0.36518932638401103</v>
      </c>
      <c r="AD7" s="41">
        <f t="shared" si="4"/>
        <v>-0.39222749999999995</v>
      </c>
      <c r="AE7" s="41">
        <f t="shared" si="5"/>
        <v>2.8345310128378598E-2</v>
      </c>
      <c r="AG7" s="34">
        <f>$AA7*AG$1</f>
        <v>400</v>
      </c>
      <c r="AH7" s="34">
        <f>$AA7*AH$1</f>
        <v>400</v>
      </c>
      <c r="AI7" s="34">
        <f>$AA7*AI$1</f>
        <v>450</v>
      </c>
      <c r="AJ7" s="34">
        <f>$AA7*AJ$1</f>
        <v>450</v>
      </c>
      <c r="AK7" s="34">
        <f>$AA7*AK$1</f>
        <v>450</v>
      </c>
      <c r="AL7" s="34">
        <f>$AA7*AL$1</f>
        <v>400</v>
      </c>
      <c r="AM7" s="34">
        <f>$AA7*AM$1</f>
        <v>400</v>
      </c>
      <c r="AN7" s="34">
        <f>$AA7*AN$1</f>
        <v>300</v>
      </c>
      <c r="AO7" s="34">
        <f>$AA7*AO$1</f>
        <v>450</v>
      </c>
      <c r="AP7" s="34">
        <f>$AA7*AP$1</f>
        <v>500</v>
      </c>
      <c r="AQ7" s="34">
        <f>$AA7*AQ$1</f>
        <v>450</v>
      </c>
      <c r="AR7" s="34">
        <f>$AA7*AR$1</f>
        <v>350.00000000000006</v>
      </c>
    </row>
    <row r="8" spans="2:44">
      <c r="B8">
        <v>25040</v>
      </c>
      <c r="C8" t="s">
        <v>125</v>
      </c>
      <c r="D8" t="str">
        <f>VLOOKUP($B8, 'Performance data'!$B:$K, 3, 0)</f>
        <v>Southeast</v>
      </c>
      <c r="E8" t="s">
        <v>120</v>
      </c>
      <c r="F8" s="39">
        <f>VLOOKUP($B8, 'Performance data'!$B:$K, 7, 0)</f>
        <v>2023</v>
      </c>
      <c r="G8" s="40"/>
      <c r="H8" s="39" t="str">
        <f>VLOOKUP($B8, 'Performance data'!$B:$K, 5, 0)</f>
        <v>C</v>
      </c>
      <c r="I8" s="39" t="s">
        <v>45</v>
      </c>
      <c r="J8" s="4">
        <f t="shared" si="6"/>
        <v>9408.99</v>
      </c>
      <c r="K8" s="40">
        <v>10000</v>
      </c>
      <c r="M8" s="40" t="s">
        <v>76</v>
      </c>
      <c r="O8" s="2">
        <f>SUMIF('Performance data'!$B:$B, $B8,'Performance data'!K:K)</f>
        <v>7421.0599999999995</v>
      </c>
      <c r="P8" s="2">
        <f>SUMIF('Performance data'!$B:$B, $B8,'Performance data'!L:L)</f>
        <v>9408.99</v>
      </c>
      <c r="Q8" s="2">
        <f>SUMIF('Performance data'!$B:$B, $B8,'Performance data'!M:M)</f>
        <v>8000</v>
      </c>
      <c r="S8" s="41">
        <f>$P8/O8-1</f>
        <v>0.26787682622159115</v>
      </c>
      <c r="T8" s="41">
        <f t="shared" si="0"/>
        <v>0.17612374999999991</v>
      </c>
      <c r="V8" s="2">
        <f>SUMIF('Performance data'!$B:$B, $B8,'Performance data'!Z:Z)</f>
        <v>0</v>
      </c>
      <c r="W8" s="2">
        <f>SUMIF('Performance data'!$B:$B, $B8,'Performance data'!AA:AA)</f>
        <v>6216.36</v>
      </c>
      <c r="X8" s="2">
        <f>SUMIF('Performance data'!$B:$B, $B8,'Performance data'!AB:AB)</f>
        <v>7421.0599999999995</v>
      </c>
      <c r="Y8" s="2">
        <f>SUMIF('Performance data'!$B:$B, $B8,'Performance data'!AD:AD)</f>
        <v>8000</v>
      </c>
      <c r="Z8" s="2">
        <f t="shared" si="1"/>
        <v>9408.99</v>
      </c>
      <c r="AA8" s="2">
        <f t="shared" si="2"/>
        <v>10000</v>
      </c>
      <c r="AC8" s="41">
        <f t="shared" si="3"/>
        <v>0.26787682622159115</v>
      </c>
      <c r="AD8" s="41">
        <f t="shared" si="4"/>
        <v>0.17612374999999991</v>
      </c>
      <c r="AE8" s="41">
        <f t="shared" si="5"/>
        <v>6.2813330655043798E-2</v>
      </c>
      <c r="AG8" s="34">
        <f>$AA8*AG$1</f>
        <v>800</v>
      </c>
      <c r="AH8" s="34">
        <f>$AA8*AH$1</f>
        <v>800</v>
      </c>
      <c r="AI8" s="34">
        <f>$AA8*AI$1</f>
        <v>900</v>
      </c>
      <c r="AJ8" s="34">
        <f>$AA8*AJ$1</f>
        <v>900</v>
      </c>
      <c r="AK8" s="34">
        <f>$AA8*AK$1</f>
        <v>900</v>
      </c>
      <c r="AL8" s="34">
        <f>$AA8*AL$1</f>
        <v>800</v>
      </c>
      <c r="AM8" s="34">
        <f>$AA8*AM$1</f>
        <v>800</v>
      </c>
      <c r="AN8" s="34">
        <f>$AA8*AN$1</f>
        <v>600</v>
      </c>
      <c r="AO8" s="34">
        <f>$AA8*AO$1</f>
        <v>900</v>
      </c>
      <c r="AP8" s="34">
        <f>$AA8*AP$1</f>
        <v>1000</v>
      </c>
      <c r="AQ8" s="34">
        <f>$AA8*AQ$1</f>
        <v>900</v>
      </c>
      <c r="AR8" s="34">
        <f>$AA8*AR$1</f>
        <v>700.00000000000011</v>
      </c>
    </row>
    <row r="9" spans="2:44">
      <c r="B9">
        <v>25043</v>
      </c>
      <c r="C9" t="s">
        <v>126</v>
      </c>
      <c r="D9" t="str">
        <f>VLOOKUP($B9, 'Performance data'!$B:$K, 3, 0)</f>
        <v>Southeast</v>
      </c>
      <c r="E9" t="s">
        <v>120</v>
      </c>
      <c r="F9" s="39">
        <f>VLOOKUP($B9, 'Performance data'!$B:$K, 7, 0)</f>
        <v>2023</v>
      </c>
      <c r="G9" s="40"/>
      <c r="H9" s="39" t="str">
        <f>VLOOKUP($B9, 'Performance data'!$B:$K, 5, 0)</f>
        <v>C</v>
      </c>
      <c r="I9" s="39" t="s">
        <v>47</v>
      </c>
      <c r="J9" s="4">
        <f t="shared" si="6"/>
        <v>3635</v>
      </c>
      <c r="K9" s="40">
        <v>5000</v>
      </c>
      <c r="M9" s="40" t="s">
        <v>76</v>
      </c>
      <c r="O9" s="2">
        <f>SUMIF('Performance data'!$B:$B, $B9,'Performance data'!K:K)</f>
        <v>2916</v>
      </c>
      <c r="P9" s="2">
        <f>SUMIF('Performance data'!$B:$B, $B9,'Performance data'!L:L)</f>
        <v>3635</v>
      </c>
      <c r="Q9" s="2">
        <f>SUMIF('Performance data'!$B:$B, $B9,'Performance data'!M:M)</f>
        <v>3000</v>
      </c>
      <c r="S9" s="41">
        <f>$P9/O9-1</f>
        <v>0.24657064471879298</v>
      </c>
      <c r="T9" s="41">
        <f t="shared" si="0"/>
        <v>0.21166666666666667</v>
      </c>
      <c r="V9" s="2">
        <f>SUMIF('Performance data'!$B:$B, $B9,'Performance data'!Z:Z)</f>
        <v>0</v>
      </c>
      <c r="W9" s="2">
        <f>SUMIF('Performance data'!$B:$B, $B9,'Performance data'!AA:AA)</f>
        <v>1212</v>
      </c>
      <c r="X9" s="2">
        <f>SUMIF('Performance data'!$B:$B, $B9,'Performance data'!AB:AB)</f>
        <v>2916</v>
      </c>
      <c r="Y9" s="2">
        <f>SUMIF('Performance data'!$B:$B, $B9,'Performance data'!AD:AD)</f>
        <v>3000</v>
      </c>
      <c r="Z9" s="2">
        <f t="shared" si="1"/>
        <v>3635</v>
      </c>
      <c r="AA9" s="2">
        <f t="shared" si="2"/>
        <v>5000</v>
      </c>
      <c r="AC9" s="41">
        <f t="shared" si="3"/>
        <v>0.24657064471879298</v>
      </c>
      <c r="AD9" s="41">
        <f t="shared" si="4"/>
        <v>0.21166666666666667</v>
      </c>
      <c r="AE9" s="41">
        <f t="shared" si="5"/>
        <v>0.37551581843191206</v>
      </c>
      <c r="AG9" s="34">
        <f>$AA9*AG$1</f>
        <v>400</v>
      </c>
      <c r="AH9" s="34">
        <f>$AA9*AH$1</f>
        <v>400</v>
      </c>
      <c r="AI9" s="34">
        <f>$AA9*AI$1</f>
        <v>450</v>
      </c>
      <c r="AJ9" s="34">
        <f>$AA9*AJ$1</f>
        <v>450</v>
      </c>
      <c r="AK9" s="34">
        <f>$AA9*AK$1</f>
        <v>450</v>
      </c>
      <c r="AL9" s="34">
        <f>$AA9*AL$1</f>
        <v>400</v>
      </c>
      <c r="AM9" s="34">
        <f>$AA9*AM$1</f>
        <v>400</v>
      </c>
      <c r="AN9" s="34">
        <f>$AA9*AN$1</f>
        <v>300</v>
      </c>
      <c r="AO9" s="34">
        <f>$AA9*AO$1</f>
        <v>450</v>
      </c>
      <c r="AP9" s="34">
        <f>$AA9*AP$1</f>
        <v>500</v>
      </c>
      <c r="AQ9" s="34">
        <f>$AA9*AQ$1</f>
        <v>450</v>
      </c>
      <c r="AR9" s="34">
        <f>$AA9*AR$1</f>
        <v>350.00000000000006</v>
      </c>
    </row>
    <row r="10" spans="2:44">
      <c r="B10">
        <v>25008</v>
      </c>
      <c r="C10" t="s">
        <v>127</v>
      </c>
      <c r="D10" t="str">
        <f>VLOOKUP($B10, 'Performance data'!$B:$K, 3, 0)</f>
        <v>Southeast</v>
      </c>
      <c r="E10" t="s">
        <v>120</v>
      </c>
      <c r="F10" s="39">
        <f>VLOOKUP($B10, 'Performance data'!$B:$K, 7, 0)</f>
        <v>2021</v>
      </c>
      <c r="G10" s="40"/>
      <c r="H10" s="39" t="str">
        <f>VLOOKUP($B10, 'Performance data'!$B:$K, 5, 0)</f>
        <v>N/A</v>
      </c>
      <c r="I10" s="39" t="s">
        <v>31</v>
      </c>
      <c r="J10" s="4">
        <f t="shared" si="6"/>
        <v>0</v>
      </c>
      <c r="K10" s="40"/>
      <c r="M10" s="40" t="s">
        <v>89</v>
      </c>
      <c r="O10" s="2">
        <f>SUMIF('Performance data'!$B:$B, $B10,'Performance data'!K:K)</f>
        <v>0</v>
      </c>
      <c r="P10" s="2">
        <f>SUMIF('Performance data'!$B:$B, $B10,'Performance data'!L:L)</f>
        <v>0</v>
      </c>
      <c r="Q10" s="2">
        <f>SUMIF('Performance data'!$B:$B, $B10,'Performance data'!M:M)</f>
        <v>0</v>
      </c>
      <c r="S10" s="41" t="e">
        <f>$P10/O10-1</f>
        <v>#DIV/0!</v>
      </c>
      <c r="T10" s="41" t="e">
        <f t="shared" si="0"/>
        <v>#DIV/0!</v>
      </c>
      <c r="V10" s="2">
        <f>SUMIF('Performance data'!$B:$B, $B10,'Performance data'!Z:Z)</f>
        <v>1083</v>
      </c>
      <c r="W10" s="2">
        <f>SUMIF('Performance data'!$B:$B, $B10,'Performance data'!AA:AA)</f>
        <v>1129.5</v>
      </c>
      <c r="X10" s="2">
        <f>SUMIF('Performance data'!$B:$B, $B10,'Performance data'!AB:AB)</f>
        <v>0</v>
      </c>
      <c r="Y10" s="2">
        <f>SUMIF('Performance data'!$B:$B, $B10,'Performance data'!AD:AD)</f>
        <v>0</v>
      </c>
      <c r="Z10" s="2">
        <f t="shared" si="1"/>
        <v>0</v>
      </c>
      <c r="AA10" s="2">
        <f t="shared" si="2"/>
        <v>0</v>
      </c>
      <c r="AC10" s="41" t="e">
        <f t="shared" si="3"/>
        <v>#DIV/0!</v>
      </c>
      <c r="AD10" s="41" t="e">
        <f t="shared" si="4"/>
        <v>#DIV/0!</v>
      </c>
      <c r="AE10" s="41" t="e">
        <f t="shared" si="5"/>
        <v>#DIV/0!</v>
      </c>
      <c r="AG10" s="34">
        <f>$AA10*AG$1</f>
        <v>0</v>
      </c>
      <c r="AH10" s="34">
        <f>$AA10*AH$1</f>
        <v>0</v>
      </c>
      <c r="AI10" s="34">
        <f>$AA10*AI$1</f>
        <v>0</v>
      </c>
      <c r="AJ10" s="34">
        <f>$AA10*AJ$1</f>
        <v>0</v>
      </c>
      <c r="AK10" s="34">
        <f>$AA10*AK$1</f>
        <v>0</v>
      </c>
      <c r="AL10" s="34">
        <f>$AA10*AL$1</f>
        <v>0</v>
      </c>
      <c r="AM10" s="34">
        <f>$AA10*AM$1</f>
        <v>0</v>
      </c>
      <c r="AN10" s="34">
        <f>$AA10*AN$1</f>
        <v>0</v>
      </c>
      <c r="AO10" s="34">
        <f>$AA10*AO$1</f>
        <v>0</v>
      </c>
      <c r="AP10" s="34">
        <f>$AA10*AP$1</f>
        <v>0</v>
      </c>
      <c r="AQ10" s="34">
        <f>$AA10*AQ$1</f>
        <v>0</v>
      </c>
      <c r="AR10" s="34">
        <f>$AA10*AR$1</f>
        <v>0</v>
      </c>
    </row>
    <row r="11" spans="2:44">
      <c r="B11">
        <v>25024</v>
      </c>
      <c r="C11" t="s">
        <v>128</v>
      </c>
      <c r="D11" t="str">
        <f>VLOOKUP($B11, 'Performance data'!$B:$K, 3, 0)</f>
        <v>Southeast</v>
      </c>
      <c r="E11" t="s">
        <v>120</v>
      </c>
      <c r="F11" s="39">
        <f>VLOOKUP($B11, 'Performance data'!$B:$K, 7, 0)</f>
        <v>2022</v>
      </c>
      <c r="G11" s="40"/>
      <c r="H11" s="39" t="str">
        <f>VLOOKUP($B11, 'Performance data'!$B:$K, 5, 0)</f>
        <v>N/A</v>
      </c>
      <c r="I11" s="39" t="s">
        <v>31</v>
      </c>
      <c r="J11" s="4">
        <f t="shared" si="6"/>
        <v>0</v>
      </c>
      <c r="K11" s="40"/>
      <c r="M11" s="40" t="s">
        <v>89</v>
      </c>
      <c r="O11" s="2">
        <f>SUMIF('Performance data'!$B:$B, $B11,'Performance data'!K:K)</f>
        <v>0</v>
      </c>
      <c r="P11" s="2">
        <f>SUMIF('Performance data'!$B:$B, $B11,'Performance data'!L:L)</f>
        <v>0</v>
      </c>
      <c r="Q11" s="2">
        <f>SUMIF('Performance data'!$B:$B, $B11,'Performance data'!M:M)</f>
        <v>0</v>
      </c>
      <c r="S11" s="41" t="e">
        <f>$P11/O11-1</f>
        <v>#DIV/0!</v>
      </c>
      <c r="T11" s="41" t="e">
        <f t="shared" si="0"/>
        <v>#DIV/0!</v>
      </c>
      <c r="V11" s="2">
        <f>SUMIF('Performance data'!$B:$B, $B11,'Performance data'!Z:Z)</f>
        <v>7009.6</v>
      </c>
      <c r="W11" s="2">
        <f>SUMIF('Performance data'!$B:$B, $B11,'Performance data'!AA:AA)</f>
        <v>2544.2400000000002</v>
      </c>
      <c r="X11" s="2">
        <f>SUMIF('Performance data'!$B:$B, $B11,'Performance data'!AB:AB)</f>
        <v>0</v>
      </c>
      <c r="Y11" s="2">
        <f>SUMIF('Performance data'!$B:$B, $B11,'Performance data'!AD:AD)</f>
        <v>0</v>
      </c>
      <c r="Z11" s="2">
        <f t="shared" si="1"/>
        <v>0</v>
      </c>
      <c r="AA11" s="2">
        <f t="shared" si="2"/>
        <v>0</v>
      </c>
      <c r="AC11" s="41" t="e">
        <f t="shared" si="3"/>
        <v>#DIV/0!</v>
      </c>
      <c r="AD11" s="41" t="e">
        <f t="shared" si="4"/>
        <v>#DIV/0!</v>
      </c>
      <c r="AE11" s="41" t="e">
        <f t="shared" si="5"/>
        <v>#DIV/0!</v>
      </c>
      <c r="AG11" s="34">
        <f>$AA11*AG$1</f>
        <v>0</v>
      </c>
      <c r="AH11" s="34">
        <f>$AA11*AH$1</f>
        <v>0</v>
      </c>
      <c r="AI11" s="34">
        <f>$AA11*AI$1</f>
        <v>0</v>
      </c>
      <c r="AJ11" s="34">
        <f>$AA11*AJ$1</f>
        <v>0</v>
      </c>
      <c r="AK11" s="34">
        <f>$AA11*AK$1</f>
        <v>0</v>
      </c>
      <c r="AL11" s="34">
        <f>$AA11*AL$1</f>
        <v>0</v>
      </c>
      <c r="AM11" s="34">
        <f>$AA11*AM$1</f>
        <v>0</v>
      </c>
      <c r="AN11" s="34">
        <f>$AA11*AN$1</f>
        <v>0</v>
      </c>
      <c r="AO11" s="34">
        <f>$AA11*AO$1</f>
        <v>0</v>
      </c>
      <c r="AP11" s="34">
        <f>$AA11*AP$1</f>
        <v>0</v>
      </c>
      <c r="AQ11" s="34">
        <f>$AA11*AQ$1</f>
        <v>0</v>
      </c>
      <c r="AR11" s="34">
        <f>$AA11*AR$1</f>
        <v>0</v>
      </c>
    </row>
    <row r="12" spans="2:44">
      <c r="B12">
        <v>25047</v>
      </c>
      <c r="C12" t="s">
        <v>129</v>
      </c>
      <c r="D12" t="str">
        <f>VLOOKUP($B12, 'Performance data'!$B:$K, 3, 0)</f>
        <v>Southeast</v>
      </c>
      <c r="E12" t="s">
        <v>120</v>
      </c>
      <c r="F12" s="39">
        <f>VLOOKUP($B12, 'Performance data'!$B:$K, 7, 0)</f>
        <v>2024</v>
      </c>
      <c r="G12" s="40"/>
      <c r="H12" s="39" t="str">
        <f>VLOOKUP($B12, 'Performance data'!$B:$K, 5, 0)</f>
        <v>NKD24</v>
      </c>
      <c r="I12" s="39" t="s">
        <v>41</v>
      </c>
      <c r="J12" s="4">
        <f t="shared" si="6"/>
        <v>29214.710000000003</v>
      </c>
      <c r="K12" s="40">
        <v>35000</v>
      </c>
      <c r="M12" s="40" t="s">
        <v>74</v>
      </c>
      <c r="O12" s="2">
        <f>SUMIF('Performance data'!$B:$B, $B12,'Performance data'!K:K)</f>
        <v>37356.629999999997</v>
      </c>
      <c r="P12" s="2">
        <f>SUMIF('Performance data'!$B:$B, $B12,'Performance data'!L:L)</f>
        <v>29214.710000000003</v>
      </c>
      <c r="Q12" s="2">
        <f>SUMIF('Performance data'!$B:$B, $B12,'Performance data'!M:M)</f>
        <v>45000</v>
      </c>
      <c r="S12" s="41">
        <f>$P12/O12-1</f>
        <v>-0.21795113745538597</v>
      </c>
      <c r="T12" s="41">
        <f t="shared" si="0"/>
        <v>-0.35078422222222216</v>
      </c>
      <c r="V12" s="2">
        <f>SUMIF('Performance data'!$B:$B, $B12,'Performance data'!Z:Z)</f>
        <v>0</v>
      </c>
      <c r="W12" s="2">
        <f>SUMIF('Performance data'!$B:$B, $B12,'Performance data'!AA:AA)</f>
        <v>0</v>
      </c>
      <c r="X12" s="2">
        <f>SUMIF('Performance data'!$B:$B, $B12,'Performance data'!AB:AB)</f>
        <v>37356.629999999997</v>
      </c>
      <c r="Y12" s="2">
        <f>SUMIF('Performance data'!$B:$B, $B12,'Performance data'!AD:AD)</f>
        <v>45000</v>
      </c>
      <c r="Z12" s="2">
        <f t="shared" si="1"/>
        <v>29214.710000000003</v>
      </c>
      <c r="AA12" s="2">
        <f t="shared" si="2"/>
        <v>35000</v>
      </c>
      <c r="AC12" s="41">
        <f t="shared" si="3"/>
        <v>-0.21795113745538597</v>
      </c>
      <c r="AD12" s="41">
        <f t="shared" si="4"/>
        <v>-0.35078422222222216</v>
      </c>
      <c r="AE12" s="41">
        <f t="shared" si="5"/>
        <v>0.19802661056707382</v>
      </c>
      <c r="AG12" s="34">
        <f>$AA12*AG$1</f>
        <v>2800</v>
      </c>
      <c r="AH12" s="34">
        <f>$AA12*AH$1</f>
        <v>2800</v>
      </c>
      <c r="AI12" s="34">
        <f>$AA12*AI$1</f>
        <v>3150</v>
      </c>
      <c r="AJ12" s="34">
        <f>$AA12*AJ$1</f>
        <v>3150</v>
      </c>
      <c r="AK12" s="34">
        <f>$AA12*AK$1</f>
        <v>3150</v>
      </c>
      <c r="AL12" s="34">
        <f>$AA12*AL$1</f>
        <v>2800</v>
      </c>
      <c r="AM12" s="34">
        <f>$AA12*AM$1</f>
        <v>2800</v>
      </c>
      <c r="AN12" s="34">
        <f>$AA12*AN$1</f>
        <v>2100</v>
      </c>
      <c r="AO12" s="34">
        <f>$AA12*AO$1</f>
        <v>3150</v>
      </c>
      <c r="AP12" s="34">
        <f>$AA12*AP$1</f>
        <v>3500</v>
      </c>
      <c r="AQ12" s="34">
        <f>$AA12*AQ$1</f>
        <v>3150</v>
      </c>
      <c r="AR12" s="34">
        <f>$AA12*AR$1</f>
        <v>2450.0000000000005</v>
      </c>
    </row>
    <row r="13" spans="2:44">
      <c r="B13">
        <v>25055</v>
      </c>
      <c r="C13" t="s">
        <v>130</v>
      </c>
      <c r="D13" t="str">
        <f>VLOOKUP($B13, 'Performance data'!$B:$K, 3, 0)</f>
        <v>Southeast</v>
      </c>
      <c r="E13" t="s">
        <v>120</v>
      </c>
      <c r="F13" s="39">
        <f>VLOOKUP($B13, 'Performance data'!$B:$K, 7, 0)</f>
        <v>2024</v>
      </c>
      <c r="G13" s="40"/>
      <c r="H13" s="39" t="str">
        <f>VLOOKUP($B13, 'Performance data'!$B:$K, 5, 0)</f>
        <v>NKD24</v>
      </c>
      <c r="I13" s="39" t="s">
        <v>45</v>
      </c>
      <c r="J13" s="4">
        <f t="shared" si="6"/>
        <v>3791.52</v>
      </c>
      <c r="K13" s="40">
        <v>12000</v>
      </c>
      <c r="M13" s="40" t="s">
        <v>74</v>
      </c>
      <c r="O13" s="2">
        <f>SUMIF('Performance data'!$B:$B, $B13,'Performance data'!K:K)</f>
        <v>17321.719999999998</v>
      </c>
      <c r="P13" s="2">
        <f>SUMIF('Performance data'!$B:$B, $B13,'Performance data'!L:L)</f>
        <v>3791.52</v>
      </c>
      <c r="Q13" s="2">
        <f>SUMIF('Performance data'!$B:$B, $B13,'Performance data'!M:M)</f>
        <v>12000</v>
      </c>
      <c r="S13" s="41">
        <f>$P13/O13-1</f>
        <v>-0.7811118064487822</v>
      </c>
      <c r="T13" s="41">
        <f t="shared" si="0"/>
        <v>-0.68403999999999998</v>
      </c>
      <c r="V13" s="2">
        <f>SUMIF('Performance data'!$B:$B, $B13,'Performance data'!Z:Z)</f>
        <v>0</v>
      </c>
      <c r="W13" s="2">
        <f>SUMIF('Performance data'!$B:$B, $B13,'Performance data'!AA:AA)</f>
        <v>0</v>
      </c>
      <c r="X13" s="2">
        <f>SUMIF('Performance data'!$B:$B, $B13,'Performance data'!AB:AB)</f>
        <v>17321.719999999998</v>
      </c>
      <c r="Y13" s="2">
        <f>SUMIF('Performance data'!$B:$B, $B13,'Performance data'!AD:AD)</f>
        <v>12000</v>
      </c>
      <c r="Z13" s="2">
        <f t="shared" si="1"/>
        <v>3791.52</v>
      </c>
      <c r="AA13" s="2">
        <f t="shared" si="2"/>
        <v>12000</v>
      </c>
      <c r="AC13" s="41">
        <f t="shared" si="3"/>
        <v>-0.7811118064487822</v>
      </c>
      <c r="AD13" s="41">
        <f t="shared" si="4"/>
        <v>-0.68403999999999998</v>
      </c>
      <c r="AE13" s="41">
        <f t="shared" si="5"/>
        <v>2.1649575895682998</v>
      </c>
      <c r="AG13" s="34">
        <f>$AA13*AG$1</f>
        <v>960</v>
      </c>
      <c r="AH13" s="34">
        <f>$AA13*AH$1</f>
        <v>960</v>
      </c>
      <c r="AI13" s="34">
        <f>$AA13*AI$1</f>
        <v>1080</v>
      </c>
      <c r="AJ13" s="34">
        <f>$AA13*AJ$1</f>
        <v>1080</v>
      </c>
      <c r="AK13" s="34">
        <f>$AA13*AK$1</f>
        <v>1080</v>
      </c>
      <c r="AL13" s="34">
        <f>$AA13*AL$1</f>
        <v>960</v>
      </c>
      <c r="AM13" s="34">
        <f>$AA13*AM$1</f>
        <v>960</v>
      </c>
      <c r="AN13" s="34">
        <f>$AA13*AN$1</f>
        <v>720</v>
      </c>
      <c r="AO13" s="34">
        <f>$AA13*AO$1</f>
        <v>1080</v>
      </c>
      <c r="AP13" s="34">
        <f>$AA13*AP$1</f>
        <v>1200</v>
      </c>
      <c r="AQ13" s="34">
        <f>$AA13*AQ$1</f>
        <v>1080</v>
      </c>
      <c r="AR13" s="34">
        <f>$AA13*AR$1</f>
        <v>840.00000000000011</v>
      </c>
    </row>
    <row r="14" spans="2:44">
      <c r="B14" s="24" t="s">
        <v>79</v>
      </c>
      <c r="C14" s="24"/>
      <c r="D14" s="24"/>
      <c r="E14" s="24"/>
      <c r="F14" s="42"/>
      <c r="G14" s="25">
        <f>COUNTIF(G3:G13, "Yes")</f>
        <v>0</v>
      </c>
      <c r="H14" s="42"/>
      <c r="I14" s="42"/>
      <c r="J14" s="44">
        <f>SUM(J3:J13)</f>
        <v>121222.77</v>
      </c>
      <c r="K14" s="25">
        <f>SUM(K3:K13)</f>
        <v>149000</v>
      </c>
      <c r="L14" s="24"/>
      <c r="M14" s="24"/>
      <c r="N14" s="24"/>
      <c r="O14" s="25">
        <f>SUM(O3:O13)</f>
        <v>150948.01999999999</v>
      </c>
      <c r="P14" s="25">
        <f>SUM(P3:P13)</f>
        <v>121222.77</v>
      </c>
      <c r="Q14" s="25">
        <f>SUM(Q3:Q13)</f>
        <v>163000</v>
      </c>
      <c r="R14" s="24"/>
      <c r="S14" s="43">
        <f>$P14/O14-1</f>
        <v>-0.19692374898325915</v>
      </c>
      <c r="T14" s="43">
        <f t="shared" si="0"/>
        <v>-0.25630202453987727</v>
      </c>
      <c r="U14" s="24"/>
      <c r="V14" s="25">
        <f>SUM(V3:V13)</f>
        <v>89830.650000000009</v>
      </c>
      <c r="W14" s="25">
        <f>SUM(W3:W13)</f>
        <v>93919.23000000001</v>
      </c>
      <c r="X14" s="25">
        <f>SUM(X3:X13)</f>
        <v>150948.01999999999</v>
      </c>
      <c r="Y14" s="25">
        <f>SUM(Y3:Y13)</f>
        <v>163000</v>
      </c>
      <c r="Z14" s="25">
        <f>SUM(Z3:Z13)</f>
        <v>121222.77</v>
      </c>
      <c r="AA14" s="25">
        <f>SUM(AA3:AA13)</f>
        <v>149000</v>
      </c>
      <c r="AB14" s="24"/>
      <c r="AC14" s="43">
        <f t="shared" si="3"/>
        <v>-0.19692374898325915</v>
      </c>
      <c r="AD14" s="43">
        <f t="shared" si="4"/>
        <v>-0.25630202453987727</v>
      </c>
      <c r="AE14" s="43">
        <f t="shared" si="5"/>
        <v>0.22914201680096902</v>
      </c>
      <c r="AG14" s="44">
        <f>SUM(AG3:AG13)</f>
        <v>11920</v>
      </c>
      <c r="AH14" s="44">
        <f>SUM(AH3:AH13)</f>
        <v>11920</v>
      </c>
      <c r="AI14" s="44">
        <f>SUM(AI3:AI13)</f>
        <v>13410</v>
      </c>
      <c r="AJ14" s="44">
        <f>SUM(AJ3:AJ13)</f>
        <v>13410</v>
      </c>
      <c r="AK14" s="44">
        <f>SUM(AK3:AK13)</f>
        <v>13410</v>
      </c>
      <c r="AL14" s="44">
        <f>SUM(AL3:AL13)</f>
        <v>11920</v>
      </c>
      <c r="AM14" s="44">
        <f>SUM(AM3:AM13)</f>
        <v>11920</v>
      </c>
      <c r="AN14" s="44">
        <f>SUM(AN3:AN13)</f>
        <v>8940</v>
      </c>
      <c r="AO14" s="44">
        <f>SUM(AO3:AO13)</f>
        <v>13410</v>
      </c>
      <c r="AP14" s="44">
        <f>SUM(AP3:AP13)</f>
        <v>14900</v>
      </c>
      <c r="AQ14" s="44">
        <f>SUM(AQ3:AQ13)</f>
        <v>13410</v>
      </c>
      <c r="AR14" s="44">
        <f>SUM(AR3:AR13)</f>
        <v>10430.000000000002</v>
      </c>
    </row>
    <row r="15" spans="2:44">
      <c r="F15" s="39"/>
      <c r="H15" s="39"/>
      <c r="I15" s="39"/>
      <c r="O15" s="2"/>
      <c r="P15" s="2"/>
      <c r="Q15" s="2"/>
      <c r="S15" s="41"/>
      <c r="T15" s="41"/>
      <c r="V15" s="2"/>
      <c r="W15" s="2"/>
      <c r="X15" s="2"/>
      <c r="Y15" s="2"/>
      <c r="Z15" s="2"/>
      <c r="AA15" s="2"/>
      <c r="AC15" s="41"/>
      <c r="AD15" s="41"/>
      <c r="AE15" s="41"/>
    </row>
    <row r="18" spans="2:58">
      <c r="B18">
        <v>25063</v>
      </c>
      <c r="C18" t="s">
        <v>131</v>
      </c>
      <c r="D18" t="str">
        <f>VLOOKUP($B18, 'Performance data'!$B:$K, 3, 0)</f>
        <v>Southeast</v>
      </c>
      <c r="E18" t="s">
        <v>120</v>
      </c>
      <c r="F18" s="39">
        <f>VLOOKUP($B18, 'Performance data'!$B:$K, 7, 0)</f>
        <v>2025</v>
      </c>
      <c r="G18" s="40"/>
      <c r="H18" s="39" t="s">
        <v>83</v>
      </c>
      <c r="I18" s="39" t="s">
        <v>45</v>
      </c>
      <c r="J18" s="4">
        <f t="shared" ref="J18" si="7">P18</f>
        <v>7189.44</v>
      </c>
      <c r="K18" s="40">
        <v>10000</v>
      </c>
      <c r="M18" s="40" t="s">
        <v>74</v>
      </c>
      <c r="O18" s="2">
        <f>SUMIF('Performance data'!$B:$B, $B18,'Performance data'!K:K)</f>
        <v>0</v>
      </c>
      <c r="P18" s="2">
        <f>SUMIF('Performance data'!$B:$B, $B18,'Performance data'!L:L)</f>
        <v>7189.44</v>
      </c>
      <c r="Q18" s="2">
        <f>SUMIF('Performance data'!$B:$B, $B18,'Performance data'!M:M)</f>
        <v>0</v>
      </c>
      <c r="S18" s="41" t="e">
        <f t="shared" ref="S18:S19" si="8">$P18/O18-1</f>
        <v>#DIV/0!</v>
      </c>
      <c r="T18" s="41" t="e">
        <f t="shared" ref="T18:T19" si="9">P18/Q18-1</f>
        <v>#DIV/0!</v>
      </c>
      <c r="V18" s="2">
        <f>SUMIF('Performance data'!$B:$B, $B18,'Performance data'!Z:Z)</f>
        <v>0</v>
      </c>
      <c r="W18" s="2">
        <f>SUMIF('Performance data'!$B:$B, $B18,'Performance data'!AA:AA)</f>
        <v>0</v>
      </c>
      <c r="X18" s="2">
        <f>SUMIF('Performance data'!$B:$B, $B18,'Performance data'!AB:AB)</f>
        <v>0</v>
      </c>
      <c r="Y18" s="2">
        <f>SUMIF('Performance data'!$B:$B, $B18,'Performance data'!AD:AD)</f>
        <v>0</v>
      </c>
      <c r="Z18" s="2">
        <f t="shared" ref="Z18:AA20" si="10">J18</f>
        <v>7189.44</v>
      </c>
      <c r="AA18" s="2">
        <f t="shared" si="10"/>
        <v>10000</v>
      </c>
      <c r="AC18" s="41" t="e">
        <f t="shared" ref="AC18:AC19" si="11">Z18/X18-1</f>
        <v>#DIV/0!</v>
      </c>
      <c r="AD18" s="41" t="e">
        <f t="shared" ref="AD18:AE20" si="12">Z18/Y18-1</f>
        <v>#DIV/0!</v>
      </c>
      <c r="AE18" s="41">
        <f t="shared" si="12"/>
        <v>0.39092891796857621</v>
      </c>
      <c r="AG18" s="34">
        <f>$AA18*AG$1</f>
        <v>800</v>
      </c>
      <c r="AH18" s="34">
        <f>$AA18*AH$1</f>
        <v>800</v>
      </c>
      <c r="AI18" s="34">
        <f>$AA18*AI$1</f>
        <v>900</v>
      </c>
      <c r="AJ18" s="34">
        <f>$AA18*AJ$1</f>
        <v>900</v>
      </c>
      <c r="AK18" s="34">
        <f>$AA18*AK$1</f>
        <v>900</v>
      </c>
      <c r="AL18" s="34">
        <f>$AA18*AL$1</f>
        <v>800</v>
      </c>
      <c r="AM18" s="34">
        <f>$AA18*AM$1</f>
        <v>800</v>
      </c>
      <c r="AN18" s="34">
        <f>$AA18*AN$1</f>
        <v>600</v>
      </c>
      <c r="AO18" s="34">
        <f>$AA18*AO$1</f>
        <v>900</v>
      </c>
      <c r="AP18" s="34">
        <f>$AA18*AP$1</f>
        <v>1000</v>
      </c>
      <c r="AQ18" s="34">
        <f>$AA18*AQ$1</f>
        <v>900</v>
      </c>
      <c r="AR18" s="34">
        <f>$AA18*AR$1</f>
        <v>700.00000000000011</v>
      </c>
    </row>
    <row r="19" spans="2:58">
      <c r="B19">
        <v>25069</v>
      </c>
      <c r="C19" t="s">
        <v>132</v>
      </c>
      <c r="D19" t="str">
        <f>VLOOKUP($B19, 'Performance data'!$B:$K, 3, 0)</f>
        <v>Southeast</v>
      </c>
      <c r="E19" t="s">
        <v>120</v>
      </c>
      <c r="F19" s="39">
        <f>VLOOKUP($B19, 'Performance data'!$B:$K, 7, 0)</f>
        <v>2025</v>
      </c>
      <c r="G19" s="40"/>
      <c r="H19" s="39" t="s">
        <v>83</v>
      </c>
      <c r="I19" s="39" t="s">
        <v>47</v>
      </c>
      <c r="J19" s="4">
        <f t="shared" ref="J19" si="13">P19</f>
        <v>343</v>
      </c>
      <c r="K19" s="40">
        <v>1000</v>
      </c>
      <c r="M19" s="40" t="s">
        <v>76</v>
      </c>
      <c r="O19" s="2">
        <f>SUMIF('Performance data'!$B:$B, $B19,'Performance data'!K:K)</f>
        <v>0</v>
      </c>
      <c r="P19" s="2">
        <f>SUMIF('Performance data'!$B:$B, $B19,'Performance data'!L:L)</f>
        <v>343</v>
      </c>
      <c r="Q19" s="2">
        <f>SUMIF('Performance data'!$B:$B, $B19,'Performance data'!M:M)</f>
        <v>0</v>
      </c>
      <c r="S19" s="41" t="e">
        <f t="shared" si="8"/>
        <v>#DIV/0!</v>
      </c>
      <c r="T19" s="41" t="e">
        <f t="shared" si="9"/>
        <v>#DIV/0!</v>
      </c>
      <c r="V19" s="2">
        <f>SUMIF('Performance data'!$B:$B, $B19,'Performance data'!Z:Z)</f>
        <v>0</v>
      </c>
      <c r="W19" s="2">
        <f>SUMIF('Performance data'!$B:$B, $B19,'Performance data'!AA:AA)</f>
        <v>0</v>
      </c>
      <c r="X19" s="2">
        <f>SUMIF('Performance data'!$B:$B, $B19,'Performance data'!AB:AB)</f>
        <v>0</v>
      </c>
      <c r="Y19" s="2">
        <f>SUMIF('Performance data'!$B:$B, $B19,'Performance data'!AD:AD)</f>
        <v>0</v>
      </c>
      <c r="Z19" s="2">
        <f t="shared" si="10"/>
        <v>343</v>
      </c>
      <c r="AA19" s="2">
        <f t="shared" si="10"/>
        <v>1000</v>
      </c>
      <c r="AC19" s="41" t="e">
        <f t="shared" si="11"/>
        <v>#DIV/0!</v>
      </c>
      <c r="AD19" s="41" t="e">
        <f t="shared" si="12"/>
        <v>#DIV/0!</v>
      </c>
      <c r="AE19" s="41">
        <f t="shared" si="12"/>
        <v>1.9154518950437316</v>
      </c>
      <c r="AG19" s="34">
        <f>$AA19*AG$1</f>
        <v>80</v>
      </c>
      <c r="AH19" s="34">
        <f>$AA19*AH$1</f>
        <v>80</v>
      </c>
      <c r="AI19" s="34">
        <f>$AA19*AI$1</f>
        <v>90</v>
      </c>
      <c r="AJ19" s="34">
        <f>$AA19*AJ$1</f>
        <v>90</v>
      </c>
      <c r="AK19" s="34">
        <f>$AA19*AK$1</f>
        <v>90</v>
      </c>
      <c r="AL19" s="34">
        <f>$AA19*AL$1</f>
        <v>80</v>
      </c>
      <c r="AM19" s="34">
        <f>$AA19*AM$1</f>
        <v>80</v>
      </c>
      <c r="AN19" s="34">
        <f>$AA19*AN$1</f>
        <v>60</v>
      </c>
      <c r="AO19" s="34">
        <f>$AA19*AO$1</f>
        <v>90</v>
      </c>
      <c r="AP19" s="34">
        <f>$AA19*AP$1</f>
        <v>100</v>
      </c>
      <c r="AQ19" s="34">
        <f>$AA19*AQ$1</f>
        <v>90</v>
      </c>
      <c r="AR19" s="34">
        <f>$AA19*AR$1</f>
        <v>70</v>
      </c>
    </row>
    <row r="20" spans="2:58">
      <c r="B20">
        <v>25076</v>
      </c>
      <c r="C20" t="s">
        <v>133</v>
      </c>
      <c r="D20" t="str">
        <f>VLOOKUP($B20, 'Performance data'!$B:$K, 3, 0)</f>
        <v>Other</v>
      </c>
      <c r="E20" t="s">
        <v>120</v>
      </c>
      <c r="F20" s="39">
        <f>VLOOKUP($B20, 'Performance data'!$B:$K, 7, 0)</f>
        <v>2025</v>
      </c>
      <c r="G20" s="40"/>
      <c r="H20" s="39" t="str">
        <f>VLOOKUP($B20, 'Performance data'!$B:$K, 5, 0)</f>
        <v>NKD25</v>
      </c>
      <c r="I20" s="39" t="s">
        <v>45</v>
      </c>
      <c r="J20" s="4">
        <f>P20</f>
        <v>3193.01</v>
      </c>
      <c r="K20" s="40">
        <v>12000</v>
      </c>
      <c r="M20" s="40" t="s">
        <v>74</v>
      </c>
      <c r="O20" s="2">
        <f>SUMIF('Performance data'!$B:$B, $B20,'Performance data'!K:K)</f>
        <v>0</v>
      </c>
      <c r="P20" s="2">
        <f>SUMIF('Performance data'!$B:$B, $B20,'Performance data'!L:L)</f>
        <v>3193.01</v>
      </c>
      <c r="Q20" s="2">
        <f>SUMIF('Performance data'!$B:$B, $B20,'Performance data'!M:M)</f>
        <v>0</v>
      </c>
      <c r="S20" s="41" t="e">
        <f>$P20/O20-1</f>
        <v>#DIV/0!</v>
      </c>
      <c r="T20" s="41" t="e">
        <f>P20/Q20-1</f>
        <v>#DIV/0!</v>
      </c>
      <c r="V20" s="2">
        <f>SUMIF('Performance data'!$B:$B, $B20,'Performance data'!Z:Z)</f>
        <v>0</v>
      </c>
      <c r="W20" s="2">
        <f>SUMIF('Performance data'!$B:$B, $B20,'Performance data'!AA:AA)</f>
        <v>0</v>
      </c>
      <c r="X20" s="2">
        <f>SUMIF('Performance data'!$B:$B, $B20,'Performance data'!AB:AB)</f>
        <v>0</v>
      </c>
      <c r="Y20" s="2">
        <f>SUMIF('Performance data'!$B:$B, $B20,'Performance data'!AD:AD)</f>
        <v>0</v>
      </c>
      <c r="Z20" s="2">
        <f t="shared" si="10"/>
        <v>3193.01</v>
      </c>
      <c r="AA20" s="2">
        <f t="shared" si="10"/>
        <v>12000</v>
      </c>
      <c r="AC20" s="41" t="e">
        <f>Z20/X20-1</f>
        <v>#DIV/0!</v>
      </c>
      <c r="AD20" s="41" t="e">
        <f t="shared" si="12"/>
        <v>#DIV/0!</v>
      </c>
      <c r="AE20" s="41">
        <f t="shared" si="12"/>
        <v>2.7582093385238378</v>
      </c>
      <c r="AG20" s="34">
        <f>$AA20*AG$1</f>
        <v>960</v>
      </c>
      <c r="AH20" s="34">
        <f>$AA20*AH$1</f>
        <v>960</v>
      </c>
      <c r="AI20" s="34">
        <f>$AA20*AI$1</f>
        <v>1080</v>
      </c>
      <c r="AJ20" s="34">
        <f>$AA20*AJ$1</f>
        <v>1080</v>
      </c>
      <c r="AK20" s="34">
        <f>$AA20*AK$1</f>
        <v>1080</v>
      </c>
      <c r="AL20" s="34">
        <f>$AA20*AL$1</f>
        <v>960</v>
      </c>
      <c r="AM20" s="34">
        <f>$AA20*AM$1</f>
        <v>960</v>
      </c>
      <c r="AN20" s="34">
        <f>$AA20*AN$1</f>
        <v>720</v>
      </c>
      <c r="AO20" s="34">
        <f>$AA20*AO$1</f>
        <v>1080</v>
      </c>
      <c r="AP20" s="34">
        <f>$AA20*AP$1</f>
        <v>1200</v>
      </c>
      <c r="AQ20" s="34">
        <f>$AA20*AQ$1</f>
        <v>1080</v>
      </c>
      <c r="AR20" s="34">
        <f>$AA20*AR$1</f>
        <v>840.00000000000011</v>
      </c>
    </row>
    <row r="21" spans="2:58">
      <c r="B21" t="s">
        <v>83</v>
      </c>
      <c r="C21" t="s">
        <v>84</v>
      </c>
      <c r="D21" t="s">
        <v>19</v>
      </c>
      <c r="E21" t="s">
        <v>120</v>
      </c>
      <c r="F21" s="39">
        <v>2025</v>
      </c>
      <c r="H21" t="s">
        <v>83</v>
      </c>
      <c r="O21" s="2">
        <v>0</v>
      </c>
      <c r="P21" s="2">
        <v>0</v>
      </c>
      <c r="Q21" s="2">
        <f>SUMIFS('2025 budget doc'!$AC:$AC, '2025 budget doc'!$B:$B, "NKD25", '2025 budget doc'!$E:$E, $D21)</f>
        <v>106200</v>
      </c>
      <c r="S21" s="41" t="e">
        <f>$P21/O21-1</f>
        <v>#DIV/0!</v>
      </c>
      <c r="T21" s="41">
        <f>P21/Q21-1</f>
        <v>-1</v>
      </c>
      <c r="V21" s="2">
        <v>0</v>
      </c>
      <c r="W21" s="2">
        <v>0</v>
      </c>
      <c r="X21" s="2">
        <v>0</v>
      </c>
      <c r="Y21" s="2">
        <f>SUMIFS('2025 budget doc'!$L:$L, '2025 budget doc'!$B:$B, "NKD25", '2025 budget doc'!$E:$E, $D21)</f>
        <v>180000</v>
      </c>
      <c r="Z21" s="2">
        <f>J21</f>
        <v>0</v>
      </c>
      <c r="AA21" s="2">
        <f>K21</f>
        <v>0</v>
      </c>
      <c r="AC21" s="41" t="e">
        <f>Z21/X21-1</f>
        <v>#DIV/0!</v>
      </c>
      <c r="AD21" s="41">
        <f>Z21/Y21-1</f>
        <v>-1</v>
      </c>
      <c r="AE21" s="41" t="e">
        <f>AA21/Z21-1</f>
        <v>#DIV/0!</v>
      </c>
      <c r="AG21" s="34">
        <f>$AA21*AG$1</f>
        <v>0</v>
      </c>
      <c r="AH21" s="34">
        <f>$AA21*AH$1</f>
        <v>0</v>
      </c>
      <c r="AI21" s="34">
        <f>$AA21*AI$1</f>
        <v>0</v>
      </c>
      <c r="AJ21" s="34">
        <f>$AA21*AJ$1</f>
        <v>0</v>
      </c>
      <c r="AK21" s="34">
        <f>$AA21*AK$1</f>
        <v>0</v>
      </c>
      <c r="AL21" s="34">
        <f>$AA21*AL$1</f>
        <v>0</v>
      </c>
      <c r="AM21" s="34">
        <f>$AA21*AM$1</f>
        <v>0</v>
      </c>
      <c r="AN21" s="34">
        <f>$AA21*AN$1</f>
        <v>0</v>
      </c>
      <c r="AO21" s="34">
        <f>$AA21*AO$1</f>
        <v>0</v>
      </c>
      <c r="AP21" s="34">
        <f>$AA21*AP$1</f>
        <v>0</v>
      </c>
      <c r="AQ21" s="34">
        <f>$AA21*AQ$1</f>
        <v>0</v>
      </c>
      <c r="AR21" s="34">
        <f>$AA21*AR$1</f>
        <v>0</v>
      </c>
    </row>
    <row r="23" spans="2:58">
      <c r="B23" s="24" t="s">
        <v>85</v>
      </c>
      <c r="C23" s="24"/>
      <c r="D23" s="24"/>
      <c r="E23" s="24"/>
      <c r="F23" s="42"/>
      <c r="G23" s="44">
        <f>COUNTIF(G18:G19, "Yes")+G21</f>
        <v>0</v>
      </c>
      <c r="H23" s="42"/>
      <c r="I23" s="42"/>
      <c r="J23" s="44">
        <f>SUM(J18:J21)</f>
        <v>10725.45</v>
      </c>
      <c r="K23" s="25">
        <f>SUM(K18:K21)</f>
        <v>23000</v>
      </c>
      <c r="L23" s="24"/>
      <c r="M23" s="24"/>
      <c r="N23" s="24"/>
      <c r="O23" s="25">
        <f>SUM(O18:O21)</f>
        <v>0</v>
      </c>
      <c r="P23" s="25">
        <f>SUM(P18:P21)</f>
        <v>10725.45</v>
      </c>
      <c r="Q23" s="25">
        <f>SUM(Q18:Q21)</f>
        <v>106200</v>
      </c>
      <c r="R23" s="24"/>
      <c r="S23" s="43" t="e">
        <f>$P23/O23-1</f>
        <v>#DIV/0!</v>
      </c>
      <c r="T23" s="43">
        <f>P23/Q23-1</f>
        <v>-0.89900706214689263</v>
      </c>
      <c r="U23" s="24"/>
      <c r="V23" s="25">
        <f t="shared" ref="V23:AA23" si="14">SUM(V18:V21)</f>
        <v>0</v>
      </c>
      <c r="W23" s="25">
        <f t="shared" si="14"/>
        <v>0</v>
      </c>
      <c r="X23" s="25">
        <f t="shared" si="14"/>
        <v>0</v>
      </c>
      <c r="Y23" s="25">
        <f t="shared" si="14"/>
        <v>180000</v>
      </c>
      <c r="Z23" s="25">
        <f t="shared" si="14"/>
        <v>10725.45</v>
      </c>
      <c r="AA23" s="25">
        <f t="shared" si="14"/>
        <v>23000</v>
      </c>
      <c r="AB23" s="24"/>
      <c r="AC23" s="43" t="e">
        <f>Z23/X23-1</f>
        <v>#DIV/0!</v>
      </c>
      <c r="AD23" s="43">
        <f>Z23/Y23-1</f>
        <v>-0.94041416666666666</v>
      </c>
      <c r="AE23" s="43">
        <f>AA23/Z23-1</f>
        <v>1.1444321683472487</v>
      </c>
      <c r="AG23" s="25">
        <f t="shared" ref="AG23:AR23" si="15">SUM(AG18:AG21)</f>
        <v>1840</v>
      </c>
      <c r="AH23" s="25">
        <f t="shared" si="15"/>
        <v>1840</v>
      </c>
      <c r="AI23" s="25">
        <f t="shared" si="15"/>
        <v>2070</v>
      </c>
      <c r="AJ23" s="25">
        <f t="shared" si="15"/>
        <v>2070</v>
      </c>
      <c r="AK23" s="25">
        <f t="shared" si="15"/>
        <v>2070</v>
      </c>
      <c r="AL23" s="25">
        <f t="shared" si="15"/>
        <v>1840</v>
      </c>
      <c r="AM23" s="25">
        <f t="shared" si="15"/>
        <v>1840</v>
      </c>
      <c r="AN23" s="25">
        <f t="shared" si="15"/>
        <v>1380</v>
      </c>
      <c r="AO23" s="25">
        <f t="shared" si="15"/>
        <v>2070</v>
      </c>
      <c r="AP23" s="25">
        <f t="shared" si="15"/>
        <v>2300</v>
      </c>
      <c r="AQ23" s="25">
        <f t="shared" si="15"/>
        <v>2070</v>
      </c>
      <c r="AR23" s="25">
        <f t="shared" si="15"/>
        <v>1610.0000000000002</v>
      </c>
    </row>
    <row r="26" spans="2:58">
      <c r="AY26">
        <f>AV27</f>
        <v>1</v>
      </c>
      <c r="AZ26">
        <f>AW27</f>
        <v>1</v>
      </c>
      <c r="BA26">
        <f>AX27+AV27</f>
        <v>2</v>
      </c>
      <c r="BB26">
        <f>AY27+AW27</f>
        <v>1</v>
      </c>
      <c r="BC26">
        <f>AZ27+AX27+AV27</f>
        <v>3</v>
      </c>
      <c r="BD26">
        <f>BA27+AY27+AW27</f>
        <v>2</v>
      </c>
      <c r="BE26">
        <f>BB27+AZ27+AX27+AV27</f>
        <v>3</v>
      </c>
      <c r="BF26">
        <f>BC27+BA27+AY27+AW27</f>
        <v>3</v>
      </c>
    </row>
    <row r="27" spans="2:58">
      <c r="B27" t="s">
        <v>50</v>
      </c>
      <c r="C27" t="s">
        <v>86</v>
      </c>
      <c r="D27" t="s">
        <v>19</v>
      </c>
      <c r="E27" t="s">
        <v>120</v>
      </c>
      <c r="F27" s="39">
        <v>2026</v>
      </c>
      <c r="G27" s="40">
        <v>8</v>
      </c>
      <c r="H27" t="s">
        <v>50</v>
      </c>
      <c r="K27" s="33">
        <v>100000</v>
      </c>
      <c r="O27" s="2">
        <v>0</v>
      </c>
      <c r="P27" s="2">
        <v>0</v>
      </c>
      <c r="Q27" s="2">
        <v>0</v>
      </c>
      <c r="S27" s="41" t="e">
        <f>$P27/O27-1</f>
        <v>#DIV/0!</v>
      </c>
      <c r="T27" s="41" t="e">
        <f>P27/Q27-1</f>
        <v>#DIV/0!</v>
      </c>
      <c r="V27" s="2">
        <v>0</v>
      </c>
      <c r="W27" s="2">
        <v>0</v>
      </c>
      <c r="X27" s="2">
        <v>0</v>
      </c>
      <c r="Y27" s="2">
        <v>0</v>
      </c>
      <c r="Z27" s="2">
        <f>J27</f>
        <v>0</v>
      </c>
      <c r="AA27" s="2">
        <f>K27</f>
        <v>100000</v>
      </c>
      <c r="AC27" s="41" t="e">
        <f>Z27/X27-1</f>
        <v>#DIV/0!</v>
      </c>
      <c r="AD27" s="41" t="e">
        <f>Z27/Y27-1</f>
        <v>#DIV/0!</v>
      </c>
      <c r="AE27" s="41" t="e">
        <f>AA27/Z27-1</f>
        <v>#DIV/0!</v>
      </c>
      <c r="AG27">
        <f>AU27*5000+AU26*4000</f>
        <v>0</v>
      </c>
      <c r="AH27">
        <f t="shared" ref="AH27:AQ27" si="16">AV27*5000+AV26*4000</f>
        <v>5000</v>
      </c>
      <c r="AI27">
        <f t="shared" si="16"/>
        <v>5000</v>
      </c>
      <c r="AJ27">
        <f t="shared" si="16"/>
        <v>5000</v>
      </c>
      <c r="AK27">
        <f t="shared" si="16"/>
        <v>4000</v>
      </c>
      <c r="AL27">
        <f t="shared" si="16"/>
        <v>9000</v>
      </c>
      <c r="AM27">
        <f>BA27*5000+BA26*4000-2000</f>
        <v>11000</v>
      </c>
      <c r="AN27">
        <f t="shared" si="16"/>
        <v>4000</v>
      </c>
      <c r="AO27">
        <f t="shared" si="16"/>
        <v>17000</v>
      </c>
      <c r="AP27">
        <f t="shared" si="16"/>
        <v>13000</v>
      </c>
      <c r="AQ27">
        <f t="shared" si="16"/>
        <v>17000</v>
      </c>
      <c r="AR27">
        <f>BF27*5000+BF26*4000-2000</f>
        <v>10000</v>
      </c>
      <c r="AV27">
        <v>1</v>
      </c>
      <c r="AW27">
        <v>1</v>
      </c>
      <c r="AX27">
        <v>1</v>
      </c>
      <c r="AZ27">
        <v>1</v>
      </c>
      <c r="BA27">
        <v>1</v>
      </c>
      <c r="BC27">
        <v>1</v>
      </c>
      <c r="BD27">
        <v>1</v>
      </c>
      <c r="BE27">
        <v>1</v>
      </c>
    </row>
    <row r="29" spans="2:58">
      <c r="B29" s="24" t="s">
        <v>87</v>
      </c>
      <c r="C29" s="24"/>
      <c r="D29" s="24"/>
      <c r="E29" s="24"/>
      <c r="F29" s="42"/>
      <c r="G29" s="44">
        <f>COUNTIF(G26:G26, "Yes")+G27</f>
        <v>8</v>
      </c>
      <c r="H29" s="42"/>
      <c r="I29" s="42"/>
      <c r="J29" s="44">
        <f t="shared" ref="J29:K29" si="17">SUM(J26:J27)</f>
        <v>0</v>
      </c>
      <c r="K29" s="25">
        <f t="shared" si="17"/>
        <v>100000</v>
      </c>
      <c r="L29" s="24"/>
      <c r="M29" s="24"/>
      <c r="N29" s="24"/>
      <c r="O29" s="25">
        <f t="shared" ref="O29:Q29" si="18">SUM(O26:O27)</f>
        <v>0</v>
      </c>
      <c r="P29" s="25">
        <f t="shared" si="18"/>
        <v>0</v>
      </c>
      <c r="Q29" s="25">
        <f t="shared" si="18"/>
        <v>0</v>
      </c>
      <c r="R29" s="24"/>
      <c r="S29" s="43" t="e">
        <f>$P29/O29-1</f>
        <v>#DIV/0!</v>
      </c>
      <c r="T29" s="43" t="e">
        <f>P29/Q29-1</f>
        <v>#DIV/0!</v>
      </c>
      <c r="U29" s="24"/>
      <c r="V29" s="25">
        <f t="shared" ref="V29:AA29" si="19">SUM(V26:V27)</f>
        <v>0</v>
      </c>
      <c r="W29" s="25">
        <f t="shared" si="19"/>
        <v>0</v>
      </c>
      <c r="X29" s="25">
        <f t="shared" si="19"/>
        <v>0</v>
      </c>
      <c r="Y29" s="25">
        <f t="shared" si="19"/>
        <v>0</v>
      </c>
      <c r="Z29" s="25">
        <f t="shared" si="19"/>
        <v>0</v>
      </c>
      <c r="AA29" s="25">
        <f t="shared" si="19"/>
        <v>100000</v>
      </c>
      <c r="AB29" s="24"/>
      <c r="AC29" s="43" t="e">
        <f>Z29/X29-1</f>
        <v>#DIV/0!</v>
      </c>
      <c r="AD29" s="43" t="e">
        <f>Z29/Y29-1</f>
        <v>#DIV/0!</v>
      </c>
      <c r="AE29" s="43" t="e">
        <f>AA29/Z29-1</f>
        <v>#DIV/0!</v>
      </c>
      <c r="AG29" s="25">
        <f t="shared" ref="AG29:AR29" si="20">SUM(AG26:AG27)</f>
        <v>0</v>
      </c>
      <c r="AH29" s="25">
        <f t="shared" si="20"/>
        <v>5000</v>
      </c>
      <c r="AI29" s="25">
        <f t="shared" si="20"/>
        <v>5000</v>
      </c>
      <c r="AJ29" s="25">
        <f t="shared" si="20"/>
        <v>5000</v>
      </c>
      <c r="AK29" s="25">
        <f t="shared" si="20"/>
        <v>4000</v>
      </c>
      <c r="AL29" s="25">
        <f t="shared" si="20"/>
        <v>9000</v>
      </c>
      <c r="AM29" s="25">
        <f t="shared" si="20"/>
        <v>11000</v>
      </c>
      <c r="AN29" s="25">
        <f t="shared" si="20"/>
        <v>4000</v>
      </c>
      <c r="AO29" s="25">
        <f t="shared" si="20"/>
        <v>17000</v>
      </c>
      <c r="AP29" s="25">
        <f t="shared" si="20"/>
        <v>13000</v>
      </c>
      <c r="AQ29" s="25">
        <f t="shared" si="20"/>
        <v>17000</v>
      </c>
      <c r="AR29" s="25">
        <f t="shared" si="20"/>
        <v>10000</v>
      </c>
    </row>
  </sheetData>
  <autoFilter ref="B2:AE14" xr:uid="{7B909645-C959-4E9A-B165-164CFCEDCFF7}">
    <sortState xmlns:xlrd2="http://schemas.microsoft.com/office/spreadsheetml/2017/richdata2" ref="B3:AE14">
      <sortCondition ref="H2:H14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E65001-DADF-4222-AE7C-A0777EBA3510}">
          <x14:formula1>
            <xm:f>List!$D$2:$D$4</xm:f>
          </x14:formula1>
          <xm:sqref>M18:M20 M3:M13</xm:sqref>
        </x14:dataValidation>
        <x14:dataValidation type="list" allowBlank="1" showInputMessage="1" showErrorMessage="1" xr:uid="{B07C8A24-2DCF-445F-8B25-BEAA9CF9E2B5}">
          <x14:formula1>
            <xm:f>List!$B$2:$B$3</xm:f>
          </x14:formula1>
          <xm:sqref>G18:G20 G3:G13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009D-C504-449C-8589-D0A8030FD8F8}">
  <dimension ref="B1:AR16"/>
  <sheetViews>
    <sheetView showGridLines="0" workbookViewId="0">
      <pane xSplit="3" ySplit="2" topLeftCell="D3" activePane="bottomRight" state="frozen"/>
      <selection pane="bottomRight" activeCell="I8" sqref="I8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  <c r="AG1" s="29">
        <v>0.08</v>
      </c>
      <c r="AH1" s="29">
        <v>0.08</v>
      </c>
      <c r="AI1" s="29">
        <v>0.09</v>
      </c>
      <c r="AJ1" s="29">
        <v>0.09</v>
      </c>
      <c r="AK1" s="29">
        <v>0.09</v>
      </c>
      <c r="AL1" s="29">
        <v>0.08</v>
      </c>
      <c r="AM1" s="29">
        <v>0.08</v>
      </c>
      <c r="AN1" s="29">
        <v>0.06</v>
      </c>
      <c r="AO1" s="29">
        <v>0.09</v>
      </c>
      <c r="AP1" s="29">
        <v>0.1</v>
      </c>
      <c r="AQ1" s="29">
        <v>0.09</v>
      </c>
      <c r="AR1" s="29">
        <v>7.0000000000000007E-2</v>
      </c>
    </row>
    <row r="2" spans="2:44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134</v>
      </c>
      <c r="AA2" s="38" t="s">
        <v>4</v>
      </c>
      <c r="AB2" s="1"/>
      <c r="AC2" s="1" t="s">
        <v>68</v>
      </c>
      <c r="AD2" s="1" t="s">
        <v>69</v>
      </c>
      <c r="AE2" s="1" t="s">
        <v>71</v>
      </c>
      <c r="AG2" s="53">
        <v>46023</v>
      </c>
      <c r="AH2" s="53">
        <v>46054</v>
      </c>
      <c r="AI2" s="53">
        <v>46082</v>
      </c>
      <c r="AJ2" s="53">
        <v>46113</v>
      </c>
      <c r="AK2" s="53">
        <v>46143</v>
      </c>
      <c r="AL2" s="53">
        <v>46174</v>
      </c>
      <c r="AM2" s="53">
        <v>46204</v>
      </c>
      <c r="AN2" s="53">
        <v>46235</v>
      </c>
      <c r="AO2" s="53">
        <v>46266</v>
      </c>
      <c r="AP2" s="53">
        <v>46296</v>
      </c>
      <c r="AQ2" s="53">
        <v>46327</v>
      </c>
      <c r="AR2" s="53">
        <v>46357</v>
      </c>
    </row>
    <row r="3" spans="2:44">
      <c r="B3">
        <v>25035</v>
      </c>
      <c r="C3" t="s">
        <v>135</v>
      </c>
      <c r="D3" t="str">
        <f>VLOOKUP($B3, 'Performance data'!$B:$K, 3, 0)</f>
        <v>Other</v>
      </c>
      <c r="E3" t="str">
        <f>VLOOKUP($B3, 'Performance data'!$B:$K, 4, 0)</f>
        <v>Melissa</v>
      </c>
      <c r="F3" s="39">
        <f>VLOOKUP($B3, 'Performance data'!$B:$K, 7, 0)</f>
        <v>2023</v>
      </c>
      <c r="G3" s="40"/>
      <c r="H3" s="39" t="str">
        <f>VLOOKUP($B3, 'Performance data'!$B:$K, 5, 0)</f>
        <v>B</v>
      </c>
      <c r="I3" s="39" t="s">
        <v>31</v>
      </c>
      <c r="J3" s="4">
        <f>P3</f>
        <v>0</v>
      </c>
      <c r="K3" s="40"/>
      <c r="M3" s="40" t="s">
        <v>89</v>
      </c>
      <c r="O3" s="2">
        <f>SUMIF('Performance data'!$B:$B, $B3,'Performance data'!K:K)</f>
        <v>13723.61</v>
      </c>
      <c r="P3" s="2">
        <f>SUMIF('Performance data'!$B:$B, $B3,'Performance data'!L:L)</f>
        <v>0</v>
      </c>
      <c r="Q3" s="2">
        <f>SUMIF('Performance data'!$B:$B, $B3,'Performance data'!M:M)</f>
        <v>15000</v>
      </c>
      <c r="S3" s="41">
        <f>$P3/O3-1</f>
        <v>-1</v>
      </c>
      <c r="T3" s="41">
        <f>P3/Q3-1</f>
        <v>-1</v>
      </c>
      <c r="V3" s="2">
        <f>SUMIF('Performance data'!$B:$B, $B3,'Performance data'!Z:Z)</f>
        <v>0</v>
      </c>
      <c r="W3" s="2">
        <f>SUMIF('Performance data'!$B:$B, $B3,'Performance data'!AA:AA)</f>
        <v>22651.159999999996</v>
      </c>
      <c r="X3" s="2">
        <f>SUMIF('Performance data'!$B:$B, $B3,'Performance data'!AB:AB)</f>
        <v>13723.61</v>
      </c>
      <c r="Y3" s="2">
        <f>SUMIF('Performance data'!$B:$B, $B3,'Performance data'!AD:AD)</f>
        <v>15000</v>
      </c>
      <c r="Z3" s="2">
        <f>J3</f>
        <v>0</v>
      </c>
      <c r="AA3" s="2">
        <f>K3</f>
        <v>0</v>
      </c>
      <c r="AC3" s="41">
        <f>Z3/X3-1</f>
        <v>-1</v>
      </c>
      <c r="AD3" s="41">
        <f>Z3/Y3-1</f>
        <v>-1</v>
      </c>
      <c r="AE3" s="41" t="e">
        <f>AA3/Z3-1</f>
        <v>#DIV/0!</v>
      </c>
      <c r="AG3" s="34">
        <f>$AA3*AG$1</f>
        <v>0</v>
      </c>
      <c r="AH3" s="34">
        <f t="shared" ref="AH3:AR4" si="0">$AA3*AH$1</f>
        <v>0</v>
      </c>
      <c r="AI3" s="34">
        <f t="shared" si="0"/>
        <v>0</v>
      </c>
      <c r="AJ3" s="34">
        <f t="shared" si="0"/>
        <v>0</v>
      </c>
      <c r="AK3" s="34">
        <f t="shared" si="0"/>
        <v>0</v>
      </c>
      <c r="AL3" s="34">
        <f t="shared" si="0"/>
        <v>0</v>
      </c>
      <c r="AM3" s="34">
        <f t="shared" si="0"/>
        <v>0</v>
      </c>
      <c r="AN3" s="34">
        <f t="shared" si="0"/>
        <v>0</v>
      </c>
      <c r="AO3" s="34">
        <f t="shared" si="0"/>
        <v>0</v>
      </c>
      <c r="AP3" s="34">
        <f t="shared" si="0"/>
        <v>0</v>
      </c>
      <c r="AQ3" s="34">
        <f t="shared" si="0"/>
        <v>0</v>
      </c>
      <c r="AR3" s="34">
        <f t="shared" si="0"/>
        <v>0</v>
      </c>
    </row>
    <row r="4" spans="2:44">
      <c r="B4">
        <v>25042</v>
      </c>
      <c r="C4" t="s">
        <v>136</v>
      </c>
      <c r="D4" t="str">
        <f>VLOOKUP($B4, 'Performance data'!$B:$K, 3, 0)</f>
        <v>Southeast</v>
      </c>
      <c r="E4" t="s">
        <v>120</v>
      </c>
      <c r="F4" s="39">
        <f>VLOOKUP($B4, 'Performance data'!$B:$K, 7, 0)</f>
        <v>2023</v>
      </c>
      <c r="G4" s="40"/>
      <c r="H4" s="39" t="str">
        <f>VLOOKUP($B4, 'Performance data'!$B:$K, 5, 0)</f>
        <v>A</v>
      </c>
      <c r="I4" s="39" t="s">
        <v>37</v>
      </c>
      <c r="J4" s="4">
        <f t="shared" ref="J4" si="1">P4</f>
        <v>63209.739999999991</v>
      </c>
      <c r="K4" s="40">
        <v>70000</v>
      </c>
      <c r="M4" s="40" t="s">
        <v>74</v>
      </c>
      <c r="O4" s="2">
        <f>SUMIF('Performance data'!$B:$B, $B4,'Performance data'!K:K)</f>
        <v>46123.77</v>
      </c>
      <c r="P4" s="2">
        <f>SUMIF('Performance data'!$B:$B, $B4,'Performance data'!L:L)</f>
        <v>63209.739999999991</v>
      </c>
      <c r="Q4" s="2">
        <f>SUMIF('Performance data'!$B:$B, $B4,'Performance data'!M:M)</f>
        <v>50000</v>
      </c>
      <c r="S4" s="41">
        <f t="shared" ref="S4" si="2">$P4/O4-1</f>
        <v>0.37043741220633075</v>
      </c>
      <c r="T4" s="41">
        <f t="shared" ref="T4" si="3">P4/Q4-1</f>
        <v>0.26419479999999984</v>
      </c>
      <c r="V4" s="2">
        <f>SUMIF('Performance data'!$B:$B, $B4,'Performance data'!Z:Z)</f>
        <v>0</v>
      </c>
      <c r="W4" s="2">
        <f>SUMIF('Performance data'!$B:$B, $B4,'Performance data'!AA:AA)</f>
        <v>24324</v>
      </c>
      <c r="X4" s="2">
        <f>SUMIF('Performance data'!$B:$B, $B4,'Performance data'!AB:AB)</f>
        <v>46123.77</v>
      </c>
      <c r="Y4" s="2">
        <f>SUMIF('Performance data'!$B:$B, $B4,'Performance data'!AD:AD)</f>
        <v>50000</v>
      </c>
      <c r="Z4" s="2">
        <f t="shared" ref="Z4:AA4" si="4">J4</f>
        <v>63209.739999999991</v>
      </c>
      <c r="AA4" s="2">
        <f t="shared" si="4"/>
        <v>70000</v>
      </c>
      <c r="AC4" s="41">
        <f t="shared" ref="AC4" si="5">Z4/X4-1</f>
        <v>0.37043741220633075</v>
      </c>
      <c r="AD4" s="41">
        <f t="shared" ref="AD4:AE4" si="6">Z4/Y4-1</f>
        <v>0.26419479999999984</v>
      </c>
      <c r="AE4" s="41">
        <f t="shared" si="6"/>
        <v>0.10742426720945231</v>
      </c>
      <c r="AG4" s="34">
        <f t="shared" ref="AG4:AR4" si="7">$AA4*AG$1</f>
        <v>5600</v>
      </c>
      <c r="AH4" s="34">
        <f t="shared" si="0"/>
        <v>5600</v>
      </c>
      <c r="AI4" s="34">
        <f t="shared" si="0"/>
        <v>6300</v>
      </c>
      <c r="AJ4" s="34">
        <f t="shared" si="0"/>
        <v>6300</v>
      </c>
      <c r="AK4" s="34">
        <f t="shared" si="0"/>
        <v>6300</v>
      </c>
      <c r="AL4" s="34">
        <f t="shared" si="0"/>
        <v>5600</v>
      </c>
      <c r="AM4" s="34">
        <f t="shared" si="0"/>
        <v>5600</v>
      </c>
      <c r="AN4" s="34">
        <f t="shared" si="0"/>
        <v>4200</v>
      </c>
      <c r="AO4" s="34">
        <f t="shared" si="0"/>
        <v>6300</v>
      </c>
      <c r="AP4" s="34">
        <f t="shared" si="0"/>
        <v>7000</v>
      </c>
      <c r="AQ4" s="34">
        <f t="shared" si="0"/>
        <v>6300</v>
      </c>
      <c r="AR4" s="34">
        <f t="shared" si="0"/>
        <v>4900.0000000000009</v>
      </c>
    </row>
    <row r="5" spans="2:44">
      <c r="B5" s="24" t="s">
        <v>79</v>
      </c>
      <c r="C5" s="24"/>
      <c r="D5" s="24"/>
      <c r="E5" s="24"/>
      <c r="F5" s="42"/>
      <c r="G5" s="25">
        <f>COUNTIF(G3:G4, "Yes")</f>
        <v>0</v>
      </c>
      <c r="H5" s="42"/>
      <c r="I5" s="42"/>
      <c r="J5" s="44">
        <f>SUM(J3:J4)</f>
        <v>63209.739999999991</v>
      </c>
      <c r="K5" s="44">
        <f>SUM(K3:K4)</f>
        <v>70000</v>
      </c>
      <c r="L5" s="24"/>
      <c r="M5" s="24"/>
      <c r="N5" s="24"/>
      <c r="O5" s="25">
        <f>SUM(O3:O3)</f>
        <v>13723.61</v>
      </c>
      <c r="P5" s="25">
        <f>SUM(P3:P3)</f>
        <v>0</v>
      </c>
      <c r="Q5" s="25">
        <f>SUM(Q3:Q3)</f>
        <v>15000</v>
      </c>
      <c r="R5" s="24"/>
      <c r="S5" s="43">
        <f>$P5/O5-1</f>
        <v>-1</v>
      </c>
      <c r="T5" s="43">
        <f>P5/Q5-1</f>
        <v>-1</v>
      </c>
      <c r="U5" s="24"/>
      <c r="V5" s="44">
        <f t="shared" ref="V5:AA5" si="8">SUM(V3:V4)</f>
        <v>0</v>
      </c>
      <c r="W5" s="44">
        <f t="shared" si="8"/>
        <v>46975.159999999996</v>
      </c>
      <c r="X5" s="44">
        <f t="shared" si="8"/>
        <v>59847.38</v>
      </c>
      <c r="Y5" s="44">
        <f t="shared" si="8"/>
        <v>65000</v>
      </c>
      <c r="Z5" s="44">
        <f t="shared" si="8"/>
        <v>63209.739999999991</v>
      </c>
      <c r="AA5" s="44">
        <f t="shared" si="8"/>
        <v>70000</v>
      </c>
      <c r="AB5" s="24"/>
      <c r="AC5" s="43">
        <f>Z5/X5-1</f>
        <v>5.6182242230152557E-2</v>
      </c>
      <c r="AD5" s="43">
        <f>Z5/Y5-1</f>
        <v>-2.7542461538461627E-2</v>
      </c>
      <c r="AE5" s="43">
        <f>AA5/Z5-1</f>
        <v>0.10742426720945231</v>
      </c>
      <c r="AG5" s="44">
        <f t="shared" ref="AG5:AR5" si="9">SUM(AG3:AG4)</f>
        <v>5600</v>
      </c>
      <c r="AH5" s="44">
        <f t="shared" si="9"/>
        <v>5600</v>
      </c>
      <c r="AI5" s="44">
        <f t="shared" si="9"/>
        <v>6300</v>
      </c>
      <c r="AJ5" s="44">
        <f t="shared" si="9"/>
        <v>6300</v>
      </c>
      <c r="AK5" s="44">
        <f t="shared" si="9"/>
        <v>6300</v>
      </c>
      <c r="AL5" s="44">
        <f t="shared" si="9"/>
        <v>5600</v>
      </c>
      <c r="AM5" s="44">
        <f t="shared" si="9"/>
        <v>5600</v>
      </c>
      <c r="AN5" s="44">
        <f t="shared" si="9"/>
        <v>4200</v>
      </c>
      <c r="AO5" s="44">
        <f t="shared" si="9"/>
        <v>6300</v>
      </c>
      <c r="AP5" s="44">
        <f t="shared" si="9"/>
        <v>7000</v>
      </c>
      <c r="AQ5" s="44">
        <f t="shared" si="9"/>
        <v>6300</v>
      </c>
      <c r="AR5" s="44">
        <f t="shared" si="9"/>
        <v>4900.0000000000009</v>
      </c>
    </row>
    <row r="6" spans="2:44">
      <c r="F6" s="39"/>
      <c r="H6" s="39"/>
      <c r="I6" s="39"/>
      <c r="O6" s="2"/>
      <c r="P6" s="2"/>
      <c r="Q6" s="2"/>
      <c r="S6" s="41"/>
      <c r="T6" s="41"/>
      <c r="V6" s="2"/>
      <c r="W6" s="2"/>
      <c r="X6" s="2"/>
      <c r="Y6" s="2"/>
      <c r="Z6" s="2"/>
      <c r="AA6" s="2"/>
      <c r="AC6" s="41"/>
      <c r="AD6" s="41"/>
      <c r="AE6" s="41"/>
    </row>
    <row r="7" spans="2:44">
      <c r="B7">
        <v>25075</v>
      </c>
      <c r="C7" t="s">
        <v>137</v>
      </c>
      <c r="D7" t="str">
        <f>VLOOKUP($B7, 'Performance data'!$B:$K, 3, 0)</f>
        <v>Other</v>
      </c>
      <c r="E7" t="str">
        <f>VLOOKUP($B7, 'Performance data'!$B:$K, 4, 0)</f>
        <v>Melissa</v>
      </c>
      <c r="F7" s="39">
        <f>VLOOKUP($B7, 'Performance data'!$B:$K, 7, 0)</f>
        <v>2025</v>
      </c>
      <c r="G7" s="40"/>
      <c r="H7" s="39" t="str">
        <f>VLOOKUP($B7, 'Performance data'!$B:$K, 5, 0)</f>
        <v>NKD25</v>
      </c>
      <c r="I7" s="39" t="s">
        <v>43</v>
      </c>
      <c r="J7" s="4">
        <f>P7</f>
        <v>14403.8</v>
      </c>
      <c r="K7" s="40">
        <v>20000</v>
      </c>
      <c r="M7" s="40" t="s">
        <v>74</v>
      </c>
      <c r="O7" s="2">
        <f>SUMIF('Performance data'!$B:$B, $B7,'Performance data'!K:K)</f>
        <v>0</v>
      </c>
      <c r="P7" s="2">
        <f>SUMIF('Performance data'!$B:$B, $B7,'Performance data'!L:L)</f>
        <v>14403.8</v>
      </c>
      <c r="Q7" s="2">
        <f>SUMIF('Performance data'!$B:$B, $B7,'Performance data'!M:M)</f>
        <v>0</v>
      </c>
      <c r="S7" s="41" t="e">
        <f>$P7/O7-1</f>
        <v>#DIV/0!</v>
      </c>
      <c r="T7" s="41" t="e">
        <f>P7/Q7-1</f>
        <v>#DIV/0!</v>
      </c>
      <c r="V7" s="2">
        <f>SUMIF('Performance data'!$B:$B, $B7,'Performance data'!Z:Z)</f>
        <v>0</v>
      </c>
      <c r="W7" s="2">
        <f>SUMIF('Performance data'!$B:$B, $B7,'Performance data'!AA:AA)</f>
        <v>0</v>
      </c>
      <c r="X7" s="2">
        <f>SUMIF('Performance data'!$B:$B, $B7,'Performance data'!AB:AB)</f>
        <v>0</v>
      </c>
      <c r="Y7" s="2">
        <f>SUMIF('Performance data'!$B:$B, $B7,'Performance data'!AD:AD)</f>
        <v>0</v>
      </c>
      <c r="Z7" s="2">
        <f t="shared" ref="Z7:AA8" si="10">J7</f>
        <v>14403.8</v>
      </c>
      <c r="AA7" s="2">
        <f t="shared" si="10"/>
        <v>20000</v>
      </c>
      <c r="AC7" s="41" t="e">
        <f>Z7/X7-1</f>
        <v>#DIV/0!</v>
      </c>
      <c r="AD7" s="41" t="e">
        <f t="shared" ref="AD7:AE8" si="11">Z7/Y7-1</f>
        <v>#DIV/0!</v>
      </c>
      <c r="AE7" s="41">
        <f t="shared" si="11"/>
        <v>0.38852247323622935</v>
      </c>
      <c r="AG7" s="34">
        <f t="shared" ref="AG7:AR8" si="12">$AA7*AG$1</f>
        <v>1600</v>
      </c>
      <c r="AH7" s="34">
        <f t="shared" si="12"/>
        <v>1600</v>
      </c>
      <c r="AI7" s="34">
        <f t="shared" si="12"/>
        <v>1800</v>
      </c>
      <c r="AJ7" s="34">
        <f t="shared" si="12"/>
        <v>1800</v>
      </c>
      <c r="AK7" s="34">
        <f t="shared" si="12"/>
        <v>1800</v>
      </c>
      <c r="AL7" s="34">
        <f t="shared" si="12"/>
        <v>1600</v>
      </c>
      <c r="AM7" s="34">
        <f t="shared" si="12"/>
        <v>1600</v>
      </c>
      <c r="AN7" s="34">
        <f t="shared" si="12"/>
        <v>1200</v>
      </c>
      <c r="AO7" s="34">
        <f t="shared" si="12"/>
        <v>1800</v>
      </c>
      <c r="AP7" s="34">
        <f t="shared" si="12"/>
        <v>2000</v>
      </c>
      <c r="AQ7" s="34">
        <f t="shared" si="12"/>
        <v>1800</v>
      </c>
      <c r="AR7" s="34">
        <f t="shared" si="12"/>
        <v>1400.0000000000002</v>
      </c>
    </row>
    <row r="8" spans="2:44">
      <c r="B8" t="s">
        <v>83</v>
      </c>
      <c r="C8" t="s">
        <v>84</v>
      </c>
      <c r="D8" t="s">
        <v>20</v>
      </c>
      <c r="E8" t="s">
        <v>138</v>
      </c>
      <c r="F8" s="39">
        <v>2025</v>
      </c>
      <c r="H8" t="s">
        <v>83</v>
      </c>
      <c r="O8" s="2">
        <v>0</v>
      </c>
      <c r="P8" s="2">
        <v>0</v>
      </c>
      <c r="Q8" s="2">
        <f>SUMIFS('2025 budget doc'!$AC:$AC, '2025 budget doc'!$B:$B, "NKD25", '2025 budget doc'!$E:$E, $D8)</f>
        <v>53100</v>
      </c>
      <c r="S8" s="41" t="e">
        <f>$P8/O8-1</f>
        <v>#DIV/0!</v>
      </c>
      <c r="T8" s="41">
        <f>P8/Q8-1</f>
        <v>-1</v>
      </c>
      <c r="V8" s="2">
        <v>0</v>
      </c>
      <c r="W8" s="2">
        <v>0</v>
      </c>
      <c r="X8" s="2">
        <v>0</v>
      </c>
      <c r="Y8" s="2">
        <f>SUMIFS('2025 budget doc'!$L:$L, '2025 budget doc'!$B:$B, "NKD25", '2025 budget doc'!$E:$E, $D8)</f>
        <v>90000</v>
      </c>
      <c r="Z8" s="2">
        <f t="shared" si="10"/>
        <v>0</v>
      </c>
      <c r="AA8" s="2">
        <f t="shared" si="10"/>
        <v>0</v>
      </c>
      <c r="AC8" s="41" t="e">
        <f>Z8/X8-1</f>
        <v>#DIV/0!</v>
      </c>
      <c r="AD8" s="41">
        <f t="shared" si="11"/>
        <v>-1</v>
      </c>
      <c r="AE8" s="41" t="e">
        <f t="shared" si="11"/>
        <v>#DIV/0!</v>
      </c>
      <c r="AG8" s="34">
        <f t="shared" si="12"/>
        <v>0</v>
      </c>
      <c r="AH8" s="34">
        <f t="shared" si="12"/>
        <v>0</v>
      </c>
      <c r="AI8" s="34">
        <f t="shared" si="12"/>
        <v>0</v>
      </c>
      <c r="AJ8" s="34">
        <f t="shared" si="12"/>
        <v>0</v>
      </c>
      <c r="AK8" s="34">
        <f t="shared" si="12"/>
        <v>0</v>
      </c>
      <c r="AL8" s="34">
        <f t="shared" si="12"/>
        <v>0</v>
      </c>
      <c r="AM8" s="34">
        <f t="shared" si="12"/>
        <v>0</v>
      </c>
      <c r="AN8" s="34">
        <f t="shared" si="12"/>
        <v>0</v>
      </c>
      <c r="AO8" s="34">
        <f t="shared" si="12"/>
        <v>0</v>
      </c>
      <c r="AP8" s="34">
        <f t="shared" si="12"/>
        <v>0</v>
      </c>
      <c r="AQ8" s="34">
        <f t="shared" si="12"/>
        <v>0</v>
      </c>
      <c r="AR8" s="34">
        <f t="shared" si="12"/>
        <v>0</v>
      </c>
    </row>
    <row r="10" spans="2:44">
      <c r="B10" s="24" t="s">
        <v>85</v>
      </c>
      <c r="C10" s="24"/>
      <c r="D10" s="24"/>
      <c r="E10" s="24"/>
      <c r="F10" s="42"/>
      <c r="G10" s="44">
        <f>COUNTIF(G7:G7, "Yes")+G8</f>
        <v>0</v>
      </c>
      <c r="H10" s="42"/>
      <c r="I10" s="42"/>
      <c r="J10" s="44">
        <f>SUM(J7:J8)</f>
        <v>14403.8</v>
      </c>
      <c r="K10" s="25">
        <f>SUM(K7:K8)</f>
        <v>20000</v>
      </c>
      <c r="L10" s="24"/>
      <c r="M10" s="24"/>
      <c r="N10" s="24"/>
      <c r="O10" s="25">
        <f>SUM(O7:O8)</f>
        <v>0</v>
      </c>
      <c r="P10" s="25">
        <f>SUM(P7:P8)</f>
        <v>14403.8</v>
      </c>
      <c r="Q10" s="25">
        <f>SUM(Q7:Q8)</f>
        <v>53100</v>
      </c>
      <c r="R10" s="24"/>
      <c r="S10" s="43" t="e">
        <f>$P10/O10-1</f>
        <v>#DIV/0!</v>
      </c>
      <c r="T10" s="43">
        <f>P10/Q10-1</f>
        <v>-0.72874199623352165</v>
      </c>
      <c r="U10" s="24"/>
      <c r="V10" s="25">
        <f t="shared" ref="V10:AA10" si="13">SUM(V7:V8)</f>
        <v>0</v>
      </c>
      <c r="W10" s="25">
        <f t="shared" si="13"/>
        <v>0</v>
      </c>
      <c r="X10" s="25">
        <f t="shared" si="13"/>
        <v>0</v>
      </c>
      <c r="Y10" s="25">
        <f t="shared" si="13"/>
        <v>90000</v>
      </c>
      <c r="Z10" s="25">
        <f t="shared" si="13"/>
        <v>14403.8</v>
      </c>
      <c r="AA10" s="25">
        <f t="shared" si="13"/>
        <v>20000</v>
      </c>
      <c r="AB10" s="24"/>
      <c r="AC10" s="43" t="e">
        <f>Z10/X10-1</f>
        <v>#DIV/0!</v>
      </c>
      <c r="AD10" s="43">
        <f>Z10/Y10-1</f>
        <v>-0.8399577777777778</v>
      </c>
      <c r="AE10" s="43">
        <f>AA10/Z10-1</f>
        <v>0.38852247323622935</v>
      </c>
      <c r="AG10" s="25">
        <f t="shared" ref="AG10:AR10" si="14">SUM(AG7:AG8)</f>
        <v>1600</v>
      </c>
      <c r="AH10" s="25">
        <f t="shared" si="14"/>
        <v>1600</v>
      </c>
      <c r="AI10" s="25">
        <f t="shared" si="14"/>
        <v>1800</v>
      </c>
      <c r="AJ10" s="25">
        <f t="shared" si="14"/>
        <v>1800</v>
      </c>
      <c r="AK10" s="25">
        <f t="shared" si="14"/>
        <v>1800</v>
      </c>
      <c r="AL10" s="25">
        <f t="shared" si="14"/>
        <v>1600</v>
      </c>
      <c r="AM10" s="25">
        <f t="shared" si="14"/>
        <v>1600</v>
      </c>
      <c r="AN10" s="25">
        <f t="shared" si="14"/>
        <v>1200</v>
      </c>
      <c r="AO10" s="25">
        <f t="shared" si="14"/>
        <v>1800</v>
      </c>
      <c r="AP10" s="25">
        <f t="shared" si="14"/>
        <v>2000</v>
      </c>
      <c r="AQ10" s="25">
        <f t="shared" si="14"/>
        <v>1800</v>
      </c>
      <c r="AR10" s="25">
        <f t="shared" si="14"/>
        <v>1400.0000000000002</v>
      </c>
    </row>
    <row r="14" spans="2:44">
      <c r="B14" t="s">
        <v>50</v>
      </c>
      <c r="C14" t="s">
        <v>86</v>
      </c>
      <c r="D14" t="s">
        <v>20</v>
      </c>
      <c r="E14" t="s">
        <v>138</v>
      </c>
      <c r="F14" s="39">
        <v>2026</v>
      </c>
      <c r="G14" s="40"/>
      <c r="H14" t="s">
        <v>50</v>
      </c>
      <c r="K14" s="33"/>
      <c r="O14" s="2">
        <v>0</v>
      </c>
      <c r="P14" s="2">
        <v>0</v>
      </c>
      <c r="Q14" s="2">
        <v>0</v>
      </c>
      <c r="S14" s="41" t="e">
        <f>$P14/O14-1</f>
        <v>#DIV/0!</v>
      </c>
      <c r="T14" s="41" t="e">
        <f>P14/Q14-1</f>
        <v>#DIV/0!</v>
      </c>
      <c r="V14" s="2">
        <v>0</v>
      </c>
      <c r="W14" s="2">
        <v>0</v>
      </c>
      <c r="X14" s="2">
        <v>0</v>
      </c>
      <c r="Y14" s="2">
        <v>0</v>
      </c>
      <c r="Z14" s="2">
        <f>J14</f>
        <v>0</v>
      </c>
      <c r="AA14" s="2">
        <f>K14</f>
        <v>0</v>
      </c>
      <c r="AC14" s="41" t="e">
        <f>Z14/X14-1</f>
        <v>#DIV/0!</v>
      </c>
      <c r="AD14" s="41" t="e">
        <f>Z14/Y14-1</f>
        <v>#DIV/0!</v>
      </c>
      <c r="AE14" s="41" t="e">
        <f>AA14/Z14-1</f>
        <v>#DIV/0!</v>
      </c>
    </row>
    <row r="16" spans="2:44">
      <c r="B16" s="24" t="s">
        <v>87</v>
      </c>
      <c r="C16" s="24"/>
      <c r="D16" s="24"/>
      <c r="E16" s="24"/>
      <c r="F16" s="42"/>
      <c r="G16" s="44">
        <f>COUNTIF(G13:G13, "Yes")+G14</f>
        <v>0</v>
      </c>
      <c r="H16" s="42"/>
      <c r="I16" s="42"/>
      <c r="J16" s="44">
        <f t="shared" ref="J16:K16" si="15">SUM(J13:J14)</f>
        <v>0</v>
      </c>
      <c r="K16" s="25">
        <f t="shared" si="15"/>
        <v>0</v>
      </c>
      <c r="L16" s="24"/>
      <c r="M16" s="24"/>
      <c r="N16" s="24"/>
      <c r="O16" s="25">
        <f t="shared" ref="O16:Q16" si="16">SUM(O13:O14)</f>
        <v>0</v>
      </c>
      <c r="P16" s="25">
        <f t="shared" si="16"/>
        <v>0</v>
      </c>
      <c r="Q16" s="25">
        <f t="shared" si="16"/>
        <v>0</v>
      </c>
      <c r="R16" s="24"/>
      <c r="S16" s="43" t="e">
        <f>$P16/O16-1</f>
        <v>#DIV/0!</v>
      </c>
      <c r="T16" s="43" t="e">
        <f>P16/Q16-1</f>
        <v>#DIV/0!</v>
      </c>
      <c r="U16" s="24"/>
      <c r="V16" s="25">
        <f t="shared" ref="V16:AA16" si="17">SUM(V13:V14)</f>
        <v>0</v>
      </c>
      <c r="W16" s="25">
        <f t="shared" si="17"/>
        <v>0</v>
      </c>
      <c r="X16" s="25">
        <f t="shared" si="17"/>
        <v>0</v>
      </c>
      <c r="Y16" s="25">
        <f t="shared" si="17"/>
        <v>0</v>
      </c>
      <c r="Z16" s="25">
        <f t="shared" si="17"/>
        <v>0</v>
      </c>
      <c r="AA16" s="25">
        <f t="shared" si="17"/>
        <v>0</v>
      </c>
      <c r="AB16" s="24"/>
      <c r="AC16" s="43" t="e">
        <f>Z16/X16-1</f>
        <v>#DIV/0!</v>
      </c>
      <c r="AD16" s="43" t="e">
        <f>Z16/Y16-1</f>
        <v>#DIV/0!</v>
      </c>
      <c r="AE16" s="43" t="e">
        <f>AA16/Z16-1</f>
        <v>#DIV/0!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30F1161-C247-45F4-A731-B2E5DC228FAD}">
          <x14:formula1>
            <xm:f>List!$B$2:$B$3</xm:f>
          </x14:formula1>
          <xm:sqref>G7 G3:G4</xm:sqref>
        </x14:dataValidation>
        <x14:dataValidation type="list" allowBlank="1" showInputMessage="1" showErrorMessage="1" xr:uid="{5A1DB136-991C-46FC-A7E9-C2064232239A}">
          <x14:formula1>
            <xm:f>List!$D$2:$D$4</xm:f>
          </x14:formula1>
          <xm:sqref>M7 M3:M4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8738-E5D9-4D6D-A8FA-0A9FA70948C7}">
  <dimension ref="B1:AE25"/>
  <sheetViews>
    <sheetView showGridLines="0" workbookViewId="0">
      <pane xSplit="3" ySplit="2" topLeftCell="D3" activePane="bottomRight" state="frozen"/>
      <selection pane="bottomRight" activeCell="I3" sqref="I3:I18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31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</row>
    <row r="2" spans="2:31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62</v>
      </c>
      <c r="AA2" s="38" t="s">
        <v>4</v>
      </c>
      <c r="AB2" s="1"/>
      <c r="AC2" s="1" t="s">
        <v>68</v>
      </c>
      <c r="AD2" s="1" t="s">
        <v>69</v>
      </c>
      <c r="AE2" s="1" t="s">
        <v>139</v>
      </c>
    </row>
    <row r="3" spans="2:31">
      <c r="B3">
        <v>25003</v>
      </c>
      <c r="C3" t="s">
        <v>140</v>
      </c>
      <c r="D3" t="str">
        <f>VLOOKUP($B3, 'Performance data'!$B:$K, 3, 0)</f>
        <v>Southeast</v>
      </c>
      <c r="E3" t="str">
        <f>VLOOKUP($B3, 'Performance data'!$B:$K, 4, 0)</f>
        <v>Lisa</v>
      </c>
      <c r="F3" s="39">
        <f>VLOOKUP($B3, 'Performance data'!$B:$K, 7, 0)</f>
        <v>2021</v>
      </c>
      <c r="G3" s="40" t="s">
        <v>141</v>
      </c>
      <c r="H3" s="39" t="str">
        <f>VLOOKUP($B3, 'Performance data'!$B:$K, 5, 0)</f>
        <v>N/A</v>
      </c>
      <c r="I3" s="39" t="s">
        <v>31</v>
      </c>
      <c r="J3" s="4">
        <f>P3</f>
        <v>0</v>
      </c>
      <c r="K3" s="40">
        <v>0</v>
      </c>
      <c r="M3" s="40" t="s">
        <v>89</v>
      </c>
      <c r="O3" s="2">
        <f>SUMIF('Performance data'!$B:$B, $B3,'Performance data'!K:K)</f>
        <v>0</v>
      </c>
      <c r="P3" s="2">
        <f>SUMIF('Performance data'!$B:$B, $B3,'Performance data'!L:L)</f>
        <v>0</v>
      </c>
      <c r="Q3" s="2">
        <f>SUMIF('Performance data'!$B:$B, $B3,'Performance data'!M:M)</f>
        <v>0</v>
      </c>
      <c r="S3" s="41" t="e">
        <f>$P3/O3-1</f>
        <v>#DIV/0!</v>
      </c>
      <c r="T3" s="41" t="e">
        <f>P3/Q3-1</f>
        <v>#DIV/0!</v>
      </c>
      <c r="V3" s="2">
        <f>SUMIF('Performance data'!$B:$B, $B3,'Performance data'!Z:Z)</f>
        <v>1917.25</v>
      </c>
      <c r="W3" s="2">
        <f>SUMIF('Performance data'!$B:$B, $B3,'Performance data'!AA:AA)</f>
        <v>0</v>
      </c>
      <c r="X3" s="2">
        <f>SUMIF('Performance data'!$B:$B, $B3,'Performance data'!AB:AB)</f>
        <v>0</v>
      </c>
      <c r="Y3" s="2">
        <f>SUMIF('Performance data'!$B:$B, $B3,'Performance data'!AD:AD)</f>
        <v>0</v>
      </c>
      <c r="Z3" s="2">
        <f>J3</f>
        <v>0</v>
      </c>
      <c r="AA3" s="2">
        <f>K3</f>
        <v>0</v>
      </c>
      <c r="AC3" s="41" t="e">
        <f>Z3/X3-1</f>
        <v>#DIV/0!</v>
      </c>
      <c r="AD3" s="41" t="e">
        <f>Z3/Y3-1</f>
        <v>#DIV/0!</v>
      </c>
      <c r="AE3" s="41" t="e">
        <f>AA3/Z3-1</f>
        <v>#DIV/0!</v>
      </c>
    </row>
    <row r="4" spans="2:31">
      <c r="B4">
        <v>25009</v>
      </c>
      <c r="C4" t="s">
        <v>142</v>
      </c>
      <c r="D4" t="str">
        <f>VLOOKUP($B4, 'Performance data'!$B:$K, 3, 0)</f>
        <v>West</v>
      </c>
      <c r="E4" t="str">
        <f>VLOOKUP($B4, 'Performance data'!$B:$K, 4, 0)</f>
        <v>Amy</v>
      </c>
      <c r="F4" s="39">
        <f>VLOOKUP($B4, 'Performance data'!$B:$K, 7, 0)</f>
        <v>2022</v>
      </c>
      <c r="G4" s="40" t="s">
        <v>141</v>
      </c>
      <c r="H4" s="39" t="str">
        <f>VLOOKUP($B4, 'Performance data'!$B:$K, 5, 0)</f>
        <v>N/A</v>
      </c>
      <c r="I4" s="39" t="s">
        <v>31</v>
      </c>
      <c r="J4" s="4">
        <f t="shared" ref="J4:J18" si="0">P4</f>
        <v>0</v>
      </c>
      <c r="K4" s="40">
        <v>0</v>
      </c>
      <c r="M4" s="40" t="s">
        <v>89</v>
      </c>
      <c r="O4" s="2">
        <f>SUMIF('Performance data'!$B:$B, $B4,'Performance data'!K:K)</f>
        <v>0</v>
      </c>
      <c r="P4" s="2">
        <f>SUMIF('Performance data'!$B:$B, $B4,'Performance data'!L:L)</f>
        <v>0</v>
      </c>
      <c r="Q4" s="2">
        <f>SUMIF('Performance data'!$B:$B, $B4,'Performance data'!M:M)</f>
        <v>0</v>
      </c>
      <c r="S4" s="41" t="e">
        <f t="shared" ref="S4:S18" si="1">$P4/O4-1</f>
        <v>#DIV/0!</v>
      </c>
      <c r="T4" s="41" t="e">
        <f t="shared" ref="T4:T18" si="2">P4/Q4-1</f>
        <v>#DIV/0!</v>
      </c>
      <c r="V4" s="2">
        <f>SUMIF('Performance data'!$B:$B, $B4,'Performance data'!Z:Z)</f>
        <v>22959.840000000004</v>
      </c>
      <c r="W4" s="2">
        <f>SUMIF('Performance data'!$B:$B, $B4,'Performance data'!AA:AA)</f>
        <v>9876.65</v>
      </c>
      <c r="X4" s="2">
        <f>SUMIF('Performance data'!$B:$B, $B4,'Performance data'!AB:AB)</f>
        <v>0</v>
      </c>
      <c r="Y4" s="2">
        <f>SUMIF('Performance data'!$B:$B, $B4,'Performance data'!AD:AD)</f>
        <v>0</v>
      </c>
      <c r="Z4" s="2">
        <f t="shared" ref="Z4:AA18" si="3">J4</f>
        <v>0</v>
      </c>
      <c r="AA4" s="2">
        <f t="shared" si="3"/>
        <v>0</v>
      </c>
      <c r="AC4" s="41" t="e">
        <f t="shared" ref="AC4:AC18" si="4">Z4/X4-1</f>
        <v>#DIV/0!</v>
      </c>
      <c r="AD4" s="41" t="e">
        <f t="shared" ref="AD4:AE18" si="5">Z4/Y4-1</f>
        <v>#DIV/0!</v>
      </c>
      <c r="AE4" s="41" t="e">
        <f t="shared" si="5"/>
        <v>#DIV/0!</v>
      </c>
    </row>
    <row r="5" spans="2:31">
      <c r="B5">
        <v>25011</v>
      </c>
      <c r="C5" t="s">
        <v>143</v>
      </c>
      <c r="D5" t="str">
        <f>VLOOKUP($B5, 'Performance data'!$B:$K, 3, 0)</f>
        <v>West</v>
      </c>
      <c r="E5" t="str">
        <f>VLOOKUP($B5, 'Performance data'!$B:$K, 4, 0)</f>
        <v>Amy</v>
      </c>
      <c r="F5" s="39">
        <f>VLOOKUP($B5, 'Performance data'!$B:$K, 7, 0)</f>
        <v>2022</v>
      </c>
      <c r="G5" s="40" t="s">
        <v>141</v>
      </c>
      <c r="H5" s="39" t="str">
        <f>VLOOKUP($B5, 'Performance data'!$B:$K, 5, 0)</f>
        <v>N/A</v>
      </c>
      <c r="I5" s="39" t="s">
        <v>31</v>
      </c>
      <c r="J5" s="4">
        <f t="shared" si="0"/>
        <v>0</v>
      </c>
      <c r="K5" s="40">
        <v>0</v>
      </c>
      <c r="M5" s="40" t="s">
        <v>89</v>
      </c>
      <c r="O5" s="2">
        <f>SUMIF('Performance data'!$B:$B, $B5,'Performance data'!K:K)</f>
        <v>0</v>
      </c>
      <c r="P5" s="2">
        <f>SUMIF('Performance data'!$B:$B, $B5,'Performance data'!L:L)</f>
        <v>0</v>
      </c>
      <c r="Q5" s="2">
        <f>SUMIF('Performance data'!$B:$B, $B5,'Performance data'!M:M)</f>
        <v>0</v>
      </c>
      <c r="S5" s="41" t="e">
        <f t="shared" si="1"/>
        <v>#DIV/0!</v>
      </c>
      <c r="T5" s="41" t="e">
        <f t="shared" si="2"/>
        <v>#DIV/0!</v>
      </c>
      <c r="V5" s="2">
        <f>SUMIF('Performance data'!$B:$B, $B5,'Performance data'!Z:Z)</f>
        <v>25189.200000000001</v>
      </c>
      <c r="W5" s="2">
        <f>SUMIF('Performance data'!$B:$B, $B5,'Performance data'!AA:AA)</f>
        <v>524.20000000000005</v>
      </c>
      <c r="X5" s="2">
        <f>SUMIF('Performance data'!$B:$B, $B5,'Performance data'!AB:AB)</f>
        <v>0</v>
      </c>
      <c r="Y5" s="2">
        <f>SUMIF('Performance data'!$B:$B, $B5,'Performance data'!AD:AD)</f>
        <v>0</v>
      </c>
      <c r="Z5" s="2">
        <f t="shared" si="3"/>
        <v>0</v>
      </c>
      <c r="AA5" s="2">
        <f t="shared" si="3"/>
        <v>0</v>
      </c>
      <c r="AC5" s="41" t="e">
        <f t="shared" si="4"/>
        <v>#DIV/0!</v>
      </c>
      <c r="AD5" s="41" t="e">
        <f t="shared" si="5"/>
        <v>#DIV/0!</v>
      </c>
      <c r="AE5" s="41" t="e">
        <f t="shared" si="5"/>
        <v>#DIV/0!</v>
      </c>
    </row>
    <row r="6" spans="2:31">
      <c r="B6">
        <v>25013</v>
      </c>
      <c r="C6" t="s">
        <v>144</v>
      </c>
      <c r="D6" t="str">
        <f>VLOOKUP($B6, 'Performance data'!$B:$K, 3, 0)</f>
        <v>Central</v>
      </c>
      <c r="E6" t="str">
        <f>VLOOKUP($B6, 'Performance data'!$B:$K, 4, 0)</f>
        <v>Emily</v>
      </c>
      <c r="F6" s="39">
        <f>VLOOKUP($B6, 'Performance data'!$B:$K, 7, 0)</f>
        <v>2022</v>
      </c>
      <c r="G6" s="40" t="s">
        <v>141</v>
      </c>
      <c r="H6" s="39" t="str">
        <f>VLOOKUP($B6, 'Performance data'!$B:$K, 5, 0)</f>
        <v>N/A</v>
      </c>
      <c r="I6" s="39" t="s">
        <v>31</v>
      </c>
      <c r="J6" s="4">
        <f t="shared" si="0"/>
        <v>0</v>
      </c>
      <c r="K6" s="40">
        <v>0</v>
      </c>
      <c r="M6" s="40" t="s">
        <v>89</v>
      </c>
      <c r="O6" s="2">
        <f>SUMIF('Performance data'!$B:$B, $B6,'Performance data'!K:K)</f>
        <v>0</v>
      </c>
      <c r="P6" s="2">
        <f>SUMIF('Performance data'!$B:$B, $B6,'Performance data'!L:L)</f>
        <v>0</v>
      </c>
      <c r="Q6" s="2">
        <f>SUMIF('Performance data'!$B:$B, $B6,'Performance data'!M:M)</f>
        <v>0</v>
      </c>
      <c r="S6" s="41" t="e">
        <f t="shared" si="1"/>
        <v>#DIV/0!</v>
      </c>
      <c r="T6" s="41" t="e">
        <f t="shared" si="2"/>
        <v>#DIV/0!</v>
      </c>
      <c r="V6" s="2">
        <f>SUMIF('Performance data'!$B:$B, $B6,'Performance data'!Z:Z)</f>
        <v>28353.3</v>
      </c>
      <c r="W6" s="2">
        <f>SUMIF('Performance data'!$B:$B, $B6,'Performance data'!AA:AA)</f>
        <v>0</v>
      </c>
      <c r="X6" s="2">
        <f>SUMIF('Performance data'!$B:$B, $B6,'Performance data'!AB:AB)</f>
        <v>0</v>
      </c>
      <c r="Y6" s="2">
        <f>SUMIF('Performance data'!$B:$B, $B6,'Performance data'!AD:AD)</f>
        <v>0</v>
      </c>
      <c r="Z6" s="2">
        <f t="shared" si="3"/>
        <v>0</v>
      </c>
      <c r="AA6" s="2">
        <f t="shared" si="3"/>
        <v>0</v>
      </c>
      <c r="AC6" s="41" t="e">
        <f t="shared" si="4"/>
        <v>#DIV/0!</v>
      </c>
      <c r="AD6" s="41" t="e">
        <f t="shared" si="5"/>
        <v>#DIV/0!</v>
      </c>
      <c r="AE6" s="41" t="e">
        <f t="shared" si="5"/>
        <v>#DIV/0!</v>
      </c>
    </row>
    <row r="7" spans="2:31">
      <c r="B7">
        <v>25018</v>
      </c>
      <c r="C7" t="s">
        <v>145</v>
      </c>
      <c r="D7" t="str">
        <f>VLOOKUP($B7, 'Performance data'!$B:$K, 3, 0)</f>
        <v>Southeast</v>
      </c>
      <c r="E7" t="str">
        <f>VLOOKUP($B7, 'Performance data'!$B:$K, 4, 0)</f>
        <v>Lisa</v>
      </c>
      <c r="F7" s="39">
        <f>VLOOKUP($B7, 'Performance data'!$B:$K, 7, 0)</f>
        <v>2022</v>
      </c>
      <c r="G7" s="40" t="s">
        <v>141</v>
      </c>
      <c r="H7" s="39" t="str">
        <f>VLOOKUP($B7, 'Performance data'!$B:$K, 5, 0)</f>
        <v>N/A</v>
      </c>
      <c r="I7" s="39" t="s">
        <v>31</v>
      </c>
      <c r="J7" s="4">
        <f t="shared" si="0"/>
        <v>0</v>
      </c>
      <c r="K7" s="40">
        <v>0</v>
      </c>
      <c r="M7" s="40" t="s">
        <v>89</v>
      </c>
      <c r="O7" s="2">
        <f>SUMIF('Performance data'!$B:$B, $B7,'Performance data'!K:K)</f>
        <v>0</v>
      </c>
      <c r="P7" s="2">
        <f>SUMIF('Performance data'!$B:$B, $B7,'Performance data'!L:L)</f>
        <v>0</v>
      </c>
      <c r="Q7" s="2">
        <f>SUMIF('Performance data'!$B:$B, $B7,'Performance data'!M:M)</f>
        <v>0</v>
      </c>
      <c r="S7" s="41" t="e">
        <f t="shared" si="1"/>
        <v>#DIV/0!</v>
      </c>
      <c r="T7" s="41" t="e">
        <f t="shared" si="2"/>
        <v>#DIV/0!</v>
      </c>
      <c r="V7" s="2">
        <f>SUMIF('Performance data'!$B:$B, $B7,'Performance data'!Z:Z)</f>
        <v>8694</v>
      </c>
      <c r="W7" s="2">
        <f>SUMIF('Performance data'!$B:$B, $B7,'Performance data'!AA:AA)</f>
        <v>0</v>
      </c>
      <c r="X7" s="2">
        <f>SUMIF('Performance data'!$B:$B, $B7,'Performance data'!AB:AB)</f>
        <v>0</v>
      </c>
      <c r="Y7" s="2">
        <f>SUMIF('Performance data'!$B:$B, $B7,'Performance data'!AD:AD)</f>
        <v>0</v>
      </c>
      <c r="Z7" s="2">
        <f t="shared" si="3"/>
        <v>0</v>
      </c>
      <c r="AA7" s="2">
        <f t="shared" si="3"/>
        <v>0</v>
      </c>
      <c r="AC7" s="41" t="e">
        <f t="shared" si="4"/>
        <v>#DIV/0!</v>
      </c>
      <c r="AD7" s="41" t="e">
        <f t="shared" si="5"/>
        <v>#DIV/0!</v>
      </c>
      <c r="AE7" s="41" t="e">
        <f t="shared" si="5"/>
        <v>#DIV/0!</v>
      </c>
    </row>
    <row r="8" spans="2:31">
      <c r="B8">
        <v>25019</v>
      </c>
      <c r="C8" t="s">
        <v>146</v>
      </c>
      <c r="D8" t="str">
        <f>VLOOKUP($B8, 'Performance data'!$B:$K, 3, 0)</f>
        <v>Southeast</v>
      </c>
      <c r="E8" t="str">
        <f>VLOOKUP($B8, 'Performance data'!$B:$K, 4, 0)</f>
        <v>Lisa</v>
      </c>
      <c r="F8" s="39">
        <f>VLOOKUP($B8, 'Performance data'!$B:$K, 7, 0)</f>
        <v>2022</v>
      </c>
      <c r="G8" s="40" t="s">
        <v>141</v>
      </c>
      <c r="H8" s="39" t="str">
        <f>VLOOKUP($B8, 'Performance data'!$B:$K, 5, 0)</f>
        <v>N/A</v>
      </c>
      <c r="I8" s="39" t="s">
        <v>31</v>
      </c>
      <c r="J8" s="4">
        <f t="shared" si="0"/>
        <v>0</v>
      </c>
      <c r="K8" s="40">
        <v>0</v>
      </c>
      <c r="M8" s="40" t="s">
        <v>89</v>
      </c>
      <c r="O8" s="2">
        <f>SUMIF('Performance data'!$B:$B, $B8,'Performance data'!K:K)</f>
        <v>0</v>
      </c>
      <c r="P8" s="2">
        <f>SUMIF('Performance data'!$B:$B, $B8,'Performance data'!L:L)</f>
        <v>0</v>
      </c>
      <c r="Q8" s="2">
        <f>SUMIF('Performance data'!$B:$B, $B8,'Performance data'!M:M)</f>
        <v>0</v>
      </c>
      <c r="S8" s="41" t="e">
        <f t="shared" si="1"/>
        <v>#DIV/0!</v>
      </c>
      <c r="T8" s="41" t="e">
        <f t="shared" si="2"/>
        <v>#DIV/0!</v>
      </c>
      <c r="V8" s="2">
        <f>SUMIF('Performance data'!$B:$B, $B8,'Performance data'!Z:Z)</f>
        <v>3203.8</v>
      </c>
      <c r="W8" s="2">
        <f>SUMIF('Performance data'!$B:$B, $B8,'Performance data'!AA:AA)</f>
        <v>0</v>
      </c>
      <c r="X8" s="2">
        <f>SUMIF('Performance data'!$B:$B, $B8,'Performance data'!AB:AB)</f>
        <v>0</v>
      </c>
      <c r="Y8" s="2">
        <f>SUMIF('Performance data'!$B:$B, $B8,'Performance data'!AD:AD)</f>
        <v>0</v>
      </c>
      <c r="Z8" s="2">
        <f t="shared" si="3"/>
        <v>0</v>
      </c>
      <c r="AA8" s="2">
        <f t="shared" si="3"/>
        <v>0</v>
      </c>
      <c r="AC8" s="41" t="e">
        <f t="shared" si="4"/>
        <v>#DIV/0!</v>
      </c>
      <c r="AD8" s="41" t="e">
        <f t="shared" si="5"/>
        <v>#DIV/0!</v>
      </c>
      <c r="AE8" s="41" t="e">
        <f t="shared" si="5"/>
        <v>#DIV/0!</v>
      </c>
    </row>
    <row r="9" spans="2:31">
      <c r="B9">
        <v>25020</v>
      </c>
      <c r="C9" t="s">
        <v>147</v>
      </c>
      <c r="D9" t="str">
        <f>VLOOKUP($B9, 'Performance data'!$B:$K, 3, 0)</f>
        <v>Southeast</v>
      </c>
      <c r="E9" t="str">
        <f>VLOOKUP($B9, 'Performance data'!$B:$K, 4, 0)</f>
        <v>Lisa</v>
      </c>
      <c r="F9" s="39">
        <f>VLOOKUP($B9, 'Performance data'!$B:$K, 7, 0)</f>
        <v>2022</v>
      </c>
      <c r="G9" s="40" t="s">
        <v>141</v>
      </c>
      <c r="H9" s="39" t="str">
        <f>VLOOKUP($B9, 'Performance data'!$B:$K, 5, 0)</f>
        <v>N/A</v>
      </c>
      <c r="I9" s="39" t="s">
        <v>31</v>
      </c>
      <c r="J9" s="4">
        <f t="shared" si="0"/>
        <v>0</v>
      </c>
      <c r="K9" s="40">
        <v>0</v>
      </c>
      <c r="M9" s="40" t="s">
        <v>89</v>
      </c>
      <c r="O9" s="2">
        <f>SUMIF('Performance data'!$B:$B, $B9,'Performance data'!K:K)</f>
        <v>0</v>
      </c>
      <c r="P9" s="2">
        <f>SUMIF('Performance data'!$B:$B, $B9,'Performance data'!L:L)</f>
        <v>0</v>
      </c>
      <c r="Q9" s="2">
        <f>SUMIF('Performance data'!$B:$B, $B9,'Performance data'!M:M)</f>
        <v>0</v>
      </c>
      <c r="S9" s="41" t="e">
        <f t="shared" ref="S9:S15" si="6">$P9/O9-1</f>
        <v>#DIV/0!</v>
      </c>
      <c r="T9" s="41" t="e">
        <f t="shared" ref="T9:T15" si="7">P9/Q9-1</f>
        <v>#DIV/0!</v>
      </c>
      <c r="V9" s="2">
        <f>SUMIF('Performance data'!$B:$B, $B9,'Performance data'!Z:Z)</f>
        <v>7514.3</v>
      </c>
      <c r="W9" s="2">
        <f>SUMIF('Performance data'!$B:$B, $B9,'Performance data'!AA:AA)</f>
        <v>0</v>
      </c>
      <c r="X9" s="2">
        <f>SUMIF('Performance data'!$B:$B, $B9,'Performance data'!AB:AB)</f>
        <v>0</v>
      </c>
      <c r="Y9" s="2">
        <f>SUMIF('Performance data'!$B:$B, $B9,'Performance data'!AD:AD)</f>
        <v>0</v>
      </c>
      <c r="Z9" s="2">
        <f t="shared" ref="Z9:Z15" si="8">J9</f>
        <v>0</v>
      </c>
      <c r="AA9" s="2">
        <f t="shared" ref="AA9:AA15" si="9">K9</f>
        <v>0</v>
      </c>
      <c r="AC9" s="41" t="e">
        <f t="shared" ref="AC9:AC15" si="10">Z9/X9-1</f>
        <v>#DIV/0!</v>
      </c>
      <c r="AD9" s="41" t="e">
        <f t="shared" ref="AD9:AD15" si="11">Z9/Y9-1</f>
        <v>#DIV/0!</v>
      </c>
      <c r="AE9" s="41" t="e">
        <f t="shared" ref="AE9:AE15" si="12">AA9/Z9-1</f>
        <v>#DIV/0!</v>
      </c>
    </row>
    <row r="10" spans="2:31">
      <c r="B10">
        <v>25021</v>
      </c>
      <c r="C10" t="s">
        <v>148</v>
      </c>
      <c r="D10" t="str">
        <f>VLOOKUP($B10, 'Performance data'!$B:$K, 3, 0)</f>
        <v>Central</v>
      </c>
      <c r="E10" t="str">
        <f>VLOOKUP($B10, 'Performance data'!$B:$K, 4, 0)</f>
        <v>Amy</v>
      </c>
      <c r="F10" s="39" t="str">
        <f>VLOOKUP($B10, 'Performance data'!$B:$K, 7, 0)</f>
        <v>N/A</v>
      </c>
      <c r="G10" s="40" t="s">
        <v>141</v>
      </c>
      <c r="H10" s="39" t="str">
        <f>VLOOKUP($B10, 'Performance data'!$B:$K, 5, 0)</f>
        <v>N/A</v>
      </c>
      <c r="I10" s="39" t="s">
        <v>31</v>
      </c>
      <c r="J10" s="4">
        <f t="shared" si="0"/>
        <v>0</v>
      </c>
      <c r="K10" s="40">
        <v>0</v>
      </c>
      <c r="M10" s="40" t="s">
        <v>89</v>
      </c>
      <c r="O10" s="2">
        <f>SUMIF('Performance data'!$B:$B, $B10,'Performance data'!K:K)</f>
        <v>0</v>
      </c>
      <c r="P10" s="2">
        <f>SUMIF('Performance data'!$B:$B, $B10,'Performance data'!L:L)</f>
        <v>0</v>
      </c>
      <c r="Q10" s="2">
        <f>SUMIF('Performance data'!$B:$B, $B10,'Performance data'!M:M)</f>
        <v>0</v>
      </c>
      <c r="S10" s="41" t="e">
        <f t="shared" si="6"/>
        <v>#DIV/0!</v>
      </c>
      <c r="T10" s="41" t="e">
        <f t="shared" si="7"/>
        <v>#DIV/0!</v>
      </c>
      <c r="V10" s="2">
        <f>SUMIF('Performance data'!$B:$B, $B10,'Performance data'!Z:Z)</f>
        <v>0</v>
      </c>
      <c r="W10" s="2">
        <f>SUMIF('Performance data'!$B:$B, $B10,'Performance data'!AA:AA)</f>
        <v>0</v>
      </c>
      <c r="X10" s="2">
        <f>SUMIF('Performance data'!$B:$B, $B10,'Performance data'!AB:AB)</f>
        <v>0</v>
      </c>
      <c r="Y10" s="2">
        <f>SUMIF('Performance data'!$B:$B, $B10,'Performance data'!AD:AD)</f>
        <v>0</v>
      </c>
      <c r="Z10" s="2">
        <f t="shared" si="8"/>
        <v>0</v>
      </c>
      <c r="AA10" s="2">
        <f t="shared" si="9"/>
        <v>0</v>
      </c>
      <c r="AC10" s="41" t="e">
        <f t="shared" si="10"/>
        <v>#DIV/0!</v>
      </c>
      <c r="AD10" s="41" t="e">
        <f t="shared" si="11"/>
        <v>#DIV/0!</v>
      </c>
      <c r="AE10" s="41" t="e">
        <f t="shared" si="12"/>
        <v>#DIV/0!</v>
      </c>
    </row>
    <row r="11" spans="2:31">
      <c r="B11">
        <v>25022</v>
      </c>
      <c r="C11" t="s">
        <v>149</v>
      </c>
      <c r="D11" t="str">
        <f>VLOOKUP($B11, 'Performance data'!$B:$K, 3, 0)</f>
        <v>Central</v>
      </c>
      <c r="E11" t="str">
        <f>VLOOKUP($B11, 'Performance data'!$B:$K, 4, 0)</f>
        <v>Amy</v>
      </c>
      <c r="F11" s="39">
        <f>VLOOKUP($B11, 'Performance data'!$B:$K, 7, 0)</f>
        <v>2022</v>
      </c>
      <c r="G11" s="40" t="s">
        <v>141</v>
      </c>
      <c r="H11" s="39" t="str">
        <f>VLOOKUP($B11, 'Performance data'!$B:$K, 5, 0)</f>
        <v>N/A</v>
      </c>
      <c r="I11" s="39" t="s">
        <v>31</v>
      </c>
      <c r="J11" s="4">
        <f t="shared" si="0"/>
        <v>0</v>
      </c>
      <c r="K11" s="40">
        <v>0</v>
      </c>
      <c r="M11" s="40" t="s">
        <v>89</v>
      </c>
      <c r="O11" s="2">
        <f>SUMIF('Performance data'!$B:$B, $B11,'Performance data'!K:K)</f>
        <v>0</v>
      </c>
      <c r="P11" s="2">
        <f>SUMIF('Performance data'!$B:$B, $B11,'Performance data'!L:L)</f>
        <v>0</v>
      </c>
      <c r="Q11" s="2">
        <f>SUMIF('Performance data'!$B:$B, $B11,'Performance data'!M:M)</f>
        <v>0</v>
      </c>
      <c r="S11" s="41" t="e">
        <f t="shared" si="6"/>
        <v>#DIV/0!</v>
      </c>
      <c r="T11" s="41" t="e">
        <f t="shared" si="7"/>
        <v>#DIV/0!</v>
      </c>
      <c r="V11" s="2">
        <f>SUMIF('Performance data'!$B:$B, $B11,'Performance data'!Z:Z)</f>
        <v>2997.3</v>
      </c>
      <c r="W11" s="2">
        <f>SUMIF('Performance data'!$B:$B, $B11,'Performance data'!AA:AA)</f>
        <v>0</v>
      </c>
      <c r="X11" s="2">
        <f>SUMIF('Performance data'!$B:$B, $B11,'Performance data'!AB:AB)</f>
        <v>0</v>
      </c>
      <c r="Y11" s="2">
        <f>SUMIF('Performance data'!$B:$B, $B11,'Performance data'!AD:AD)</f>
        <v>0</v>
      </c>
      <c r="Z11" s="2">
        <f t="shared" si="8"/>
        <v>0</v>
      </c>
      <c r="AA11" s="2">
        <f t="shared" si="9"/>
        <v>0</v>
      </c>
      <c r="AC11" s="41" t="e">
        <f t="shared" si="10"/>
        <v>#DIV/0!</v>
      </c>
      <c r="AD11" s="41" t="e">
        <f t="shared" si="11"/>
        <v>#DIV/0!</v>
      </c>
      <c r="AE11" s="41" t="e">
        <f t="shared" si="12"/>
        <v>#DIV/0!</v>
      </c>
    </row>
    <row r="12" spans="2:31">
      <c r="B12">
        <v>25023</v>
      </c>
      <c r="C12" t="s">
        <v>150</v>
      </c>
      <c r="D12" t="str">
        <f>VLOOKUP($B12, 'Performance data'!$B:$K, 3, 0)</f>
        <v>Central</v>
      </c>
      <c r="E12" t="str">
        <f>VLOOKUP($B12, 'Performance data'!$B:$K, 4, 0)</f>
        <v>Amy</v>
      </c>
      <c r="F12" s="39">
        <f>VLOOKUP($B12, 'Performance data'!$B:$K, 7, 0)</f>
        <v>2022</v>
      </c>
      <c r="G12" s="40" t="s">
        <v>141</v>
      </c>
      <c r="H12" s="39" t="str">
        <f>VLOOKUP($B12, 'Performance data'!$B:$K, 5, 0)</f>
        <v>N/A</v>
      </c>
      <c r="I12" s="39" t="s">
        <v>31</v>
      </c>
      <c r="J12" s="4">
        <f t="shared" si="0"/>
        <v>0</v>
      </c>
      <c r="K12" s="40">
        <v>0</v>
      </c>
      <c r="M12" s="40" t="s">
        <v>89</v>
      </c>
      <c r="O12" s="2">
        <f>SUMIF('Performance data'!$B:$B, $B12,'Performance data'!K:K)</f>
        <v>0</v>
      </c>
      <c r="P12" s="2">
        <f>SUMIF('Performance data'!$B:$B, $B12,'Performance data'!L:L)</f>
        <v>0</v>
      </c>
      <c r="Q12" s="2">
        <f>SUMIF('Performance data'!$B:$B, $B12,'Performance data'!M:M)</f>
        <v>0</v>
      </c>
      <c r="S12" s="41" t="e">
        <f t="shared" si="6"/>
        <v>#DIV/0!</v>
      </c>
      <c r="T12" s="41" t="e">
        <f t="shared" si="7"/>
        <v>#DIV/0!</v>
      </c>
      <c r="V12" s="2">
        <f>SUMIF('Performance data'!$B:$B, $B12,'Performance data'!Z:Z)</f>
        <v>8796.7999999999993</v>
      </c>
      <c r="W12" s="2">
        <f>SUMIF('Performance data'!$B:$B, $B12,'Performance data'!AA:AA)</f>
        <v>6782.98</v>
      </c>
      <c r="X12" s="2">
        <f>SUMIF('Performance data'!$B:$B, $B12,'Performance data'!AB:AB)</f>
        <v>0</v>
      </c>
      <c r="Y12" s="2">
        <f>SUMIF('Performance data'!$B:$B, $B12,'Performance data'!AD:AD)</f>
        <v>0</v>
      </c>
      <c r="Z12" s="2">
        <f t="shared" si="8"/>
        <v>0</v>
      </c>
      <c r="AA12" s="2">
        <f t="shared" si="9"/>
        <v>0</v>
      </c>
      <c r="AC12" s="41" t="e">
        <f t="shared" si="10"/>
        <v>#DIV/0!</v>
      </c>
      <c r="AD12" s="41" t="e">
        <f t="shared" si="11"/>
        <v>#DIV/0!</v>
      </c>
      <c r="AE12" s="41" t="e">
        <f t="shared" si="12"/>
        <v>#DIV/0!</v>
      </c>
    </row>
    <row r="13" spans="2:31">
      <c r="B13">
        <v>25025</v>
      </c>
      <c r="C13" t="s">
        <v>151</v>
      </c>
      <c r="D13" t="str">
        <f>VLOOKUP($B13, 'Performance data'!$B:$K, 3, 0)</f>
        <v>Southeast</v>
      </c>
      <c r="E13" t="str">
        <f>VLOOKUP($B13, 'Performance data'!$B:$K, 4, 0)</f>
        <v>Lisa</v>
      </c>
      <c r="F13" s="39" t="str">
        <f>VLOOKUP($B13, 'Performance data'!$B:$K, 7, 0)</f>
        <v>N/A</v>
      </c>
      <c r="G13" s="40" t="s">
        <v>141</v>
      </c>
      <c r="H13" s="39" t="str">
        <f>VLOOKUP($B13, 'Performance data'!$B:$K, 5, 0)</f>
        <v>N/A</v>
      </c>
      <c r="I13" s="39" t="s">
        <v>31</v>
      </c>
      <c r="J13" s="4">
        <f t="shared" si="0"/>
        <v>0</v>
      </c>
      <c r="K13" s="40">
        <v>0</v>
      </c>
      <c r="M13" s="40" t="s">
        <v>89</v>
      </c>
      <c r="O13" s="2">
        <f>SUMIF('Performance data'!$B:$B, $B13,'Performance data'!K:K)</f>
        <v>0</v>
      </c>
      <c r="P13" s="2">
        <f>SUMIF('Performance data'!$B:$B, $B13,'Performance data'!L:L)</f>
        <v>0</v>
      </c>
      <c r="Q13" s="2">
        <f>SUMIF('Performance data'!$B:$B, $B13,'Performance data'!M:M)</f>
        <v>0</v>
      </c>
      <c r="S13" s="41" t="e">
        <f t="shared" si="6"/>
        <v>#DIV/0!</v>
      </c>
      <c r="T13" s="41" t="e">
        <f t="shared" si="7"/>
        <v>#DIV/0!</v>
      </c>
      <c r="V13" s="2">
        <f>SUMIF('Performance data'!$B:$B, $B13,'Performance data'!Z:Z)</f>
        <v>0</v>
      </c>
      <c r="W13" s="2">
        <f>SUMIF('Performance data'!$B:$B, $B13,'Performance data'!AA:AA)</f>
        <v>0</v>
      </c>
      <c r="X13" s="2">
        <f>SUMIF('Performance data'!$B:$B, $B13,'Performance data'!AB:AB)</f>
        <v>0</v>
      </c>
      <c r="Y13" s="2">
        <f>SUMIF('Performance data'!$B:$B, $B13,'Performance data'!AD:AD)</f>
        <v>0</v>
      </c>
      <c r="Z13" s="2">
        <f t="shared" si="8"/>
        <v>0</v>
      </c>
      <c r="AA13" s="2">
        <f t="shared" si="9"/>
        <v>0</v>
      </c>
      <c r="AC13" s="41" t="e">
        <f t="shared" si="10"/>
        <v>#DIV/0!</v>
      </c>
      <c r="AD13" s="41" t="e">
        <f t="shared" si="11"/>
        <v>#DIV/0!</v>
      </c>
      <c r="AE13" s="41" t="e">
        <f t="shared" si="12"/>
        <v>#DIV/0!</v>
      </c>
    </row>
    <row r="14" spans="2:31">
      <c r="B14">
        <v>25028</v>
      </c>
      <c r="C14" t="s">
        <v>152</v>
      </c>
      <c r="D14" t="str">
        <f>VLOOKUP($B14, 'Performance data'!$B:$K, 3, 0)</f>
        <v>Northeast</v>
      </c>
      <c r="E14" t="str">
        <f>VLOOKUP($B14, 'Performance data'!$B:$K, 4, 0)</f>
        <v>Emily</v>
      </c>
      <c r="F14" s="39">
        <f>VLOOKUP($B14, 'Performance data'!$B:$K, 7, 0)</f>
        <v>2023</v>
      </c>
      <c r="G14" s="40" t="s">
        <v>141</v>
      </c>
      <c r="H14" s="39" t="str">
        <f>VLOOKUP($B14, 'Performance data'!$B:$K, 5, 0)</f>
        <v>N/A</v>
      </c>
      <c r="I14" s="39" t="s">
        <v>31</v>
      </c>
      <c r="J14" s="4">
        <f t="shared" si="0"/>
        <v>0</v>
      </c>
      <c r="K14" s="40">
        <v>0</v>
      </c>
      <c r="M14" s="40" t="s">
        <v>89</v>
      </c>
      <c r="O14" s="2">
        <f>SUMIF('Performance data'!$B:$B, $B14,'Performance data'!K:K)</f>
        <v>0</v>
      </c>
      <c r="P14" s="2">
        <f>SUMIF('Performance data'!$B:$B, $B14,'Performance data'!L:L)</f>
        <v>0</v>
      </c>
      <c r="Q14" s="2">
        <f>SUMIF('Performance data'!$B:$B, $B14,'Performance data'!M:M)</f>
        <v>0</v>
      </c>
      <c r="S14" s="41" t="e">
        <f t="shared" si="6"/>
        <v>#DIV/0!</v>
      </c>
      <c r="T14" s="41" t="e">
        <f t="shared" si="7"/>
        <v>#DIV/0!</v>
      </c>
      <c r="V14" s="2">
        <f>SUMIF('Performance data'!$B:$B, $B14,'Performance data'!Z:Z)</f>
        <v>0</v>
      </c>
      <c r="W14" s="2">
        <f>SUMIF('Performance data'!$B:$B, $B14,'Performance data'!AA:AA)</f>
        <v>2978</v>
      </c>
      <c r="X14" s="2">
        <f>SUMIF('Performance data'!$B:$B, $B14,'Performance data'!AB:AB)</f>
        <v>0</v>
      </c>
      <c r="Y14" s="2">
        <f>SUMIF('Performance data'!$B:$B, $B14,'Performance data'!AD:AD)</f>
        <v>0</v>
      </c>
      <c r="Z14" s="2">
        <f t="shared" si="8"/>
        <v>0</v>
      </c>
      <c r="AA14" s="2">
        <f t="shared" si="9"/>
        <v>0</v>
      </c>
      <c r="AC14" s="41" t="e">
        <f t="shared" si="10"/>
        <v>#DIV/0!</v>
      </c>
      <c r="AD14" s="41" t="e">
        <f t="shared" si="11"/>
        <v>#DIV/0!</v>
      </c>
      <c r="AE14" s="41" t="e">
        <f t="shared" si="12"/>
        <v>#DIV/0!</v>
      </c>
    </row>
    <row r="15" spans="2:31">
      <c r="B15">
        <v>25033</v>
      </c>
      <c r="C15" t="s">
        <v>153</v>
      </c>
      <c r="D15" t="str">
        <f>VLOOKUP($B15, 'Performance data'!$B:$K, 3, 0)</f>
        <v>Northeast</v>
      </c>
      <c r="E15" t="str">
        <f>VLOOKUP($B15, 'Performance data'!$B:$K, 4, 0)</f>
        <v>Emily</v>
      </c>
      <c r="F15" s="39">
        <f>VLOOKUP($B15, 'Performance data'!$B:$K, 7, 0)</f>
        <v>2023</v>
      </c>
      <c r="G15" s="40" t="s">
        <v>141</v>
      </c>
      <c r="H15" s="39" t="str">
        <f>VLOOKUP($B15, 'Performance data'!$B:$K, 5, 0)</f>
        <v>N/A</v>
      </c>
      <c r="I15" s="39" t="s">
        <v>31</v>
      </c>
      <c r="J15" s="4">
        <f t="shared" si="0"/>
        <v>0</v>
      </c>
      <c r="K15" s="40">
        <v>0</v>
      </c>
      <c r="M15" s="40" t="s">
        <v>89</v>
      </c>
      <c r="O15" s="2">
        <f>SUMIF('Performance data'!$B:$B, $B15,'Performance data'!K:K)</f>
        <v>0</v>
      </c>
      <c r="P15" s="2">
        <f>SUMIF('Performance data'!$B:$B, $B15,'Performance data'!L:L)</f>
        <v>0</v>
      </c>
      <c r="Q15" s="2">
        <f>SUMIF('Performance data'!$B:$B, $B15,'Performance data'!M:M)</f>
        <v>0</v>
      </c>
      <c r="S15" s="41" t="e">
        <f t="shared" si="6"/>
        <v>#DIV/0!</v>
      </c>
      <c r="T15" s="41" t="e">
        <f t="shared" si="7"/>
        <v>#DIV/0!</v>
      </c>
      <c r="V15" s="2">
        <f>SUMIF('Performance data'!$B:$B, $B15,'Performance data'!Z:Z)</f>
        <v>0</v>
      </c>
      <c r="W15" s="2">
        <f>SUMIF('Performance data'!$B:$B, $B15,'Performance data'!AA:AA)</f>
        <v>5424.13</v>
      </c>
      <c r="X15" s="2">
        <f>SUMIF('Performance data'!$B:$B, $B15,'Performance data'!AB:AB)</f>
        <v>0</v>
      </c>
      <c r="Y15" s="2">
        <f>SUMIF('Performance data'!$B:$B, $B15,'Performance data'!AD:AD)</f>
        <v>0</v>
      </c>
      <c r="Z15" s="2">
        <f t="shared" si="8"/>
        <v>0</v>
      </c>
      <c r="AA15" s="2">
        <f t="shared" si="9"/>
        <v>0</v>
      </c>
      <c r="AC15" s="41" t="e">
        <f t="shared" si="10"/>
        <v>#DIV/0!</v>
      </c>
      <c r="AD15" s="41" t="e">
        <f t="shared" si="11"/>
        <v>#DIV/0!</v>
      </c>
      <c r="AE15" s="41" t="e">
        <f t="shared" si="12"/>
        <v>#DIV/0!</v>
      </c>
    </row>
    <row r="16" spans="2:31">
      <c r="B16">
        <v>25034</v>
      </c>
      <c r="C16" t="s">
        <v>154</v>
      </c>
      <c r="D16" t="str">
        <f>VLOOKUP($B16, 'Performance data'!$B:$K, 3, 0)</f>
        <v>Other</v>
      </c>
      <c r="E16" t="str">
        <f>VLOOKUP($B16, 'Performance data'!$B:$K, 4, 0)</f>
        <v>Melissa</v>
      </c>
      <c r="F16" s="39">
        <f>VLOOKUP($B16, 'Performance data'!$B:$K, 7, 0)</f>
        <v>2023</v>
      </c>
      <c r="G16" s="40" t="s">
        <v>141</v>
      </c>
      <c r="H16" s="39" t="str">
        <f>VLOOKUP($B16, 'Performance data'!$B:$K, 5, 0)</f>
        <v>N/A</v>
      </c>
      <c r="I16" s="39" t="s">
        <v>31</v>
      </c>
      <c r="J16" s="4">
        <f t="shared" si="0"/>
        <v>0</v>
      </c>
      <c r="K16" s="40">
        <v>0</v>
      </c>
      <c r="M16" s="40" t="s">
        <v>89</v>
      </c>
      <c r="O16" s="2">
        <f>SUMIF('Performance data'!$B:$B, $B16,'Performance data'!K:K)</f>
        <v>0</v>
      </c>
      <c r="P16" s="2">
        <f>SUMIF('Performance data'!$B:$B, $B16,'Performance data'!L:L)</f>
        <v>0</v>
      </c>
      <c r="Q16" s="2">
        <f>SUMIF('Performance data'!$B:$B, $B16,'Performance data'!M:M)</f>
        <v>0</v>
      </c>
      <c r="S16" s="41" t="e">
        <f t="shared" si="1"/>
        <v>#DIV/0!</v>
      </c>
      <c r="T16" s="41" t="e">
        <f t="shared" si="2"/>
        <v>#DIV/0!</v>
      </c>
      <c r="V16" s="2">
        <f>SUMIF('Performance data'!$B:$B, $B16,'Performance data'!Z:Z)</f>
        <v>0</v>
      </c>
      <c r="W16" s="2">
        <f>SUMIF('Performance data'!$B:$B, $B16,'Performance data'!AA:AA)</f>
        <v>494</v>
      </c>
      <c r="X16" s="2">
        <f>SUMIF('Performance data'!$B:$B, $B16,'Performance data'!AB:AB)</f>
        <v>0</v>
      </c>
      <c r="Y16" s="2">
        <f>SUMIF('Performance data'!$B:$B, $B16,'Performance data'!AD:AD)</f>
        <v>0</v>
      </c>
      <c r="Z16" s="2">
        <f t="shared" si="3"/>
        <v>0</v>
      </c>
      <c r="AA16" s="2">
        <f t="shared" si="3"/>
        <v>0</v>
      </c>
      <c r="AC16" s="41" t="e">
        <f t="shared" si="4"/>
        <v>#DIV/0!</v>
      </c>
      <c r="AD16" s="41" t="e">
        <f t="shared" si="5"/>
        <v>#DIV/0!</v>
      </c>
      <c r="AE16" s="41" t="e">
        <f t="shared" si="5"/>
        <v>#DIV/0!</v>
      </c>
    </row>
    <row r="17" spans="2:31">
      <c r="B17">
        <v>25041</v>
      </c>
      <c r="C17" t="s">
        <v>155</v>
      </c>
      <c r="D17" t="str">
        <f>VLOOKUP($B17, 'Performance data'!$B:$K, 3, 0)</f>
        <v>Central</v>
      </c>
      <c r="E17" t="str">
        <f>VLOOKUP($B17, 'Performance data'!$B:$K, 4, 0)</f>
        <v>Emily</v>
      </c>
      <c r="F17" s="39">
        <f>VLOOKUP($B17, 'Performance data'!$B:$K, 7, 0)</f>
        <v>2023</v>
      </c>
      <c r="G17" s="40" t="s">
        <v>141</v>
      </c>
      <c r="H17" s="39" t="str">
        <f>VLOOKUP($B17, 'Performance data'!$B:$K, 5, 0)</f>
        <v>N/A</v>
      </c>
      <c r="I17" s="39" t="s">
        <v>31</v>
      </c>
      <c r="J17" s="4">
        <f t="shared" si="0"/>
        <v>0</v>
      </c>
      <c r="K17" s="40">
        <v>0</v>
      </c>
      <c r="M17" s="40" t="s">
        <v>89</v>
      </c>
      <c r="O17" s="2">
        <f>SUMIF('Performance data'!$B:$B, $B17,'Performance data'!K:K)</f>
        <v>0</v>
      </c>
      <c r="P17" s="2">
        <f>SUMIF('Performance data'!$B:$B, $B17,'Performance data'!L:L)</f>
        <v>0</v>
      </c>
      <c r="Q17" s="2">
        <f>SUMIF('Performance data'!$B:$B, $B17,'Performance data'!M:M)</f>
        <v>0</v>
      </c>
      <c r="S17" s="41" t="e">
        <f t="shared" si="1"/>
        <v>#DIV/0!</v>
      </c>
      <c r="T17" s="41" t="e">
        <f t="shared" si="2"/>
        <v>#DIV/0!</v>
      </c>
      <c r="V17" s="2">
        <f>SUMIF('Performance data'!$B:$B, $B17,'Performance data'!Z:Z)</f>
        <v>0</v>
      </c>
      <c r="W17" s="2">
        <f>SUMIF('Performance data'!$B:$B, $B17,'Performance data'!AA:AA)</f>
        <v>575.16</v>
      </c>
      <c r="X17" s="2">
        <f>SUMIF('Performance data'!$B:$B, $B17,'Performance data'!AB:AB)</f>
        <v>0</v>
      </c>
      <c r="Y17" s="2">
        <f>SUMIF('Performance data'!$B:$B, $B17,'Performance data'!AD:AD)</f>
        <v>0</v>
      </c>
      <c r="Z17" s="2">
        <f t="shared" si="3"/>
        <v>0</v>
      </c>
      <c r="AA17" s="2">
        <f t="shared" si="3"/>
        <v>0</v>
      </c>
      <c r="AC17" s="41" t="e">
        <f t="shared" si="4"/>
        <v>#DIV/0!</v>
      </c>
      <c r="AD17" s="41" t="e">
        <f t="shared" si="5"/>
        <v>#DIV/0!</v>
      </c>
      <c r="AE17" s="41" t="e">
        <f t="shared" si="5"/>
        <v>#DIV/0!</v>
      </c>
    </row>
    <row r="18" spans="2:31">
      <c r="B18">
        <v>25057</v>
      </c>
      <c r="C18" t="s">
        <v>156</v>
      </c>
      <c r="D18" t="str">
        <f>VLOOKUP($B18, 'Performance data'!$B:$K, 3, 0)</f>
        <v>Central</v>
      </c>
      <c r="E18" t="str">
        <f>VLOOKUP($B18, 'Performance data'!$B:$K, 4, 0)</f>
        <v>Emily</v>
      </c>
      <c r="F18" s="39">
        <f>VLOOKUP($B18, 'Performance data'!$B:$K, 7, 0)</f>
        <v>2024</v>
      </c>
      <c r="G18" s="40" t="s">
        <v>141</v>
      </c>
      <c r="H18" s="39" t="str">
        <f>VLOOKUP($B18, 'Performance data'!$B:$K, 5, 0)</f>
        <v>NKD24</v>
      </c>
      <c r="I18" s="39" t="s">
        <v>31</v>
      </c>
      <c r="J18" s="4">
        <f t="shared" si="0"/>
        <v>0</v>
      </c>
      <c r="K18" s="40">
        <v>0</v>
      </c>
      <c r="M18" s="40" t="s">
        <v>89</v>
      </c>
      <c r="O18" s="2">
        <f>SUMIF('Performance data'!$B:$B, $B18,'Performance data'!K:K)</f>
        <v>5494</v>
      </c>
      <c r="P18" s="2">
        <f>SUMIF('Performance data'!$B:$B, $B18,'Performance data'!L:L)</f>
        <v>0</v>
      </c>
      <c r="Q18" s="2">
        <f>SUMIF('Performance data'!$B:$B, $B18,'Performance data'!M:M)</f>
        <v>10000</v>
      </c>
      <c r="S18" s="41">
        <f t="shared" si="1"/>
        <v>-1</v>
      </c>
      <c r="T18" s="41">
        <f t="shared" si="2"/>
        <v>-1</v>
      </c>
      <c r="V18" s="2">
        <f>SUMIF('Performance data'!$B:$B, $B18,'Performance data'!Z:Z)</f>
        <v>0</v>
      </c>
      <c r="W18" s="2">
        <f>SUMIF('Performance data'!$B:$B, $B18,'Performance data'!AA:AA)</f>
        <v>0</v>
      </c>
      <c r="X18" s="2">
        <f>SUMIF('Performance data'!$B:$B, $B18,'Performance data'!AB:AB)</f>
        <v>5494</v>
      </c>
      <c r="Y18" s="2">
        <f>SUMIF('Performance data'!$B:$B, $B18,'Performance data'!AD:AD)</f>
        <v>10000</v>
      </c>
      <c r="Z18" s="2">
        <f t="shared" si="3"/>
        <v>0</v>
      </c>
      <c r="AA18" s="2">
        <f t="shared" si="3"/>
        <v>0</v>
      </c>
      <c r="AC18" s="41">
        <f t="shared" si="4"/>
        <v>-1</v>
      </c>
      <c r="AD18" s="41">
        <f t="shared" si="5"/>
        <v>-1</v>
      </c>
      <c r="AE18" s="41" t="e">
        <f t="shared" si="5"/>
        <v>#DIV/0!</v>
      </c>
    </row>
    <row r="19" spans="2:31">
      <c r="F19" s="39"/>
      <c r="G19" s="40"/>
      <c r="H19" s="39"/>
      <c r="I19" s="39"/>
      <c r="K19" s="40"/>
      <c r="M19" s="40"/>
      <c r="O19" s="2"/>
      <c r="P19" s="2"/>
      <c r="Q19" s="2"/>
      <c r="S19" s="41"/>
      <c r="T19" s="41"/>
      <c r="V19" s="2"/>
      <c r="W19" s="2"/>
      <c r="X19" s="2"/>
      <c r="Y19" s="2"/>
      <c r="Z19" s="2"/>
      <c r="AA19" s="2"/>
      <c r="AC19" s="41"/>
      <c r="AD19" s="41"/>
      <c r="AE19" s="41"/>
    </row>
    <row r="20" spans="2:31">
      <c r="F20" s="39"/>
      <c r="G20" s="40"/>
      <c r="H20" s="39"/>
      <c r="I20" s="39"/>
      <c r="K20" s="40"/>
      <c r="M20" s="40"/>
      <c r="O20" s="2"/>
      <c r="P20" s="2"/>
      <c r="Q20" s="2"/>
      <c r="S20" s="41"/>
      <c r="T20" s="41"/>
      <c r="V20" s="2"/>
      <c r="W20" s="2"/>
      <c r="X20" s="2"/>
      <c r="Y20" s="2"/>
      <c r="Z20" s="2"/>
      <c r="AA20" s="2"/>
      <c r="AC20" s="41"/>
      <c r="AD20" s="41"/>
      <c r="AE20" s="41"/>
    </row>
    <row r="21" spans="2:31">
      <c r="F21" s="39"/>
      <c r="G21" s="40"/>
      <c r="H21" s="39"/>
      <c r="I21" s="39"/>
      <c r="K21" s="40"/>
      <c r="M21" s="40"/>
      <c r="O21" s="2"/>
      <c r="P21" s="2"/>
      <c r="Q21" s="2"/>
      <c r="S21" s="41"/>
      <c r="T21" s="41"/>
      <c r="V21" s="2"/>
      <c r="W21" s="2"/>
      <c r="X21" s="2"/>
      <c r="Y21" s="2"/>
      <c r="Z21" s="2"/>
      <c r="AA21" s="2"/>
      <c r="AC21" s="41"/>
      <c r="AD21" s="41"/>
      <c r="AE21" s="41"/>
    </row>
    <row r="22" spans="2:31">
      <c r="F22" s="39"/>
      <c r="G22" s="40"/>
      <c r="H22" s="39"/>
      <c r="I22" s="39"/>
      <c r="K22" s="40"/>
      <c r="M22" s="40"/>
      <c r="O22" s="2"/>
      <c r="P22" s="2"/>
      <c r="Q22" s="2"/>
      <c r="S22" s="41"/>
      <c r="T22" s="41"/>
      <c r="V22" s="2"/>
      <c r="W22" s="2"/>
      <c r="X22" s="2"/>
      <c r="Y22" s="2"/>
      <c r="Z22" s="2"/>
      <c r="AA22" s="2"/>
      <c r="AC22" s="41"/>
      <c r="AD22" s="41"/>
      <c r="AE22" s="41"/>
    </row>
    <row r="23" spans="2:31">
      <c r="F23" s="39"/>
      <c r="G23" s="40"/>
      <c r="H23" s="39"/>
      <c r="I23" s="39"/>
      <c r="K23" s="40"/>
      <c r="M23" s="40"/>
      <c r="O23" s="2"/>
      <c r="P23" s="2"/>
      <c r="Q23" s="2"/>
      <c r="S23" s="41"/>
      <c r="T23" s="41"/>
      <c r="V23" s="2"/>
      <c r="W23" s="2"/>
      <c r="X23" s="2"/>
      <c r="Y23" s="2"/>
      <c r="Z23" s="2"/>
      <c r="AA23" s="2"/>
      <c r="AC23" s="41"/>
      <c r="AD23" s="41"/>
      <c r="AE23" s="41"/>
    </row>
    <row r="24" spans="2:31">
      <c r="B24" s="24" t="s">
        <v>157</v>
      </c>
      <c r="C24" s="24"/>
      <c r="D24" s="24"/>
      <c r="E24" s="24"/>
      <c r="F24" s="42"/>
      <c r="G24" s="25">
        <f>COUNTIF(G3:G23, "Yes")</f>
        <v>0</v>
      </c>
      <c r="H24" s="42"/>
      <c r="I24" s="42"/>
      <c r="J24" s="44">
        <f>SUM(J3:J23)</f>
        <v>0</v>
      </c>
      <c r="K24" s="25">
        <f>SUM(K3:K23)</f>
        <v>0</v>
      </c>
      <c r="L24" s="24"/>
      <c r="M24" s="24"/>
      <c r="N24" s="24"/>
      <c r="O24" s="25">
        <f t="shared" ref="O24:Q24" si="13">SUM(O3:O23)</f>
        <v>5494</v>
      </c>
      <c r="P24" s="25">
        <f t="shared" si="13"/>
        <v>0</v>
      </c>
      <c r="Q24" s="25">
        <f t="shared" si="13"/>
        <v>10000</v>
      </c>
      <c r="R24" s="24"/>
      <c r="S24" s="43">
        <f>$P24/O24-1</f>
        <v>-1</v>
      </c>
      <c r="T24" s="43">
        <f>P24/Q24-1</f>
        <v>-1</v>
      </c>
      <c r="U24" s="24"/>
      <c r="V24" s="25">
        <f t="shared" ref="V24:AA24" si="14">SUM(V3:V23)</f>
        <v>109625.79000000002</v>
      </c>
      <c r="W24" s="25">
        <f t="shared" si="14"/>
        <v>26655.120000000003</v>
      </c>
      <c r="X24" s="25">
        <f t="shared" si="14"/>
        <v>5494</v>
      </c>
      <c r="Y24" s="25">
        <f t="shared" si="14"/>
        <v>10000</v>
      </c>
      <c r="Z24" s="25">
        <f t="shared" si="14"/>
        <v>0</v>
      </c>
      <c r="AA24" s="25">
        <f t="shared" si="14"/>
        <v>0</v>
      </c>
      <c r="AB24" s="24"/>
      <c r="AC24" s="43">
        <f>Z24/X24-1</f>
        <v>-1</v>
      </c>
      <c r="AD24" s="43">
        <f>Z24/Y24-1</f>
        <v>-1</v>
      </c>
      <c r="AE24" s="43" t="e">
        <f>AA24/Z24-1</f>
        <v>#DIV/0!</v>
      </c>
    </row>
    <row r="25" spans="2:31">
      <c r="F25" s="39"/>
      <c r="H25" s="39"/>
      <c r="I25" s="39"/>
      <c r="O25" s="2"/>
      <c r="P25" s="2"/>
      <c r="Q25" s="2"/>
      <c r="S25" s="41"/>
      <c r="T25" s="41"/>
      <c r="V25" s="2"/>
      <c r="W25" s="2"/>
      <c r="X25" s="2"/>
      <c r="Y25" s="2"/>
      <c r="Z25" s="2"/>
      <c r="AA25" s="2"/>
      <c r="AC25" s="41"/>
      <c r="AD25" s="41"/>
      <c r="AE25" s="4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321BD16-546E-4C3B-88BC-E67A27E6E763}">
          <x14:formula1>
            <xm:f>List!$B$2:$B$3</xm:f>
          </x14:formula1>
          <xm:sqref>G3:G23</xm:sqref>
        </x14:dataValidation>
        <x14:dataValidation type="list" allowBlank="1" showInputMessage="1" showErrorMessage="1" xr:uid="{30E27D87-5C7C-4243-8DDF-37FB8628C589}">
          <x14:formula1>
            <xm:f>List!$D$2:$D$4</xm:f>
          </x14:formula1>
          <xm:sqref>M3:M23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3094-036A-434A-B99C-3E588A4C74D2}">
  <dimension ref="B1:AO71"/>
  <sheetViews>
    <sheetView showGridLines="0" topLeftCell="A38" workbookViewId="0">
      <selection activeCell="B67" sqref="B67:C68"/>
    </sheetView>
  </sheetViews>
  <sheetFormatPr defaultColWidth="8.85546875" defaultRowHeight="15"/>
  <cols>
    <col min="2" max="2" width="13.140625" bestFit="1" customWidth="1"/>
    <col min="3" max="3" width="48.28515625" bestFit="1" customWidth="1"/>
    <col min="4" max="4" width="9.42578125" customWidth="1"/>
    <col min="5" max="5" width="12.28515625" bestFit="1" customWidth="1"/>
    <col min="6" max="6" width="12.28515625" customWidth="1"/>
    <col min="8" max="8" width="13.7109375" bestFit="1" customWidth="1"/>
    <col min="14" max="14" width="3" customWidth="1"/>
    <col min="20" max="20" width="3" customWidth="1"/>
  </cols>
  <sheetData>
    <row r="1" spans="2:41">
      <c r="Z1" t="s">
        <v>53</v>
      </c>
      <c r="AA1" t="s">
        <v>53</v>
      </c>
      <c r="AB1" t="s">
        <v>53</v>
      </c>
      <c r="AC1" t="s">
        <v>53</v>
      </c>
      <c r="AD1" t="s">
        <v>53</v>
      </c>
      <c r="AF1" t="s">
        <v>53</v>
      </c>
      <c r="AG1" t="s">
        <v>53</v>
      </c>
      <c r="AH1" t="s">
        <v>53</v>
      </c>
      <c r="AI1" t="s">
        <v>53</v>
      </c>
      <c r="AJ1" t="s">
        <v>53</v>
      </c>
      <c r="AL1" t="s">
        <v>53</v>
      </c>
      <c r="AM1" t="s">
        <v>53</v>
      </c>
      <c r="AN1" t="s">
        <v>53</v>
      </c>
      <c r="AO1" t="s">
        <v>53</v>
      </c>
    </row>
    <row r="2" spans="2:41" ht="45">
      <c r="B2" s="1" t="s">
        <v>158</v>
      </c>
      <c r="C2" s="1" t="s">
        <v>55</v>
      </c>
      <c r="D2" s="1" t="s">
        <v>56</v>
      </c>
      <c r="E2" s="1" t="s">
        <v>57</v>
      </c>
      <c r="F2" s="1" t="s">
        <v>35</v>
      </c>
      <c r="G2" s="1" t="s">
        <v>59</v>
      </c>
      <c r="H2" s="1" t="s">
        <v>58</v>
      </c>
      <c r="I2" s="38">
        <v>2022</v>
      </c>
      <c r="J2" s="38">
        <v>2023</v>
      </c>
      <c r="K2" s="38">
        <v>2024</v>
      </c>
      <c r="L2" s="38">
        <v>2025</v>
      </c>
      <c r="M2" s="38" t="s">
        <v>70</v>
      </c>
      <c r="N2" s="1"/>
      <c r="O2" s="1" t="s">
        <v>68</v>
      </c>
      <c r="P2" s="1" t="s">
        <v>159</v>
      </c>
      <c r="Q2" s="1" t="s">
        <v>160</v>
      </c>
      <c r="R2" s="1" t="s">
        <v>69</v>
      </c>
      <c r="S2" s="1" t="s">
        <v>161</v>
      </c>
      <c r="T2" s="1"/>
      <c r="U2" s="1" t="s">
        <v>162</v>
      </c>
      <c r="V2" s="1" t="s">
        <v>163</v>
      </c>
      <c r="W2" s="1" t="s">
        <v>164</v>
      </c>
      <c r="X2" s="1" t="s">
        <v>165</v>
      </c>
      <c r="Z2" s="1">
        <v>2022</v>
      </c>
      <c r="AA2" s="1">
        <v>2023</v>
      </c>
      <c r="AB2" s="1">
        <v>2024</v>
      </c>
      <c r="AC2" s="1" t="s">
        <v>134</v>
      </c>
      <c r="AD2" s="1" t="s">
        <v>70</v>
      </c>
      <c r="AF2" s="1" t="s">
        <v>68</v>
      </c>
      <c r="AG2" s="1" t="s">
        <v>159</v>
      </c>
      <c r="AH2" s="1" t="s">
        <v>160</v>
      </c>
      <c r="AI2" s="1" t="s">
        <v>69</v>
      </c>
      <c r="AJ2" s="1" t="s">
        <v>161</v>
      </c>
      <c r="AK2" s="1"/>
      <c r="AL2" s="1" t="s">
        <v>162</v>
      </c>
      <c r="AM2" s="1" t="s">
        <v>163</v>
      </c>
      <c r="AN2" s="1" t="s">
        <v>164</v>
      </c>
      <c r="AO2" s="1" t="s">
        <v>165</v>
      </c>
    </row>
    <row r="3" spans="2:41">
      <c r="B3">
        <v>25000</v>
      </c>
      <c r="C3" t="s">
        <v>106</v>
      </c>
      <c r="D3" t="str">
        <f>VLOOKUP($B3, Spa!$B:$P, 15, 0)</f>
        <v>West</v>
      </c>
      <c r="E3" t="str">
        <f>VLOOKUP($B3, Spa!$B:$P, 14, 0)</f>
        <v>Amy</v>
      </c>
      <c r="F3" t="str">
        <f t="shared" ref="F3:F34" si="0">IF(H3=2024,"NKD24",IF(H3=2025,"NKD25",IF(AB3&gt;50000,"A+",IF(AB3&gt;20000,"A",IF(AB3&gt;10000,"B",IF(AB3=0, "N/A", "C"))))))</f>
        <v>C</v>
      </c>
      <c r="G3" t="str">
        <f>VLOOKUP($B3, Spa!$B:$P, 12, 0)</f>
        <v>Yes</v>
      </c>
      <c r="H3">
        <f>VLOOKUP($B3, Spa!$B:$P, 3, 0)</f>
        <v>2021</v>
      </c>
      <c r="I3" s="2">
        <f>SUMIF('2022'!$B:$B,$B3, '2022'!$AI:$AI)</f>
        <v>5749.6500000000005</v>
      </c>
      <c r="J3" s="2">
        <f>SUMIF('2023'!$B:$B,$B3,'2023'!$AI:$AI)</f>
        <v>7017.2800000000007</v>
      </c>
      <c r="K3" s="2">
        <f>SUMIF('2024'!$B:$B,$B3,'2024'!$AI:$AI)</f>
        <v>1539.92</v>
      </c>
      <c r="L3" s="2">
        <f>SUMIF('2025'!$B:$B,$B3,'2025'!$AI:$AI)</f>
        <v>737</v>
      </c>
      <c r="M3" s="2">
        <f>SUMIF('2025B'!$B:$B,$B3,'2025B'!$AI:$AI)</f>
        <v>1500</v>
      </c>
      <c r="N3" s="3"/>
      <c r="O3" s="3">
        <f>IFERROR($L3/K3-1, "N/A")</f>
        <v>-0.52140370928359925</v>
      </c>
      <c r="P3" s="3">
        <f>IFERROR($L3/J3-1, "N/A")</f>
        <v>-0.89497355100551779</v>
      </c>
      <c r="Q3" s="3">
        <f>IFERROR($L3/I3-1, "N/A")</f>
        <v>-0.871818284591236</v>
      </c>
      <c r="R3" s="3">
        <f>IFERROR($L3/M3-1, "N/A")</f>
        <v>-0.5086666666666666</v>
      </c>
      <c r="S3" s="3">
        <f>IFERROR(_xlfn.RRI(4,I3,L3), "N/A")</f>
        <v>-0.40164831299972437</v>
      </c>
      <c r="T3" s="3"/>
      <c r="U3" s="4">
        <f>$L3-K3</f>
        <v>-802.92000000000007</v>
      </c>
      <c r="V3" s="4">
        <f>$L3-J3</f>
        <v>-6280.2800000000007</v>
      </c>
      <c r="W3" s="4">
        <f>$L3-I3</f>
        <v>-5012.6500000000005</v>
      </c>
      <c r="X3" s="4">
        <f>$L3-M3</f>
        <v>-763</v>
      </c>
      <c r="Z3" s="2">
        <f>SUMIF('2022'!$B:$B,$B3,'2022'!$AI:$AI)</f>
        <v>5749.6500000000005</v>
      </c>
      <c r="AA3" s="2">
        <f>SUMIF('2023'!$B:$B,$B3,'2023'!$AI:$AI)</f>
        <v>7017.2800000000007</v>
      </c>
      <c r="AB3" s="2">
        <f>SUMIF('2024'!$B:$B,$B3,'2024'!$AI:$AI)</f>
        <v>1539.92</v>
      </c>
      <c r="AC3" s="4">
        <f>L3</f>
        <v>737</v>
      </c>
      <c r="AD3" s="2">
        <f>SUMIF('2025B'!$B:$B,$B3,'2025B'!$AI:$AI)</f>
        <v>1500</v>
      </c>
      <c r="AF3" s="3">
        <f>IFERROR($AC3/AB3-1, "N/A")</f>
        <v>-0.52140370928359925</v>
      </c>
      <c r="AG3" s="3">
        <f>IFERROR($AC3/AA3-1, "N/A")</f>
        <v>-0.89497355100551779</v>
      </c>
      <c r="AH3" s="3">
        <f>IFERROR($AC3/Z3-1, "N/A")</f>
        <v>-0.871818284591236</v>
      </c>
      <c r="AI3" s="3">
        <f>IFERROR($AC3/AD3-1, "N/A")</f>
        <v>-0.5086666666666666</v>
      </c>
      <c r="AJ3" s="3">
        <f>IFERROR(_xlfn.RRI(4,Z3,AC3), "N/A")</f>
        <v>-0.40164831299972437</v>
      </c>
      <c r="AK3" s="3"/>
      <c r="AL3" s="4">
        <f>$AC3-AB3</f>
        <v>-802.92000000000007</v>
      </c>
      <c r="AM3" s="4">
        <f>$AC3-AA3</f>
        <v>-6280.2800000000007</v>
      </c>
      <c r="AN3" s="4">
        <f>$AC3-Z3</f>
        <v>-5012.6500000000005</v>
      </c>
      <c r="AO3" s="4">
        <f>$AC3-AD3</f>
        <v>-763</v>
      </c>
    </row>
    <row r="4" spans="2:41">
      <c r="B4">
        <v>25001</v>
      </c>
      <c r="C4" t="s">
        <v>72</v>
      </c>
      <c r="D4" t="str">
        <f>VLOOKUP($B4, Spa!$B:$P, 15, 0)</f>
        <v>Northeast</v>
      </c>
      <c r="E4" t="str">
        <f>VLOOKUP($B4, Spa!$B:$P, 14, 0)</f>
        <v>Emily</v>
      </c>
      <c r="F4" t="str">
        <f t="shared" si="0"/>
        <v>A</v>
      </c>
      <c r="G4" t="str">
        <f>VLOOKUP($B4, Spa!$B:$P, 12, 0)</f>
        <v>Yes</v>
      </c>
      <c r="H4">
        <f>VLOOKUP($B4, Spa!$B:$P, 3, 0)</f>
        <v>2021</v>
      </c>
      <c r="I4" s="2">
        <f>SUMIF('2022'!$B:$B,$B4, '2022'!$AI:$AI)</f>
        <v>32357.190000000002</v>
      </c>
      <c r="J4" s="2">
        <f>SUMIF('2023'!$B:$B,$B4,'2023'!$AI:$AI)</f>
        <v>24745.570000000003</v>
      </c>
      <c r="K4" s="2">
        <f>SUMIF('2024'!$B:$B,$B4,'2024'!$AI:$AI)</f>
        <v>33680.82</v>
      </c>
      <c r="L4" s="2">
        <f>SUMIF('2025'!$B:$B,$B4,'2025'!$AI:$AI)</f>
        <v>26036.49</v>
      </c>
      <c r="M4" s="2">
        <f>SUMIF('2025B'!$B:$B,$B4,'2025B'!$AI:$AI)</f>
        <v>40000</v>
      </c>
      <c r="O4" s="3">
        <f t="shared" ref="O4:O66" si="1">IFERROR($L4/K4-1, "N/A")</f>
        <v>-0.22696389220927515</v>
      </c>
      <c r="P4" s="3">
        <f t="shared" ref="P4:P66" si="2">IFERROR($L4/J4-1, "N/A")</f>
        <v>5.216772133355585E-2</v>
      </c>
      <c r="Q4" s="3">
        <f t="shared" ref="Q4:Q66" si="3">IFERROR($L4/I4-1, "N/A")</f>
        <v>-0.19534143725088615</v>
      </c>
      <c r="R4" s="3">
        <f t="shared" ref="R4:R66" si="4">IFERROR($L4/M4-1, "N/A")</f>
        <v>-0.34908774999999992</v>
      </c>
      <c r="S4" s="3">
        <f t="shared" ref="S4:S66" si="5">IFERROR(_xlfn.RRI(4,I4,L4), "N/A")</f>
        <v>-5.2884575922753863E-2</v>
      </c>
      <c r="T4" s="3"/>
      <c r="U4" s="4">
        <f t="shared" ref="U4:U66" si="6">$L4-K4</f>
        <v>-7644.3299999999981</v>
      </c>
      <c r="V4" s="4">
        <f t="shared" ref="V4:V66" si="7">$L4-J4</f>
        <v>1290.9199999999983</v>
      </c>
      <c r="W4" s="4">
        <f t="shared" ref="W4:W66" si="8">$L4-I4</f>
        <v>-6320.7000000000007</v>
      </c>
      <c r="X4" s="4">
        <f t="shared" ref="X4:X66" si="9">$L4-M4</f>
        <v>-13963.509999999998</v>
      </c>
      <c r="Z4" s="2">
        <f>SUMIF('2022'!$B:$B,$B4,'2022'!$AI:$AI)</f>
        <v>32357.190000000002</v>
      </c>
      <c r="AA4" s="2">
        <f>SUMIF('2023'!$B:$B,$B4,'2023'!$AI:$AI)</f>
        <v>24745.570000000003</v>
      </c>
      <c r="AB4" s="2">
        <f>SUMIF('2024'!$B:$B,$B4,'2024'!$AI:$AI)</f>
        <v>33680.82</v>
      </c>
      <c r="AC4" s="4">
        <f t="shared" ref="AC4:AC66" si="10">L4</f>
        <v>26036.49</v>
      </c>
      <c r="AD4" s="2">
        <f>SUMIF('2025B'!$B:$B,$B4,'2025B'!$AI:$AI)</f>
        <v>40000</v>
      </c>
      <c r="AF4" s="3">
        <f t="shared" ref="AF4:AF66" si="11">IFERROR($AC4/AB4-1, "N/A")</f>
        <v>-0.22696389220927515</v>
      </c>
      <c r="AG4" s="3">
        <f t="shared" ref="AG4:AG66" si="12">IFERROR($AC4/AA4-1, "N/A")</f>
        <v>5.216772133355585E-2</v>
      </c>
      <c r="AH4" s="3">
        <f t="shared" ref="AH4:AH66" si="13">IFERROR($AC4/Z4-1, "N/A")</f>
        <v>-0.19534143725088615</v>
      </c>
      <c r="AI4" s="3">
        <f t="shared" ref="AI4:AI66" si="14">IFERROR($AC4/AD4-1, "N/A")</f>
        <v>-0.34908774999999992</v>
      </c>
      <c r="AJ4" s="3">
        <f t="shared" ref="AJ4:AJ66" si="15">IFERROR(_xlfn.RRI(4,Z4,AC4), "N/A")</f>
        <v>-5.2884575922753863E-2</v>
      </c>
      <c r="AK4" s="3"/>
      <c r="AL4" s="4">
        <f t="shared" ref="AL4:AL66" si="16">$AC4-AB4</f>
        <v>-7644.3299999999981</v>
      </c>
      <c r="AM4" s="4">
        <f t="shared" ref="AM4:AM66" si="17">$AC4-AA4</f>
        <v>1290.9199999999983</v>
      </c>
      <c r="AN4" s="4">
        <f t="shared" ref="AN4:AN66" si="18">$AC4-Z4</f>
        <v>-6320.7000000000007</v>
      </c>
      <c r="AO4" s="4">
        <f t="shared" ref="AO4:AO66" si="19">$AC4-AD4</f>
        <v>-13963.509999999998</v>
      </c>
    </row>
    <row r="5" spans="2:41">
      <c r="B5">
        <v>25002</v>
      </c>
      <c r="C5" t="s">
        <v>121</v>
      </c>
      <c r="D5" t="str">
        <f>VLOOKUP($B5, Spa!$B:$P, 15, 0)</f>
        <v>Southeast</v>
      </c>
      <c r="E5" t="str">
        <f>VLOOKUP($B5, Spa!$B:$P, 14, 0)</f>
        <v>Lisa</v>
      </c>
      <c r="F5" t="str">
        <f t="shared" si="0"/>
        <v>B</v>
      </c>
      <c r="G5" t="str">
        <f>VLOOKUP($B5, Spa!$B:$P, 12, 0)</f>
        <v>Yes</v>
      </c>
      <c r="H5">
        <f>VLOOKUP($B5, Spa!$B:$P, 3, 0)</f>
        <v>2021</v>
      </c>
      <c r="I5" s="2">
        <f>SUMIF('2022'!$B:$B,$B5, '2022'!$AI:$AI)</f>
        <v>16004.090000000002</v>
      </c>
      <c r="J5" s="2">
        <f>SUMIF('2023'!$B:$B,$B5,'2023'!$AI:$AI)</f>
        <v>7361.6400000000012</v>
      </c>
      <c r="K5" s="2">
        <f>SUMIF('2024'!$B:$B,$B5,'2024'!$AI:$AI)</f>
        <v>18065.78</v>
      </c>
      <c r="L5" s="2">
        <f>SUMIF('2025'!$B:$B,$B5,'2025'!$AI:$AI)</f>
        <v>25700.67</v>
      </c>
      <c r="M5" s="2">
        <f>SUMIF('2025B'!$B:$B,$B5,'2025B'!$AI:$AI)</f>
        <v>20000</v>
      </c>
      <c r="O5" s="3">
        <f t="shared" si="1"/>
        <v>0.42261612839301699</v>
      </c>
      <c r="P5" s="3">
        <f t="shared" si="2"/>
        <v>2.491160936965132</v>
      </c>
      <c r="Q5" s="3">
        <f t="shared" si="3"/>
        <v>0.60588137157439093</v>
      </c>
      <c r="R5" s="3">
        <f t="shared" si="4"/>
        <v>0.28503349999999994</v>
      </c>
      <c r="S5" s="3">
        <f t="shared" si="5"/>
        <v>0.12571477195797787</v>
      </c>
      <c r="T5" s="3"/>
      <c r="U5" s="4">
        <f t="shared" si="6"/>
        <v>7634.8899999999994</v>
      </c>
      <c r="V5" s="4">
        <f t="shared" si="7"/>
        <v>18339.03</v>
      </c>
      <c r="W5" s="4">
        <f t="shared" si="8"/>
        <v>9696.5799999999963</v>
      </c>
      <c r="X5" s="4">
        <f t="shared" si="9"/>
        <v>5700.6699999999983</v>
      </c>
      <c r="Z5" s="2">
        <f>SUMIF('2022'!$B:$B,$B5,'2022'!$AI:$AI)</f>
        <v>16004.090000000002</v>
      </c>
      <c r="AA5" s="2">
        <f>SUMIF('2023'!$B:$B,$B5,'2023'!$AI:$AI)</f>
        <v>7361.6400000000012</v>
      </c>
      <c r="AB5" s="2">
        <f>SUMIF('2024'!$B:$B,$B5,'2024'!$AI:$AI)</f>
        <v>18065.78</v>
      </c>
      <c r="AC5" s="4">
        <f t="shared" si="10"/>
        <v>25700.67</v>
      </c>
      <c r="AD5" s="2">
        <f>SUMIF('2025B'!$B:$B,$B5,'2025B'!$AI:$AI)</f>
        <v>20000</v>
      </c>
      <c r="AF5" s="3">
        <f t="shared" si="11"/>
        <v>0.42261612839301699</v>
      </c>
      <c r="AG5" s="3">
        <f t="shared" si="12"/>
        <v>2.491160936965132</v>
      </c>
      <c r="AH5" s="3">
        <f t="shared" si="13"/>
        <v>0.60588137157439093</v>
      </c>
      <c r="AI5" s="3">
        <f t="shared" si="14"/>
        <v>0.28503349999999994</v>
      </c>
      <c r="AJ5" s="3">
        <f t="shared" si="15"/>
        <v>0.12571477195797787</v>
      </c>
      <c r="AK5" s="3"/>
      <c r="AL5" s="4">
        <f t="shared" si="16"/>
        <v>7634.8899999999994</v>
      </c>
      <c r="AM5" s="4">
        <f t="shared" si="17"/>
        <v>18339.03</v>
      </c>
      <c r="AN5" s="4">
        <f t="shared" si="18"/>
        <v>9696.5799999999963</v>
      </c>
      <c r="AO5" s="4">
        <f t="shared" si="19"/>
        <v>5700.6699999999983</v>
      </c>
    </row>
    <row r="6" spans="2:41">
      <c r="B6">
        <v>25003</v>
      </c>
      <c r="C6" t="s">
        <v>140</v>
      </c>
      <c r="D6" t="str">
        <f>VLOOKUP($B6, Spa!$B:$P, 15, 0)</f>
        <v>Southeast</v>
      </c>
      <c r="E6" t="str">
        <f>VLOOKUP($B6, Spa!$B:$P, 14, 0)</f>
        <v>Lisa</v>
      </c>
      <c r="F6" t="str">
        <f t="shared" si="0"/>
        <v>N/A</v>
      </c>
      <c r="G6" t="str">
        <f>VLOOKUP($B6, Spa!$B:$P, 12, 0)</f>
        <v>No</v>
      </c>
      <c r="H6">
        <f>VLOOKUP($B6, Spa!$B:$P, 3, 0)</f>
        <v>2021</v>
      </c>
      <c r="I6" s="2">
        <f>SUMIF('2022'!$B:$B,$B6, '2022'!$AI:$AI)</f>
        <v>1917.25</v>
      </c>
      <c r="J6" s="2">
        <f>SUMIF('2023'!$B:$B,$B6,'2023'!$AI:$AI)</f>
        <v>0</v>
      </c>
      <c r="K6" s="2">
        <f>SUMIF('2024'!$B:$B,$B6,'2024'!$AI:$AI)</f>
        <v>0</v>
      </c>
      <c r="L6" s="2">
        <f>SUMIF('2025'!$B:$B,$B6,'2025'!$AI:$AI)</f>
        <v>0</v>
      </c>
      <c r="M6" s="2">
        <f>SUMIF('2025B'!$B:$B,$B6,'2025B'!$AI:$AI)</f>
        <v>0</v>
      </c>
      <c r="O6" s="3" t="str">
        <f t="shared" si="1"/>
        <v>N/A</v>
      </c>
      <c r="P6" s="3" t="str">
        <f t="shared" si="2"/>
        <v>N/A</v>
      </c>
      <c r="Q6" s="3">
        <f t="shared" si="3"/>
        <v>-1</v>
      </c>
      <c r="R6" s="3" t="str">
        <f t="shared" si="4"/>
        <v>N/A</v>
      </c>
      <c r="S6" s="3">
        <f t="shared" si="5"/>
        <v>-1</v>
      </c>
      <c r="T6" s="3"/>
      <c r="U6" s="4">
        <f t="shared" si="6"/>
        <v>0</v>
      </c>
      <c r="V6" s="4">
        <f t="shared" si="7"/>
        <v>0</v>
      </c>
      <c r="W6" s="4">
        <f t="shared" si="8"/>
        <v>-1917.25</v>
      </c>
      <c r="X6" s="4">
        <f t="shared" si="9"/>
        <v>0</v>
      </c>
      <c r="Z6" s="2">
        <f>SUMIF('2022'!$B:$B,$B6,'2022'!$AI:$AI)</f>
        <v>1917.25</v>
      </c>
      <c r="AA6" s="2">
        <f>SUMIF('2023'!$B:$B,$B6,'2023'!$AI:$AI)</f>
        <v>0</v>
      </c>
      <c r="AB6" s="2">
        <f>SUMIF('2024'!$B:$B,$B6,'2024'!$AI:$AI)</f>
        <v>0</v>
      </c>
      <c r="AC6" s="4">
        <f t="shared" si="10"/>
        <v>0</v>
      </c>
      <c r="AD6" s="2">
        <f>SUMIF('2025B'!$B:$B,$B6,'2025B'!$AI:$AI)</f>
        <v>0</v>
      </c>
      <c r="AF6" s="3" t="str">
        <f t="shared" si="11"/>
        <v>N/A</v>
      </c>
      <c r="AG6" s="3" t="str">
        <f t="shared" si="12"/>
        <v>N/A</v>
      </c>
      <c r="AH6" s="3">
        <f t="shared" si="13"/>
        <v>-1</v>
      </c>
      <c r="AI6" s="3" t="str">
        <f t="shared" si="14"/>
        <v>N/A</v>
      </c>
      <c r="AJ6" s="3">
        <f t="shared" si="15"/>
        <v>-1</v>
      </c>
      <c r="AK6" s="3"/>
      <c r="AL6" s="4">
        <f t="shared" si="16"/>
        <v>0</v>
      </c>
      <c r="AM6" s="4">
        <f t="shared" si="17"/>
        <v>0</v>
      </c>
      <c r="AN6" s="4">
        <f t="shared" si="18"/>
        <v>-1917.25</v>
      </c>
      <c r="AO6" s="4">
        <f t="shared" si="19"/>
        <v>0</v>
      </c>
    </row>
    <row r="7" spans="2:41">
      <c r="B7">
        <v>25004</v>
      </c>
      <c r="C7" t="s">
        <v>105</v>
      </c>
      <c r="D7" t="str">
        <f>VLOOKUP($B7, Spa!$B:$P, 15, 0)</f>
        <v>West</v>
      </c>
      <c r="E7" t="str">
        <f>VLOOKUP($B7, Spa!$B:$P, 14, 0)</f>
        <v>Amy</v>
      </c>
      <c r="F7" t="str">
        <f t="shared" si="0"/>
        <v>B</v>
      </c>
      <c r="G7" t="str">
        <f>VLOOKUP($B7, Spa!$B:$P, 12, 0)</f>
        <v>Yes</v>
      </c>
      <c r="H7">
        <f>VLOOKUP($B7, Spa!$B:$P, 3, 0)</f>
        <v>2021</v>
      </c>
      <c r="I7" s="2">
        <f>SUMIF('2022'!$B:$B,$B7, '2022'!$AI:$AI)</f>
        <v>5634</v>
      </c>
      <c r="J7" s="2">
        <f>SUMIF('2023'!$B:$B,$B7,'2023'!$AI:$AI)</f>
        <v>7158.0599999999995</v>
      </c>
      <c r="K7" s="2">
        <f>SUMIF('2024'!$B:$B,$B7,'2024'!$AI:$AI)</f>
        <v>10917.56</v>
      </c>
      <c r="L7" s="2">
        <f>SUMIF('2025'!$B:$B,$B7,'2025'!$AI:$AI)</f>
        <v>6008.52</v>
      </c>
      <c r="M7" s="2">
        <f>SUMIF('2025B'!$B:$B,$B7,'2025B'!$AI:$AI)</f>
        <v>12000</v>
      </c>
      <c r="O7" s="3">
        <f t="shared" si="1"/>
        <v>-0.44964625795507418</v>
      </c>
      <c r="P7" s="3">
        <f t="shared" si="2"/>
        <v>-0.16059379217273939</v>
      </c>
      <c r="Q7" s="3">
        <f t="shared" si="3"/>
        <v>6.6474973375932001E-2</v>
      </c>
      <c r="R7" s="3">
        <f t="shared" si="4"/>
        <v>-0.49929000000000001</v>
      </c>
      <c r="S7" s="3">
        <f t="shared" si="5"/>
        <v>1.621983433874985E-2</v>
      </c>
      <c r="T7" s="3"/>
      <c r="U7" s="4">
        <f t="shared" si="6"/>
        <v>-4909.0399999999991</v>
      </c>
      <c r="V7" s="4">
        <f t="shared" si="7"/>
        <v>-1149.5399999999991</v>
      </c>
      <c r="W7" s="4">
        <f t="shared" si="8"/>
        <v>374.52000000000044</v>
      </c>
      <c r="X7" s="4">
        <f t="shared" si="9"/>
        <v>-5991.48</v>
      </c>
      <c r="Z7" s="2">
        <f>SUMIF('2022'!$B:$B,$B7,'2022'!$AI:$AI)</f>
        <v>5634</v>
      </c>
      <c r="AA7" s="2">
        <f>SUMIF('2023'!$B:$B,$B7,'2023'!$AI:$AI)</f>
        <v>7158.0599999999995</v>
      </c>
      <c r="AB7" s="2">
        <f>SUMIF('2024'!$B:$B,$B7,'2024'!$AI:$AI)</f>
        <v>10917.56</v>
      </c>
      <c r="AC7" s="4">
        <f t="shared" si="10"/>
        <v>6008.52</v>
      </c>
      <c r="AD7" s="2">
        <f>SUMIF('2025B'!$B:$B,$B7,'2025B'!$AI:$AI)</f>
        <v>12000</v>
      </c>
      <c r="AF7" s="3">
        <f t="shared" si="11"/>
        <v>-0.44964625795507418</v>
      </c>
      <c r="AG7" s="3">
        <f t="shared" si="12"/>
        <v>-0.16059379217273939</v>
      </c>
      <c r="AH7" s="3">
        <f t="shared" si="13"/>
        <v>6.6474973375932001E-2</v>
      </c>
      <c r="AI7" s="3">
        <f t="shared" si="14"/>
        <v>-0.49929000000000001</v>
      </c>
      <c r="AJ7" s="3">
        <f t="shared" si="15"/>
        <v>1.621983433874985E-2</v>
      </c>
      <c r="AK7" s="3"/>
      <c r="AL7" s="4">
        <f t="shared" si="16"/>
        <v>-4909.0399999999991</v>
      </c>
      <c r="AM7" s="4">
        <f t="shared" si="17"/>
        <v>-1149.5399999999991</v>
      </c>
      <c r="AN7" s="4">
        <f t="shared" si="18"/>
        <v>374.52000000000044</v>
      </c>
      <c r="AO7" s="4">
        <f t="shared" si="19"/>
        <v>-5991.48</v>
      </c>
    </row>
    <row r="8" spans="2:41">
      <c r="B8">
        <v>25008</v>
      </c>
      <c r="C8" t="s">
        <v>127</v>
      </c>
      <c r="D8" t="str">
        <f>VLOOKUP($B8, Spa!$B:$P, 15, 0)</f>
        <v>Southeast</v>
      </c>
      <c r="E8" t="str">
        <f>VLOOKUP($B8, Spa!$B:$P, 14, 0)</f>
        <v>Lisa</v>
      </c>
      <c r="F8" t="str">
        <f t="shared" si="0"/>
        <v>N/A</v>
      </c>
      <c r="G8" t="str">
        <f>VLOOKUP($B8, Spa!$B:$P, 12, 0)</f>
        <v>Yes</v>
      </c>
      <c r="H8">
        <f>VLOOKUP($B8, Spa!$B:$P, 3, 0)</f>
        <v>2021</v>
      </c>
      <c r="I8" s="2">
        <f>SUMIF('2022'!$B:$B,$B8, '2022'!$AI:$AI)</f>
        <v>1083</v>
      </c>
      <c r="J8" s="2">
        <f>SUMIF('2023'!$B:$B,$B8,'2023'!$AI:$AI)</f>
        <v>1129.5</v>
      </c>
      <c r="K8" s="2">
        <f>SUMIF('2024'!$B:$B,$B8,'2024'!$AI:$AI)</f>
        <v>0</v>
      </c>
      <c r="L8" s="2">
        <f>SUMIF('2025'!$B:$B,$B8,'2025'!$AI:$AI)</f>
        <v>0</v>
      </c>
      <c r="M8" s="2">
        <f>SUMIF('2025B'!$B:$B,$B8,'2025B'!$AI:$AI)</f>
        <v>0</v>
      </c>
      <c r="O8" s="3" t="str">
        <f t="shared" si="1"/>
        <v>N/A</v>
      </c>
      <c r="P8" s="3">
        <f t="shared" si="2"/>
        <v>-1</v>
      </c>
      <c r="Q8" s="3">
        <f t="shared" si="3"/>
        <v>-1</v>
      </c>
      <c r="R8" s="3" t="str">
        <f t="shared" si="4"/>
        <v>N/A</v>
      </c>
      <c r="S8" s="3">
        <f t="shared" si="5"/>
        <v>-1</v>
      </c>
      <c r="T8" s="3"/>
      <c r="U8" s="4">
        <f t="shared" si="6"/>
        <v>0</v>
      </c>
      <c r="V8" s="4">
        <f t="shared" si="7"/>
        <v>-1129.5</v>
      </c>
      <c r="W8" s="4">
        <f t="shared" si="8"/>
        <v>-1083</v>
      </c>
      <c r="X8" s="4">
        <f t="shared" si="9"/>
        <v>0</v>
      </c>
      <c r="Z8" s="2">
        <f>SUMIF('2022'!$B:$B,$B8,'2022'!$AI:$AI)</f>
        <v>1083</v>
      </c>
      <c r="AA8" s="2">
        <f>SUMIF('2023'!$B:$B,$B8,'2023'!$AI:$AI)</f>
        <v>1129.5</v>
      </c>
      <c r="AB8" s="2">
        <f>SUMIF('2024'!$B:$B,$B8,'2024'!$AI:$AI)</f>
        <v>0</v>
      </c>
      <c r="AC8" s="4">
        <f t="shared" si="10"/>
        <v>0</v>
      </c>
      <c r="AD8" s="2">
        <f>SUMIF('2025B'!$B:$B,$B8,'2025B'!$AI:$AI)</f>
        <v>0</v>
      </c>
      <c r="AF8" s="3" t="str">
        <f t="shared" si="11"/>
        <v>N/A</v>
      </c>
      <c r="AG8" s="3">
        <f t="shared" si="12"/>
        <v>-1</v>
      </c>
      <c r="AH8" s="3">
        <f t="shared" si="13"/>
        <v>-1</v>
      </c>
      <c r="AI8" s="3" t="str">
        <f t="shared" si="14"/>
        <v>N/A</v>
      </c>
      <c r="AJ8" s="3">
        <f t="shared" si="15"/>
        <v>-1</v>
      </c>
      <c r="AK8" s="3"/>
      <c r="AL8" s="4">
        <f t="shared" si="16"/>
        <v>0</v>
      </c>
      <c r="AM8" s="4">
        <f t="shared" si="17"/>
        <v>-1129.5</v>
      </c>
      <c r="AN8" s="4">
        <f t="shared" si="18"/>
        <v>-1083</v>
      </c>
      <c r="AO8" s="4">
        <f t="shared" si="19"/>
        <v>0</v>
      </c>
    </row>
    <row r="9" spans="2:41">
      <c r="B9">
        <v>25009</v>
      </c>
      <c r="C9" t="s">
        <v>142</v>
      </c>
      <c r="D9" t="str">
        <f>VLOOKUP($B9, Spa!$B:$P, 15, 0)</f>
        <v>West</v>
      </c>
      <c r="E9" t="str">
        <f>VLOOKUP($B9, Spa!$B:$P, 14, 0)</f>
        <v>Amy</v>
      </c>
      <c r="F9" t="str">
        <f t="shared" si="0"/>
        <v>N/A</v>
      </c>
      <c r="G9" t="str">
        <f>VLOOKUP($B9, Spa!$B:$P, 12, 0)</f>
        <v>No</v>
      </c>
      <c r="H9">
        <f>VLOOKUP($B9, Spa!$B:$P, 3, 0)</f>
        <v>2022</v>
      </c>
      <c r="I9" s="2">
        <f>SUMIF('2022'!$B:$B,$B9, '2022'!$AI:$AI)</f>
        <v>22959.840000000004</v>
      </c>
      <c r="J9" s="2">
        <f>SUMIF('2023'!$B:$B,$B9,'2023'!$AI:$AI)</f>
        <v>9876.65</v>
      </c>
      <c r="K9" s="2">
        <f>SUMIF('2024'!$B:$B,$B9,'2024'!$AI:$AI)</f>
        <v>0</v>
      </c>
      <c r="L9" s="2">
        <f>SUMIF('2025'!$B:$B,$B9,'2025'!$AI:$AI)</f>
        <v>0</v>
      </c>
      <c r="M9" s="2">
        <f>SUMIF('2025B'!$B:$B,$B9,'2025B'!$AI:$AI)</f>
        <v>0</v>
      </c>
      <c r="O9" s="3" t="str">
        <f t="shared" si="1"/>
        <v>N/A</v>
      </c>
      <c r="P9" s="3">
        <f t="shared" si="2"/>
        <v>-1</v>
      </c>
      <c r="Q9" s="3">
        <f t="shared" si="3"/>
        <v>-1</v>
      </c>
      <c r="R9" s="3" t="str">
        <f t="shared" si="4"/>
        <v>N/A</v>
      </c>
      <c r="S9" s="3">
        <f t="shared" si="5"/>
        <v>-1</v>
      </c>
      <c r="T9" s="3"/>
      <c r="U9" s="4">
        <f t="shared" si="6"/>
        <v>0</v>
      </c>
      <c r="V9" s="4">
        <f t="shared" si="7"/>
        <v>-9876.65</v>
      </c>
      <c r="W9" s="4">
        <f t="shared" si="8"/>
        <v>-22959.840000000004</v>
      </c>
      <c r="X9" s="4">
        <f t="shared" si="9"/>
        <v>0</v>
      </c>
      <c r="Z9" s="2">
        <f>SUMIF('2022'!$B:$B,$B9,'2022'!$AI:$AI)</f>
        <v>22959.840000000004</v>
      </c>
      <c r="AA9" s="2">
        <f>SUMIF('2023'!$B:$B,$B9,'2023'!$AI:$AI)</f>
        <v>9876.65</v>
      </c>
      <c r="AB9" s="2">
        <f>SUMIF('2024'!$B:$B,$B9,'2024'!$AI:$AI)</f>
        <v>0</v>
      </c>
      <c r="AC9" s="4">
        <f t="shared" si="10"/>
        <v>0</v>
      </c>
      <c r="AD9" s="2">
        <f>SUMIF('2025B'!$B:$B,$B9,'2025B'!$AI:$AI)</f>
        <v>0</v>
      </c>
      <c r="AF9" s="3" t="str">
        <f t="shared" si="11"/>
        <v>N/A</v>
      </c>
      <c r="AG9" s="3">
        <f t="shared" si="12"/>
        <v>-1</v>
      </c>
      <c r="AH9" s="3">
        <f t="shared" si="13"/>
        <v>-1</v>
      </c>
      <c r="AI9" s="3" t="str">
        <f t="shared" si="14"/>
        <v>N/A</v>
      </c>
      <c r="AJ9" s="3">
        <f t="shared" si="15"/>
        <v>-1</v>
      </c>
      <c r="AK9" s="3"/>
      <c r="AL9" s="4">
        <f t="shared" si="16"/>
        <v>0</v>
      </c>
      <c r="AM9" s="4">
        <f t="shared" si="17"/>
        <v>-9876.65</v>
      </c>
      <c r="AN9" s="4">
        <f t="shared" si="18"/>
        <v>-22959.840000000004</v>
      </c>
      <c r="AO9" s="4">
        <f t="shared" si="19"/>
        <v>0</v>
      </c>
    </row>
    <row r="10" spans="2:41">
      <c r="B10">
        <v>25010</v>
      </c>
      <c r="C10" t="s">
        <v>119</v>
      </c>
      <c r="D10" t="str">
        <f>VLOOKUP($B10, Spa!$B:$P, 15, 0)</f>
        <v>Southeast</v>
      </c>
      <c r="E10" t="str">
        <f>VLOOKUP($B10, Spa!$B:$P, 14, 0)</f>
        <v>Lisa</v>
      </c>
      <c r="F10" t="str">
        <f t="shared" si="0"/>
        <v>A</v>
      </c>
      <c r="G10" t="str">
        <f>VLOOKUP($B10, Spa!$B:$P, 12, 0)</f>
        <v>Yes</v>
      </c>
      <c r="H10">
        <f>VLOOKUP($B10, Spa!$B:$P, 3, 0)</f>
        <v>2022</v>
      </c>
      <c r="I10" s="2">
        <f>SUMIF('2022'!$B:$B,$B10, '2022'!$AI:$AI)</f>
        <v>54627.810000000005</v>
      </c>
      <c r="J10" s="2">
        <f>SUMIF('2023'!$B:$B,$B10,'2023'!$AI:$AI)</f>
        <v>53276.36</v>
      </c>
      <c r="K10" s="2">
        <f>SUMIF('2024'!$B:$B,$B10,'2024'!$AI:$AI)</f>
        <v>45516.32</v>
      </c>
      <c r="L10" s="2">
        <f>SUMIF('2025'!$B:$B,$B10,'2025'!$AI:$AI)</f>
        <v>37341.279999999999</v>
      </c>
      <c r="M10" s="2">
        <f>SUMIF('2025B'!$B:$B,$B10,'2025B'!$AI:$AI)</f>
        <v>50000</v>
      </c>
      <c r="O10" s="3">
        <f t="shared" si="1"/>
        <v>-0.17960678719193468</v>
      </c>
      <c r="P10" s="3">
        <f t="shared" si="2"/>
        <v>-0.29910226599564993</v>
      </c>
      <c r="Q10" s="3">
        <f t="shared" si="3"/>
        <v>-0.31644193680837662</v>
      </c>
      <c r="R10" s="3">
        <f t="shared" si="4"/>
        <v>-0.25317440000000002</v>
      </c>
      <c r="S10" s="3">
        <f t="shared" si="5"/>
        <v>-9.0727926815707738E-2</v>
      </c>
      <c r="T10" s="3"/>
      <c r="U10" s="4">
        <f t="shared" si="6"/>
        <v>-8175.0400000000009</v>
      </c>
      <c r="V10" s="4">
        <f t="shared" si="7"/>
        <v>-15935.080000000002</v>
      </c>
      <c r="W10" s="4">
        <f t="shared" si="8"/>
        <v>-17286.530000000006</v>
      </c>
      <c r="X10" s="4">
        <f t="shared" si="9"/>
        <v>-12658.720000000001</v>
      </c>
      <c r="Z10" s="2">
        <f>SUMIF('2022'!$B:$B,$B10,'2022'!$AI:$AI)</f>
        <v>54627.810000000005</v>
      </c>
      <c r="AA10" s="2">
        <f>SUMIF('2023'!$B:$B,$B10,'2023'!$AI:$AI)</f>
        <v>53276.36</v>
      </c>
      <c r="AB10" s="2">
        <f>SUMIF('2024'!$B:$B,$B10,'2024'!$AI:$AI)</f>
        <v>45516.32</v>
      </c>
      <c r="AC10" s="4">
        <f t="shared" si="10"/>
        <v>37341.279999999999</v>
      </c>
      <c r="AD10" s="2">
        <f>SUMIF('2025B'!$B:$B,$B10,'2025B'!$AI:$AI)</f>
        <v>50000</v>
      </c>
      <c r="AF10" s="3">
        <f t="shared" si="11"/>
        <v>-0.17960678719193468</v>
      </c>
      <c r="AG10" s="3">
        <f t="shared" si="12"/>
        <v>-0.29910226599564993</v>
      </c>
      <c r="AH10" s="3">
        <f t="shared" si="13"/>
        <v>-0.31644193680837662</v>
      </c>
      <c r="AI10" s="3">
        <f t="shared" si="14"/>
        <v>-0.25317440000000002</v>
      </c>
      <c r="AJ10" s="3">
        <f t="shared" si="15"/>
        <v>-9.0727926815707738E-2</v>
      </c>
      <c r="AK10" s="3"/>
      <c r="AL10" s="4">
        <f t="shared" si="16"/>
        <v>-8175.0400000000009</v>
      </c>
      <c r="AM10" s="4">
        <f t="shared" si="17"/>
        <v>-15935.080000000002</v>
      </c>
      <c r="AN10" s="4">
        <f t="shared" si="18"/>
        <v>-17286.530000000006</v>
      </c>
      <c r="AO10" s="4">
        <f t="shared" si="19"/>
        <v>-12658.720000000001</v>
      </c>
    </row>
    <row r="11" spans="2:41">
      <c r="B11">
        <v>25011</v>
      </c>
      <c r="C11" t="s">
        <v>143</v>
      </c>
      <c r="D11" t="str">
        <f>VLOOKUP($B11, Spa!$B:$P, 15, 0)</f>
        <v>West</v>
      </c>
      <c r="E11" t="str">
        <f>VLOOKUP($B11, Spa!$B:$P, 14, 0)</f>
        <v>Amy</v>
      </c>
      <c r="F11" t="str">
        <f t="shared" si="0"/>
        <v>N/A</v>
      </c>
      <c r="G11" t="str">
        <f>VLOOKUP($B11, Spa!$B:$P, 12, 0)</f>
        <v>No</v>
      </c>
      <c r="H11">
        <f>VLOOKUP($B11, Spa!$B:$P, 3, 0)</f>
        <v>2022</v>
      </c>
      <c r="I11" s="2">
        <f>SUMIF('2022'!$B:$B,$B11, '2022'!$AI:$AI)</f>
        <v>25189.200000000001</v>
      </c>
      <c r="J11" s="2">
        <f>SUMIF('2023'!$B:$B,$B11,'2023'!$AI:$AI)</f>
        <v>524.20000000000005</v>
      </c>
      <c r="K11" s="2">
        <f>SUMIF('2024'!$B:$B,$B11,'2024'!$AI:$AI)</f>
        <v>0</v>
      </c>
      <c r="L11" s="2">
        <f>SUMIF('2025'!$B:$B,$B11,'2025'!$AI:$AI)</f>
        <v>0</v>
      </c>
      <c r="M11" s="2">
        <f>SUMIF('2025B'!$B:$B,$B11,'2025B'!$AI:$AI)</f>
        <v>0</v>
      </c>
      <c r="O11" s="3" t="str">
        <f t="shared" si="1"/>
        <v>N/A</v>
      </c>
      <c r="P11" s="3">
        <f t="shared" si="2"/>
        <v>-1</v>
      </c>
      <c r="Q11" s="3">
        <f t="shared" si="3"/>
        <v>-1</v>
      </c>
      <c r="R11" s="3" t="str">
        <f t="shared" si="4"/>
        <v>N/A</v>
      </c>
      <c r="S11" s="3">
        <f t="shared" si="5"/>
        <v>-1</v>
      </c>
      <c r="T11" s="3"/>
      <c r="U11" s="4">
        <f t="shared" si="6"/>
        <v>0</v>
      </c>
      <c r="V11" s="4">
        <f t="shared" si="7"/>
        <v>-524.20000000000005</v>
      </c>
      <c r="W11" s="4">
        <f t="shared" si="8"/>
        <v>-25189.200000000001</v>
      </c>
      <c r="X11" s="4">
        <f t="shared" si="9"/>
        <v>0</v>
      </c>
      <c r="Z11" s="2">
        <f>SUMIF('2022'!$B:$B,$B11,'2022'!$AI:$AI)</f>
        <v>25189.200000000001</v>
      </c>
      <c r="AA11" s="2">
        <f>SUMIF('2023'!$B:$B,$B11,'2023'!$AI:$AI)</f>
        <v>524.20000000000005</v>
      </c>
      <c r="AB11" s="2">
        <f>SUMIF('2024'!$B:$B,$B11,'2024'!$AI:$AI)</f>
        <v>0</v>
      </c>
      <c r="AC11" s="4">
        <f t="shared" si="10"/>
        <v>0</v>
      </c>
      <c r="AD11" s="2">
        <f>SUMIF('2025B'!$B:$B,$B11,'2025B'!$AI:$AI)</f>
        <v>0</v>
      </c>
      <c r="AF11" s="3" t="str">
        <f t="shared" si="11"/>
        <v>N/A</v>
      </c>
      <c r="AG11" s="3">
        <f t="shared" si="12"/>
        <v>-1</v>
      </c>
      <c r="AH11" s="3">
        <f t="shared" si="13"/>
        <v>-1</v>
      </c>
      <c r="AI11" s="3" t="str">
        <f t="shared" si="14"/>
        <v>N/A</v>
      </c>
      <c r="AJ11" s="3">
        <f t="shared" si="15"/>
        <v>-1</v>
      </c>
      <c r="AK11" s="3"/>
      <c r="AL11" s="4">
        <f t="shared" si="16"/>
        <v>0</v>
      </c>
      <c r="AM11" s="4">
        <f t="shared" si="17"/>
        <v>-524.20000000000005</v>
      </c>
      <c r="AN11" s="4">
        <f t="shared" si="18"/>
        <v>-25189.200000000001</v>
      </c>
      <c r="AO11" s="4">
        <f t="shared" si="19"/>
        <v>0</v>
      </c>
    </row>
    <row r="12" spans="2:41">
      <c r="B12">
        <v>25012</v>
      </c>
      <c r="C12" t="s">
        <v>100</v>
      </c>
      <c r="D12" t="str">
        <f>VLOOKUP($B12, Spa!$B:$P, 15, 0)</f>
        <v>West</v>
      </c>
      <c r="E12" t="str">
        <f>VLOOKUP($B12, Spa!$B:$P, 14, 0)</f>
        <v>Amy</v>
      </c>
      <c r="F12" t="str">
        <f t="shared" si="0"/>
        <v>A+</v>
      </c>
      <c r="G12" t="str">
        <f>VLOOKUP($B12, Spa!$B:$P, 12, 0)</f>
        <v>Yes</v>
      </c>
      <c r="H12">
        <f>VLOOKUP($B12, Spa!$B:$P, 3, 0)</f>
        <v>2022</v>
      </c>
      <c r="I12" s="2">
        <f>SUMIF('2022'!$B:$B,$B12, '2022'!$AI:$AI)</f>
        <v>127800.66</v>
      </c>
      <c r="J12" s="2">
        <f>SUMIF('2023'!$B:$B,$B12,'2023'!$AI:$AI)</f>
        <v>127251.65999999997</v>
      </c>
      <c r="K12" s="2">
        <f>SUMIF('2024'!$B:$B,$B12,'2024'!$AI:$AI)</f>
        <v>104398.38</v>
      </c>
      <c r="L12" s="2">
        <f>SUMIF('2025'!$B:$B,$B12,'2025'!$AI:$AI)</f>
        <v>52636.330000000009</v>
      </c>
      <c r="M12" s="2">
        <f>SUMIF('2025B'!$B:$B,$B12,'2025B'!$AI:$AI)</f>
        <v>120000</v>
      </c>
      <c r="O12" s="3">
        <f t="shared" si="1"/>
        <v>-0.49581277027478776</v>
      </c>
      <c r="P12" s="3">
        <f t="shared" si="2"/>
        <v>-0.58636036653667212</v>
      </c>
      <c r="Q12" s="3">
        <f t="shared" si="3"/>
        <v>-0.58813726001102018</v>
      </c>
      <c r="R12" s="3">
        <f t="shared" si="4"/>
        <v>-0.56136391666666663</v>
      </c>
      <c r="S12" s="3">
        <f t="shared" si="5"/>
        <v>-0.19889742795686938</v>
      </c>
      <c r="T12" s="3"/>
      <c r="U12" s="4">
        <f t="shared" si="6"/>
        <v>-51762.049999999996</v>
      </c>
      <c r="V12" s="4">
        <f t="shared" si="7"/>
        <v>-74615.329999999958</v>
      </c>
      <c r="W12" s="4">
        <f t="shared" si="8"/>
        <v>-75164.329999999987</v>
      </c>
      <c r="X12" s="4">
        <f t="shared" si="9"/>
        <v>-67363.669999999984</v>
      </c>
      <c r="Z12" s="2">
        <f>SUMIF('2022'!$B:$B,$B12,'2022'!$AI:$AI)</f>
        <v>127800.66</v>
      </c>
      <c r="AA12" s="2">
        <f>SUMIF('2023'!$B:$B,$B12,'2023'!$AI:$AI)</f>
        <v>127251.65999999997</v>
      </c>
      <c r="AB12" s="2">
        <f>SUMIF('2024'!$B:$B,$B12,'2024'!$AI:$AI)</f>
        <v>104398.38</v>
      </c>
      <c r="AC12" s="4">
        <f t="shared" si="10"/>
        <v>52636.330000000009</v>
      </c>
      <c r="AD12" s="2">
        <f>SUMIF('2025B'!$B:$B,$B12,'2025B'!$AI:$AI)</f>
        <v>120000</v>
      </c>
      <c r="AF12" s="3">
        <f t="shared" si="11"/>
        <v>-0.49581277027478776</v>
      </c>
      <c r="AG12" s="3">
        <f t="shared" si="12"/>
        <v>-0.58636036653667212</v>
      </c>
      <c r="AH12" s="3">
        <f t="shared" si="13"/>
        <v>-0.58813726001102018</v>
      </c>
      <c r="AI12" s="3">
        <f t="shared" si="14"/>
        <v>-0.56136391666666663</v>
      </c>
      <c r="AJ12" s="3">
        <f t="shared" si="15"/>
        <v>-0.19889742795686938</v>
      </c>
      <c r="AK12" s="3"/>
      <c r="AL12" s="4">
        <f t="shared" si="16"/>
        <v>-51762.049999999996</v>
      </c>
      <c r="AM12" s="4">
        <f t="shared" si="17"/>
        <v>-74615.329999999958</v>
      </c>
      <c r="AN12" s="4">
        <f t="shared" si="18"/>
        <v>-75164.329999999987</v>
      </c>
      <c r="AO12" s="4">
        <f t="shared" si="19"/>
        <v>-67363.669999999984</v>
      </c>
    </row>
    <row r="13" spans="2:41">
      <c r="B13">
        <v>25013</v>
      </c>
      <c r="C13" t="s">
        <v>144</v>
      </c>
      <c r="D13" t="str">
        <f>VLOOKUP($B13, Spa!$B:$P, 15, 0)</f>
        <v>Central</v>
      </c>
      <c r="E13" t="str">
        <f>VLOOKUP($B13, Spa!$B:$P, 14, 0)</f>
        <v>Emily</v>
      </c>
      <c r="F13" t="str">
        <f t="shared" si="0"/>
        <v>N/A</v>
      </c>
      <c r="G13" t="str">
        <f>VLOOKUP($B13, Spa!$B:$P, 12, 0)</f>
        <v>No</v>
      </c>
      <c r="H13">
        <f>VLOOKUP($B13, Spa!$B:$P, 3, 0)</f>
        <v>2022</v>
      </c>
      <c r="I13" s="2">
        <f>SUMIF('2022'!$B:$B,$B13, '2022'!$AI:$AI)</f>
        <v>28353.3</v>
      </c>
      <c r="J13" s="2">
        <f>SUMIF('2023'!$B:$B,$B13,'2023'!$AI:$AI)</f>
        <v>0</v>
      </c>
      <c r="K13" s="2">
        <f>SUMIF('2024'!$B:$B,$B13,'2024'!$AI:$AI)</f>
        <v>0</v>
      </c>
      <c r="L13" s="2">
        <f>SUMIF('2025'!$B:$B,$B13,'2025'!$AI:$AI)</f>
        <v>0</v>
      </c>
      <c r="M13" s="2">
        <f>SUMIF('2025B'!$B:$B,$B13,'2025B'!$AI:$AI)</f>
        <v>0</v>
      </c>
      <c r="O13" s="3" t="str">
        <f t="shared" si="1"/>
        <v>N/A</v>
      </c>
      <c r="P13" s="3" t="str">
        <f t="shared" si="2"/>
        <v>N/A</v>
      </c>
      <c r="Q13" s="3">
        <f t="shared" si="3"/>
        <v>-1</v>
      </c>
      <c r="R13" s="3" t="str">
        <f t="shared" si="4"/>
        <v>N/A</v>
      </c>
      <c r="S13" s="3">
        <f t="shared" si="5"/>
        <v>-1</v>
      </c>
      <c r="T13" s="3"/>
      <c r="U13" s="4">
        <f t="shared" si="6"/>
        <v>0</v>
      </c>
      <c r="V13" s="4">
        <f t="shared" si="7"/>
        <v>0</v>
      </c>
      <c r="W13" s="4">
        <f t="shared" si="8"/>
        <v>-28353.3</v>
      </c>
      <c r="X13" s="4">
        <f t="shared" si="9"/>
        <v>0</v>
      </c>
      <c r="Z13" s="2">
        <f>SUMIF('2022'!$B:$B,$B13,'2022'!$AI:$AI)</f>
        <v>28353.3</v>
      </c>
      <c r="AA13" s="2">
        <f>SUMIF('2023'!$B:$B,$B13,'2023'!$AI:$AI)</f>
        <v>0</v>
      </c>
      <c r="AB13" s="2">
        <f>SUMIF('2024'!$B:$B,$B13,'2024'!$AI:$AI)</f>
        <v>0</v>
      </c>
      <c r="AC13" s="4">
        <f t="shared" si="10"/>
        <v>0</v>
      </c>
      <c r="AD13" s="2">
        <f>SUMIF('2025B'!$B:$B,$B13,'2025B'!$AI:$AI)</f>
        <v>0</v>
      </c>
      <c r="AF13" s="3" t="str">
        <f t="shared" si="11"/>
        <v>N/A</v>
      </c>
      <c r="AG13" s="3" t="str">
        <f t="shared" si="12"/>
        <v>N/A</v>
      </c>
      <c r="AH13" s="3">
        <f t="shared" si="13"/>
        <v>-1</v>
      </c>
      <c r="AI13" s="3" t="str">
        <f t="shared" si="14"/>
        <v>N/A</v>
      </c>
      <c r="AJ13" s="3">
        <f t="shared" si="15"/>
        <v>-1</v>
      </c>
      <c r="AK13" s="3"/>
      <c r="AL13" s="4">
        <f t="shared" si="16"/>
        <v>0</v>
      </c>
      <c r="AM13" s="4">
        <f t="shared" si="17"/>
        <v>0</v>
      </c>
      <c r="AN13" s="4">
        <f t="shared" si="18"/>
        <v>-28353.3</v>
      </c>
      <c r="AO13" s="4">
        <f t="shared" si="19"/>
        <v>0</v>
      </c>
    </row>
    <row r="14" spans="2:41">
      <c r="B14">
        <v>25015</v>
      </c>
      <c r="C14" t="s">
        <v>107</v>
      </c>
      <c r="D14" t="str">
        <f>VLOOKUP($B14, Spa!$B:$P, 15, 0)</f>
        <v>West</v>
      </c>
      <c r="E14" t="str">
        <f>VLOOKUP($B14, Spa!$B:$P, 14, 0)</f>
        <v>Amy</v>
      </c>
      <c r="F14" t="str">
        <f t="shared" si="0"/>
        <v>C</v>
      </c>
      <c r="G14" t="str">
        <f>VLOOKUP($B14, Spa!$B:$P, 12, 0)</f>
        <v>Yes</v>
      </c>
      <c r="H14">
        <f>VLOOKUP($B14, Spa!$B:$P, 3, 0)</f>
        <v>2022</v>
      </c>
      <c r="I14" s="2">
        <f>SUMIF('2022'!$B:$B,$B14, '2022'!$AI:$AI)</f>
        <v>9631.1</v>
      </c>
      <c r="J14" s="2">
        <f>SUMIF('2023'!$B:$B,$B14,'2023'!$AI:$AI)</f>
        <v>6958.4800000000005</v>
      </c>
      <c r="K14" s="2">
        <f>SUMIF('2024'!$B:$B,$B14,'2024'!$AI:$AI)</f>
        <v>2717.3199999999997</v>
      </c>
      <c r="L14" s="2">
        <f>SUMIF('2025'!$B:$B,$B14,'2025'!$AI:$AI)</f>
        <v>1573.68</v>
      </c>
      <c r="M14" s="2">
        <f>SUMIF('2025B'!$B:$B,$B14,'2025B'!$AI:$AI)</f>
        <v>3000</v>
      </c>
      <c r="O14" s="3">
        <f t="shared" si="1"/>
        <v>-0.42087056364358988</v>
      </c>
      <c r="P14" s="3">
        <f t="shared" si="2"/>
        <v>-0.77384716202389026</v>
      </c>
      <c r="Q14" s="3">
        <f t="shared" si="3"/>
        <v>-0.83660433387671196</v>
      </c>
      <c r="R14" s="3">
        <f t="shared" si="4"/>
        <v>-0.47543999999999997</v>
      </c>
      <c r="S14" s="3">
        <f t="shared" si="5"/>
        <v>-0.36421521101506682</v>
      </c>
      <c r="T14" s="3"/>
      <c r="U14" s="4">
        <f t="shared" si="6"/>
        <v>-1143.6399999999996</v>
      </c>
      <c r="V14" s="4">
        <f t="shared" si="7"/>
        <v>-5384.8</v>
      </c>
      <c r="W14" s="4">
        <f t="shared" si="8"/>
        <v>-8057.42</v>
      </c>
      <c r="X14" s="4">
        <f t="shared" si="9"/>
        <v>-1426.32</v>
      </c>
      <c r="Z14" s="2">
        <f>SUMIF('2022'!$B:$B,$B14,'2022'!$AI:$AI)</f>
        <v>9631.1</v>
      </c>
      <c r="AA14" s="2">
        <f>SUMIF('2023'!$B:$B,$B14,'2023'!$AI:$AI)</f>
        <v>6958.4800000000005</v>
      </c>
      <c r="AB14" s="2">
        <f>SUMIF('2024'!$B:$B,$B14,'2024'!$AI:$AI)</f>
        <v>2717.3199999999997</v>
      </c>
      <c r="AC14" s="4">
        <f t="shared" si="10"/>
        <v>1573.68</v>
      </c>
      <c r="AD14" s="2">
        <f>SUMIF('2025B'!$B:$B,$B14,'2025B'!$AI:$AI)</f>
        <v>3000</v>
      </c>
      <c r="AF14" s="3">
        <f t="shared" si="11"/>
        <v>-0.42087056364358988</v>
      </c>
      <c r="AG14" s="3">
        <f t="shared" si="12"/>
        <v>-0.77384716202389026</v>
      </c>
      <c r="AH14" s="3">
        <f t="shared" si="13"/>
        <v>-0.83660433387671196</v>
      </c>
      <c r="AI14" s="3">
        <f t="shared" si="14"/>
        <v>-0.47543999999999997</v>
      </c>
      <c r="AJ14" s="3">
        <f t="shared" si="15"/>
        <v>-0.36421521101506682</v>
      </c>
      <c r="AK14" s="3"/>
      <c r="AL14" s="4">
        <f t="shared" si="16"/>
        <v>-1143.6399999999996</v>
      </c>
      <c r="AM14" s="4">
        <f t="shared" si="17"/>
        <v>-5384.8</v>
      </c>
      <c r="AN14" s="4">
        <f t="shared" si="18"/>
        <v>-8057.42</v>
      </c>
      <c r="AO14" s="4">
        <f t="shared" si="19"/>
        <v>-1426.32</v>
      </c>
    </row>
    <row r="15" spans="2:41">
      <c r="B15">
        <v>25016</v>
      </c>
      <c r="C15" t="s">
        <v>122</v>
      </c>
      <c r="D15" t="str">
        <f>VLOOKUP($B15, Spa!$B:$P, 15, 0)</f>
        <v>Southeast</v>
      </c>
      <c r="E15" t="str">
        <f>VLOOKUP($B15, Spa!$B:$P, 14, 0)</f>
        <v>Lisa</v>
      </c>
      <c r="F15" t="str">
        <f t="shared" si="0"/>
        <v>B</v>
      </c>
      <c r="G15" t="str">
        <f>VLOOKUP($B15, Spa!$B:$P, 12, 0)</f>
        <v>Yes</v>
      </c>
      <c r="H15">
        <f>VLOOKUP($B15, Spa!$B:$P, 3, 0)</f>
        <v>2022</v>
      </c>
      <c r="I15" s="2">
        <f>SUMIF('2022'!$B:$B,$B15, '2022'!$AI:$AI)</f>
        <v>11106.15</v>
      </c>
      <c r="J15" s="2">
        <f>SUMIF('2023'!$B:$B,$B15,'2023'!$AI:$AI)</f>
        <v>7571.13</v>
      </c>
      <c r="K15" s="2">
        <f>SUMIF('2024'!$B:$B,$B15,'2024'!$AI:$AI)</f>
        <v>11466.5</v>
      </c>
      <c r="L15" s="2">
        <f>SUMIF('2025'!$B:$B,$B15,'2025'!$AI:$AI)</f>
        <v>3383.2200000000003</v>
      </c>
      <c r="M15" s="2">
        <f>SUMIF('2025B'!$B:$B,$B15,'2025B'!$AI:$AI)</f>
        <v>12000</v>
      </c>
      <c r="O15" s="3">
        <f t="shared" si="1"/>
        <v>-0.70494745563162253</v>
      </c>
      <c r="P15" s="3">
        <f t="shared" si="2"/>
        <v>-0.55314200126004964</v>
      </c>
      <c r="Q15" s="3">
        <f t="shared" si="3"/>
        <v>-0.69537418457341205</v>
      </c>
      <c r="R15" s="3">
        <f t="shared" si="4"/>
        <v>-0.71806499999999995</v>
      </c>
      <c r="S15" s="3">
        <f t="shared" si="5"/>
        <v>-0.25708063957349703</v>
      </c>
      <c r="T15" s="3"/>
      <c r="U15" s="4">
        <f t="shared" si="6"/>
        <v>-8083.28</v>
      </c>
      <c r="V15" s="4">
        <f t="shared" si="7"/>
        <v>-4187.91</v>
      </c>
      <c r="W15" s="4">
        <f t="shared" si="8"/>
        <v>-7722.9299999999994</v>
      </c>
      <c r="X15" s="4">
        <f t="shared" si="9"/>
        <v>-8616.7799999999988</v>
      </c>
      <c r="Z15" s="2">
        <f>SUMIF('2022'!$B:$B,$B15,'2022'!$AI:$AI)</f>
        <v>11106.15</v>
      </c>
      <c r="AA15" s="2">
        <f>SUMIF('2023'!$B:$B,$B15,'2023'!$AI:$AI)</f>
        <v>7571.13</v>
      </c>
      <c r="AB15" s="2">
        <f>SUMIF('2024'!$B:$B,$B15,'2024'!$AI:$AI)</f>
        <v>11466.5</v>
      </c>
      <c r="AC15" s="4">
        <f t="shared" si="10"/>
        <v>3383.2200000000003</v>
      </c>
      <c r="AD15" s="2">
        <f>SUMIF('2025B'!$B:$B,$B15,'2025B'!$AI:$AI)</f>
        <v>12000</v>
      </c>
      <c r="AF15" s="3">
        <f t="shared" si="11"/>
        <v>-0.70494745563162253</v>
      </c>
      <c r="AG15" s="3">
        <f t="shared" si="12"/>
        <v>-0.55314200126004964</v>
      </c>
      <c r="AH15" s="3">
        <f t="shared" si="13"/>
        <v>-0.69537418457341205</v>
      </c>
      <c r="AI15" s="3">
        <f t="shared" si="14"/>
        <v>-0.71806499999999995</v>
      </c>
      <c r="AJ15" s="3">
        <f t="shared" si="15"/>
        <v>-0.25708063957349703</v>
      </c>
      <c r="AK15" s="3"/>
      <c r="AL15" s="4">
        <f t="shared" si="16"/>
        <v>-8083.28</v>
      </c>
      <c r="AM15" s="4">
        <f t="shared" si="17"/>
        <v>-4187.91</v>
      </c>
      <c r="AN15" s="4">
        <f t="shared" si="18"/>
        <v>-7722.9299999999994</v>
      </c>
      <c r="AO15" s="4">
        <f t="shared" si="19"/>
        <v>-8616.7799999999988</v>
      </c>
    </row>
    <row r="16" spans="2:41">
      <c r="B16">
        <v>25018</v>
      </c>
      <c r="C16" t="s">
        <v>145</v>
      </c>
      <c r="D16" t="str">
        <f>VLOOKUP($B16, Spa!$B:$P, 15, 0)</f>
        <v>Southeast</v>
      </c>
      <c r="E16" t="str">
        <f>VLOOKUP($B16, Spa!$B:$P, 14, 0)</f>
        <v>Lisa</v>
      </c>
      <c r="F16" t="str">
        <f t="shared" si="0"/>
        <v>N/A</v>
      </c>
      <c r="G16" t="str">
        <f>VLOOKUP($B16, Spa!$B:$P, 12, 0)</f>
        <v>No</v>
      </c>
      <c r="H16">
        <f>VLOOKUP($B16, Spa!$B:$P, 3, 0)</f>
        <v>2022</v>
      </c>
      <c r="I16" s="2">
        <f>SUMIF('2022'!$B:$B,$B16, '2022'!$AI:$AI)</f>
        <v>8694</v>
      </c>
      <c r="J16" s="2">
        <f>SUMIF('2023'!$B:$B,$B16,'2023'!$AI:$AI)</f>
        <v>0</v>
      </c>
      <c r="K16" s="2">
        <f>SUMIF('2024'!$B:$B,$B16,'2024'!$AI:$AI)</f>
        <v>0</v>
      </c>
      <c r="L16" s="2">
        <f>SUMIF('2025'!$B:$B,$B16,'2025'!$AI:$AI)</f>
        <v>0</v>
      </c>
      <c r="M16" s="2">
        <f>SUMIF('2025B'!$B:$B,$B16,'2025B'!$AI:$AI)</f>
        <v>0</v>
      </c>
      <c r="O16" s="3" t="str">
        <f t="shared" si="1"/>
        <v>N/A</v>
      </c>
      <c r="P16" s="3" t="str">
        <f t="shared" si="2"/>
        <v>N/A</v>
      </c>
      <c r="Q16" s="3">
        <f t="shared" si="3"/>
        <v>-1</v>
      </c>
      <c r="R16" s="3" t="str">
        <f t="shared" si="4"/>
        <v>N/A</v>
      </c>
      <c r="S16" s="3">
        <f t="shared" si="5"/>
        <v>-1</v>
      </c>
      <c r="T16" s="3"/>
      <c r="U16" s="4">
        <f t="shared" si="6"/>
        <v>0</v>
      </c>
      <c r="V16" s="4">
        <f t="shared" si="7"/>
        <v>0</v>
      </c>
      <c r="W16" s="4">
        <f t="shared" si="8"/>
        <v>-8694</v>
      </c>
      <c r="X16" s="4">
        <f t="shared" si="9"/>
        <v>0</v>
      </c>
      <c r="Z16" s="2">
        <f>SUMIF('2022'!$B:$B,$B16,'2022'!$AI:$AI)</f>
        <v>8694</v>
      </c>
      <c r="AA16" s="2">
        <f>SUMIF('2023'!$B:$B,$B16,'2023'!$AI:$AI)</f>
        <v>0</v>
      </c>
      <c r="AB16" s="2">
        <f>SUMIF('2024'!$B:$B,$B16,'2024'!$AI:$AI)</f>
        <v>0</v>
      </c>
      <c r="AC16" s="4">
        <f t="shared" si="10"/>
        <v>0</v>
      </c>
      <c r="AD16" s="2">
        <f>SUMIF('2025B'!$B:$B,$B16,'2025B'!$AI:$AI)</f>
        <v>0</v>
      </c>
      <c r="AF16" s="3" t="str">
        <f t="shared" si="11"/>
        <v>N/A</v>
      </c>
      <c r="AG16" s="3" t="str">
        <f t="shared" si="12"/>
        <v>N/A</v>
      </c>
      <c r="AH16" s="3">
        <f t="shared" si="13"/>
        <v>-1</v>
      </c>
      <c r="AI16" s="3" t="str">
        <f t="shared" si="14"/>
        <v>N/A</v>
      </c>
      <c r="AJ16" s="3">
        <f t="shared" si="15"/>
        <v>-1</v>
      </c>
      <c r="AK16" s="3"/>
      <c r="AL16" s="4">
        <f t="shared" si="16"/>
        <v>0</v>
      </c>
      <c r="AM16" s="4">
        <f t="shared" si="17"/>
        <v>0</v>
      </c>
      <c r="AN16" s="4">
        <f t="shared" si="18"/>
        <v>-8694</v>
      </c>
      <c r="AO16" s="4">
        <f t="shared" si="19"/>
        <v>0</v>
      </c>
    </row>
    <row r="17" spans="2:41">
      <c r="B17">
        <v>25019</v>
      </c>
      <c r="C17" t="s">
        <v>146</v>
      </c>
      <c r="D17" t="str">
        <f>VLOOKUP($B17, Spa!$B:$P, 15, 0)</f>
        <v>Southeast</v>
      </c>
      <c r="E17" t="str">
        <f>VLOOKUP($B17, Spa!$B:$P, 14, 0)</f>
        <v>Lisa</v>
      </c>
      <c r="F17" t="str">
        <f t="shared" si="0"/>
        <v>N/A</v>
      </c>
      <c r="G17" t="str">
        <f>VLOOKUP($B17, Spa!$B:$P, 12, 0)</f>
        <v>No</v>
      </c>
      <c r="H17">
        <f>VLOOKUP($B17, Spa!$B:$P, 3, 0)</f>
        <v>2022</v>
      </c>
      <c r="I17" s="2">
        <f>SUMIF('2022'!$B:$B,$B17, '2022'!$AI:$AI)</f>
        <v>3203.8</v>
      </c>
      <c r="J17" s="2">
        <f>SUMIF('2023'!$B:$B,$B17,'2023'!$AI:$AI)</f>
        <v>0</v>
      </c>
      <c r="K17" s="2">
        <f>SUMIF('2024'!$B:$B,$B17,'2024'!$AI:$AI)</f>
        <v>0</v>
      </c>
      <c r="L17" s="2">
        <f>SUMIF('2025'!$B:$B,$B17,'2025'!$AI:$AI)</f>
        <v>0</v>
      </c>
      <c r="M17" s="2">
        <f>SUMIF('2025B'!$B:$B,$B17,'2025B'!$AI:$AI)</f>
        <v>0</v>
      </c>
      <c r="O17" s="3" t="str">
        <f t="shared" si="1"/>
        <v>N/A</v>
      </c>
      <c r="P17" s="3" t="str">
        <f t="shared" si="2"/>
        <v>N/A</v>
      </c>
      <c r="Q17" s="3">
        <f t="shared" si="3"/>
        <v>-1</v>
      </c>
      <c r="R17" s="3" t="str">
        <f t="shared" si="4"/>
        <v>N/A</v>
      </c>
      <c r="S17" s="3">
        <f t="shared" si="5"/>
        <v>-1</v>
      </c>
      <c r="T17" s="3"/>
      <c r="U17" s="4">
        <f t="shared" si="6"/>
        <v>0</v>
      </c>
      <c r="V17" s="4">
        <f t="shared" si="7"/>
        <v>0</v>
      </c>
      <c r="W17" s="4">
        <f t="shared" si="8"/>
        <v>-3203.8</v>
      </c>
      <c r="X17" s="4">
        <f t="shared" si="9"/>
        <v>0</v>
      </c>
      <c r="Z17" s="2">
        <f>SUMIF('2022'!$B:$B,$B17,'2022'!$AI:$AI)</f>
        <v>3203.8</v>
      </c>
      <c r="AA17" s="2">
        <f>SUMIF('2023'!$B:$B,$B17,'2023'!$AI:$AI)</f>
        <v>0</v>
      </c>
      <c r="AB17" s="2">
        <f>SUMIF('2024'!$B:$B,$B17,'2024'!$AI:$AI)</f>
        <v>0</v>
      </c>
      <c r="AC17" s="4">
        <f t="shared" si="10"/>
        <v>0</v>
      </c>
      <c r="AD17" s="2">
        <f>SUMIF('2025B'!$B:$B,$B17,'2025B'!$AI:$AI)</f>
        <v>0</v>
      </c>
      <c r="AF17" s="3" t="str">
        <f t="shared" si="11"/>
        <v>N/A</v>
      </c>
      <c r="AG17" s="3" t="str">
        <f t="shared" si="12"/>
        <v>N/A</v>
      </c>
      <c r="AH17" s="3">
        <f t="shared" si="13"/>
        <v>-1</v>
      </c>
      <c r="AI17" s="3" t="str">
        <f t="shared" si="14"/>
        <v>N/A</v>
      </c>
      <c r="AJ17" s="3">
        <f t="shared" si="15"/>
        <v>-1</v>
      </c>
      <c r="AK17" s="3"/>
      <c r="AL17" s="4">
        <f t="shared" si="16"/>
        <v>0</v>
      </c>
      <c r="AM17" s="4">
        <f t="shared" si="17"/>
        <v>0</v>
      </c>
      <c r="AN17" s="4">
        <f t="shared" si="18"/>
        <v>-3203.8</v>
      </c>
      <c r="AO17" s="4">
        <f t="shared" si="19"/>
        <v>0</v>
      </c>
    </row>
    <row r="18" spans="2:41">
      <c r="B18">
        <v>25020</v>
      </c>
      <c r="C18" t="s">
        <v>147</v>
      </c>
      <c r="D18" t="str">
        <f>VLOOKUP($B18, Spa!$B:$P, 15, 0)</f>
        <v>Southeast</v>
      </c>
      <c r="E18" t="str">
        <f>VLOOKUP($B18, Spa!$B:$P, 14, 0)</f>
        <v>Lisa</v>
      </c>
      <c r="F18" t="str">
        <f t="shared" si="0"/>
        <v>N/A</v>
      </c>
      <c r="G18" t="str">
        <f>VLOOKUP($B18, Spa!$B:$P, 12, 0)</f>
        <v>No</v>
      </c>
      <c r="H18">
        <f>VLOOKUP($B18, Spa!$B:$P, 3, 0)</f>
        <v>2022</v>
      </c>
      <c r="I18" s="2">
        <f>SUMIF('2022'!$B:$B,$B18, '2022'!$AI:$AI)</f>
        <v>7514.3</v>
      </c>
      <c r="J18" s="2">
        <f>SUMIF('2023'!$B:$B,$B18,'2023'!$AI:$AI)</f>
        <v>0</v>
      </c>
      <c r="K18" s="2">
        <f>SUMIF('2024'!$B:$B,$B18,'2024'!$AI:$AI)</f>
        <v>0</v>
      </c>
      <c r="L18" s="2">
        <f>SUMIF('2025'!$B:$B,$B18,'2025'!$AI:$AI)</f>
        <v>0</v>
      </c>
      <c r="M18" s="2">
        <f>SUMIF('2025B'!$B:$B,$B18,'2025B'!$AI:$AI)</f>
        <v>0</v>
      </c>
      <c r="O18" s="3" t="str">
        <f t="shared" si="1"/>
        <v>N/A</v>
      </c>
      <c r="P18" s="3" t="str">
        <f t="shared" si="2"/>
        <v>N/A</v>
      </c>
      <c r="Q18" s="3">
        <f t="shared" si="3"/>
        <v>-1</v>
      </c>
      <c r="R18" s="3" t="str">
        <f t="shared" si="4"/>
        <v>N/A</v>
      </c>
      <c r="S18" s="3">
        <f t="shared" si="5"/>
        <v>-1</v>
      </c>
      <c r="T18" s="3"/>
      <c r="U18" s="4">
        <f t="shared" si="6"/>
        <v>0</v>
      </c>
      <c r="V18" s="4">
        <f t="shared" si="7"/>
        <v>0</v>
      </c>
      <c r="W18" s="4">
        <f t="shared" si="8"/>
        <v>-7514.3</v>
      </c>
      <c r="X18" s="4">
        <f t="shared" si="9"/>
        <v>0</v>
      </c>
      <c r="Z18" s="2">
        <f>SUMIF('2022'!$B:$B,$B18,'2022'!$AI:$AI)</f>
        <v>7514.3</v>
      </c>
      <c r="AA18" s="2">
        <f>SUMIF('2023'!$B:$B,$B18,'2023'!$AI:$AI)</f>
        <v>0</v>
      </c>
      <c r="AB18" s="2">
        <f>SUMIF('2024'!$B:$B,$B18,'2024'!$AI:$AI)</f>
        <v>0</v>
      </c>
      <c r="AC18" s="4">
        <f t="shared" si="10"/>
        <v>0</v>
      </c>
      <c r="AD18" s="2">
        <f>SUMIF('2025B'!$B:$B,$B18,'2025B'!$AI:$AI)</f>
        <v>0</v>
      </c>
      <c r="AF18" s="3" t="str">
        <f t="shared" si="11"/>
        <v>N/A</v>
      </c>
      <c r="AG18" s="3" t="str">
        <f t="shared" si="12"/>
        <v>N/A</v>
      </c>
      <c r="AH18" s="3">
        <f t="shared" si="13"/>
        <v>-1</v>
      </c>
      <c r="AI18" s="3" t="str">
        <f t="shared" si="14"/>
        <v>N/A</v>
      </c>
      <c r="AJ18" s="3">
        <f t="shared" si="15"/>
        <v>-1</v>
      </c>
      <c r="AK18" s="3"/>
      <c r="AL18" s="4">
        <f t="shared" si="16"/>
        <v>0</v>
      </c>
      <c r="AM18" s="4">
        <f t="shared" si="17"/>
        <v>0</v>
      </c>
      <c r="AN18" s="4">
        <f t="shared" si="18"/>
        <v>-7514.3</v>
      </c>
      <c r="AO18" s="4">
        <f t="shared" si="19"/>
        <v>0</v>
      </c>
    </row>
    <row r="19" spans="2:41">
      <c r="B19">
        <v>25021</v>
      </c>
      <c r="C19" t="s">
        <v>148</v>
      </c>
      <c r="D19" t="str">
        <f>VLOOKUP($B19, Spa!$B:$P, 15, 0)</f>
        <v>Central</v>
      </c>
      <c r="E19" t="str">
        <f>VLOOKUP($B19, Spa!$B:$P, 14, 0)</f>
        <v>Amy</v>
      </c>
      <c r="F19" t="str">
        <f t="shared" si="0"/>
        <v>N/A</v>
      </c>
      <c r="G19" t="str">
        <f>VLOOKUP($B19, Spa!$B:$P, 12, 0)</f>
        <v>No</v>
      </c>
      <c r="H19" t="str">
        <f>VLOOKUP($B19, Spa!$B:$P, 3, 0)</f>
        <v>N/A</v>
      </c>
      <c r="I19" s="2">
        <f>SUMIF('2022'!$B:$B,$B19, '2022'!$AI:$AI)</f>
        <v>0</v>
      </c>
      <c r="J19" s="2">
        <f>SUMIF('2023'!$B:$B,$B19,'2023'!$AI:$AI)</f>
        <v>0</v>
      </c>
      <c r="K19" s="2">
        <f>SUMIF('2024'!$B:$B,$B19,'2024'!$AI:$AI)</f>
        <v>0</v>
      </c>
      <c r="L19" s="2">
        <f>SUMIF('2025'!$B:$B,$B19,'2025'!$AI:$AI)</f>
        <v>0</v>
      </c>
      <c r="M19" s="2">
        <f>SUMIF('2025B'!$B:$B,$B19,'2025B'!$AI:$AI)</f>
        <v>0</v>
      </c>
      <c r="O19" s="3" t="str">
        <f t="shared" si="1"/>
        <v>N/A</v>
      </c>
      <c r="P19" s="3" t="str">
        <f t="shared" si="2"/>
        <v>N/A</v>
      </c>
      <c r="Q19" s="3" t="str">
        <f t="shared" si="3"/>
        <v>N/A</v>
      </c>
      <c r="R19" s="3" t="str">
        <f t="shared" si="4"/>
        <v>N/A</v>
      </c>
      <c r="S19" s="3">
        <f t="shared" si="5"/>
        <v>0</v>
      </c>
      <c r="T19" s="3"/>
      <c r="U19" s="4">
        <f t="shared" si="6"/>
        <v>0</v>
      </c>
      <c r="V19" s="4">
        <f t="shared" si="7"/>
        <v>0</v>
      </c>
      <c r="W19" s="4">
        <f t="shared" si="8"/>
        <v>0</v>
      </c>
      <c r="X19" s="4">
        <f t="shared" si="9"/>
        <v>0</v>
      </c>
      <c r="Z19" s="2">
        <f>SUMIF('2022'!$B:$B,$B19,'2022'!$AI:$AI)</f>
        <v>0</v>
      </c>
      <c r="AA19" s="2">
        <f>SUMIF('2023'!$B:$B,$B19,'2023'!$AI:$AI)</f>
        <v>0</v>
      </c>
      <c r="AB19" s="2">
        <f>SUMIF('2024'!$B:$B,$B19,'2024'!$AI:$AI)</f>
        <v>0</v>
      </c>
      <c r="AC19" s="4">
        <f t="shared" si="10"/>
        <v>0</v>
      </c>
      <c r="AD19" s="2">
        <f>SUMIF('2025B'!$B:$B,$B19,'2025B'!$AI:$AI)</f>
        <v>0</v>
      </c>
      <c r="AF19" s="3" t="str">
        <f t="shared" si="11"/>
        <v>N/A</v>
      </c>
      <c r="AG19" s="3" t="str">
        <f t="shared" si="12"/>
        <v>N/A</v>
      </c>
      <c r="AH19" s="3" t="str">
        <f t="shared" si="13"/>
        <v>N/A</v>
      </c>
      <c r="AI19" s="3" t="str">
        <f t="shared" si="14"/>
        <v>N/A</v>
      </c>
      <c r="AJ19" s="3">
        <f t="shared" si="15"/>
        <v>0</v>
      </c>
      <c r="AK19" s="3"/>
      <c r="AL19" s="4">
        <f t="shared" si="16"/>
        <v>0</v>
      </c>
      <c r="AM19" s="4">
        <f t="shared" si="17"/>
        <v>0</v>
      </c>
      <c r="AN19" s="4">
        <f t="shared" si="18"/>
        <v>0</v>
      </c>
      <c r="AO19" s="4">
        <f t="shared" si="19"/>
        <v>0</v>
      </c>
    </row>
    <row r="20" spans="2:41">
      <c r="B20">
        <v>25022</v>
      </c>
      <c r="C20" t="s">
        <v>149</v>
      </c>
      <c r="D20" t="str">
        <f>VLOOKUP($B20, Spa!$B:$P, 15, 0)</f>
        <v>Central</v>
      </c>
      <c r="E20" t="str">
        <f>VLOOKUP($B20, Spa!$B:$P, 14, 0)</f>
        <v>Amy</v>
      </c>
      <c r="F20" t="str">
        <f t="shared" si="0"/>
        <v>N/A</v>
      </c>
      <c r="G20" t="str">
        <f>VLOOKUP($B20, Spa!$B:$P, 12, 0)</f>
        <v>No</v>
      </c>
      <c r="H20">
        <f>VLOOKUP($B20, Spa!$B:$P, 3, 0)</f>
        <v>2022</v>
      </c>
      <c r="I20" s="2">
        <f>SUMIF('2022'!$B:$B,$B20, '2022'!$AI:$AI)</f>
        <v>2997.3</v>
      </c>
      <c r="J20" s="2">
        <f>SUMIF('2023'!$B:$B,$B20,'2023'!$AI:$AI)</f>
        <v>0</v>
      </c>
      <c r="K20" s="2">
        <f>SUMIF('2024'!$B:$B,$B20,'2024'!$AI:$AI)</f>
        <v>0</v>
      </c>
      <c r="L20" s="2">
        <f>SUMIF('2025'!$B:$B,$B20,'2025'!$AI:$AI)</f>
        <v>0</v>
      </c>
      <c r="M20" s="2">
        <f>SUMIF('2025B'!$B:$B,$B20,'2025B'!$AI:$AI)</f>
        <v>0</v>
      </c>
      <c r="O20" s="3" t="str">
        <f t="shared" si="1"/>
        <v>N/A</v>
      </c>
      <c r="P20" s="3" t="str">
        <f t="shared" si="2"/>
        <v>N/A</v>
      </c>
      <c r="Q20" s="3">
        <f t="shared" si="3"/>
        <v>-1</v>
      </c>
      <c r="R20" s="3" t="str">
        <f t="shared" si="4"/>
        <v>N/A</v>
      </c>
      <c r="S20" s="3">
        <f t="shared" si="5"/>
        <v>-1</v>
      </c>
      <c r="T20" s="3"/>
      <c r="U20" s="4">
        <f t="shared" si="6"/>
        <v>0</v>
      </c>
      <c r="V20" s="4">
        <f t="shared" si="7"/>
        <v>0</v>
      </c>
      <c r="W20" s="4">
        <f t="shared" si="8"/>
        <v>-2997.3</v>
      </c>
      <c r="X20" s="4">
        <f t="shared" si="9"/>
        <v>0</v>
      </c>
      <c r="Z20" s="2">
        <f>SUMIF('2022'!$B:$B,$B20,'2022'!$AI:$AI)</f>
        <v>2997.3</v>
      </c>
      <c r="AA20" s="2">
        <f>SUMIF('2023'!$B:$B,$B20,'2023'!$AI:$AI)</f>
        <v>0</v>
      </c>
      <c r="AB20" s="2">
        <f>SUMIF('2024'!$B:$B,$B20,'2024'!$AI:$AI)</f>
        <v>0</v>
      </c>
      <c r="AC20" s="4">
        <f t="shared" si="10"/>
        <v>0</v>
      </c>
      <c r="AD20" s="2">
        <f>SUMIF('2025B'!$B:$B,$B20,'2025B'!$AI:$AI)</f>
        <v>0</v>
      </c>
      <c r="AF20" s="3" t="str">
        <f t="shared" si="11"/>
        <v>N/A</v>
      </c>
      <c r="AG20" s="3" t="str">
        <f t="shared" si="12"/>
        <v>N/A</v>
      </c>
      <c r="AH20" s="3">
        <f t="shared" si="13"/>
        <v>-1</v>
      </c>
      <c r="AI20" s="3" t="str">
        <f t="shared" si="14"/>
        <v>N/A</v>
      </c>
      <c r="AJ20" s="3">
        <f t="shared" si="15"/>
        <v>-1</v>
      </c>
      <c r="AK20" s="3"/>
      <c r="AL20" s="4">
        <f t="shared" si="16"/>
        <v>0</v>
      </c>
      <c r="AM20" s="4">
        <f t="shared" si="17"/>
        <v>0</v>
      </c>
      <c r="AN20" s="4">
        <f t="shared" si="18"/>
        <v>-2997.3</v>
      </c>
      <c r="AO20" s="4">
        <f t="shared" si="19"/>
        <v>0</v>
      </c>
    </row>
    <row r="21" spans="2:41">
      <c r="B21">
        <v>25023</v>
      </c>
      <c r="C21" t="s">
        <v>150</v>
      </c>
      <c r="D21" t="str">
        <f>VLOOKUP($B21, Spa!$B:$P, 15, 0)</f>
        <v>Central</v>
      </c>
      <c r="E21" t="str">
        <f>VLOOKUP($B21, Spa!$B:$P, 14, 0)</f>
        <v>Amy</v>
      </c>
      <c r="F21" t="str">
        <f t="shared" si="0"/>
        <v>N/A</v>
      </c>
      <c r="G21" t="str">
        <f>VLOOKUP($B21, Spa!$B:$P, 12, 0)</f>
        <v>No</v>
      </c>
      <c r="H21">
        <f>VLOOKUP($B21, Spa!$B:$P, 3, 0)</f>
        <v>2022</v>
      </c>
      <c r="I21" s="2">
        <f>SUMIF('2022'!$B:$B,$B21, '2022'!$AI:$AI)</f>
        <v>8796.7999999999993</v>
      </c>
      <c r="J21" s="2">
        <f>SUMIF('2023'!$B:$B,$B21,'2023'!$AI:$AI)</f>
        <v>6782.98</v>
      </c>
      <c r="K21" s="2">
        <f>SUMIF('2024'!$B:$B,$B21,'2024'!$AI:$AI)</f>
        <v>0</v>
      </c>
      <c r="L21" s="2">
        <f>SUMIF('2025'!$B:$B,$B21,'2025'!$AI:$AI)</f>
        <v>0</v>
      </c>
      <c r="M21" s="2">
        <f>SUMIF('2025B'!$B:$B,$B21,'2025B'!$AI:$AI)</f>
        <v>0</v>
      </c>
      <c r="O21" s="3" t="str">
        <f t="shared" si="1"/>
        <v>N/A</v>
      </c>
      <c r="P21" s="3">
        <f t="shared" si="2"/>
        <v>-1</v>
      </c>
      <c r="Q21" s="3">
        <f t="shared" si="3"/>
        <v>-1</v>
      </c>
      <c r="R21" s="3" t="str">
        <f t="shared" si="4"/>
        <v>N/A</v>
      </c>
      <c r="S21" s="3">
        <f t="shared" si="5"/>
        <v>-1</v>
      </c>
      <c r="T21" s="3"/>
      <c r="U21" s="4">
        <f t="shared" si="6"/>
        <v>0</v>
      </c>
      <c r="V21" s="4">
        <f t="shared" si="7"/>
        <v>-6782.98</v>
      </c>
      <c r="W21" s="4">
        <f t="shared" si="8"/>
        <v>-8796.7999999999993</v>
      </c>
      <c r="X21" s="4">
        <f t="shared" si="9"/>
        <v>0</v>
      </c>
      <c r="Z21" s="2">
        <f>SUMIF('2022'!$B:$B,$B21,'2022'!$AI:$AI)</f>
        <v>8796.7999999999993</v>
      </c>
      <c r="AA21" s="2">
        <f>SUMIF('2023'!$B:$B,$B21,'2023'!$AI:$AI)</f>
        <v>6782.98</v>
      </c>
      <c r="AB21" s="2">
        <f>SUMIF('2024'!$B:$B,$B21,'2024'!$AI:$AI)</f>
        <v>0</v>
      </c>
      <c r="AC21" s="4">
        <f t="shared" si="10"/>
        <v>0</v>
      </c>
      <c r="AD21" s="2">
        <f>SUMIF('2025B'!$B:$B,$B21,'2025B'!$AI:$AI)</f>
        <v>0</v>
      </c>
      <c r="AF21" s="3" t="str">
        <f t="shared" si="11"/>
        <v>N/A</v>
      </c>
      <c r="AG21" s="3">
        <f t="shared" si="12"/>
        <v>-1</v>
      </c>
      <c r="AH21" s="3">
        <f t="shared" si="13"/>
        <v>-1</v>
      </c>
      <c r="AI21" s="3" t="str">
        <f t="shared" si="14"/>
        <v>N/A</v>
      </c>
      <c r="AJ21" s="3">
        <f t="shared" si="15"/>
        <v>-1</v>
      </c>
      <c r="AK21" s="3"/>
      <c r="AL21" s="4">
        <f t="shared" si="16"/>
        <v>0</v>
      </c>
      <c r="AM21" s="4">
        <f t="shared" si="17"/>
        <v>-6782.98</v>
      </c>
      <c r="AN21" s="4">
        <f t="shared" si="18"/>
        <v>-8796.7999999999993</v>
      </c>
      <c r="AO21" s="4">
        <f t="shared" si="19"/>
        <v>0</v>
      </c>
    </row>
    <row r="22" spans="2:41">
      <c r="B22">
        <v>25024</v>
      </c>
      <c r="C22" t="s">
        <v>128</v>
      </c>
      <c r="D22" t="str">
        <f>VLOOKUP($B22, Spa!$B:$P, 15, 0)</f>
        <v>Southeast</v>
      </c>
      <c r="E22" t="str">
        <f>VLOOKUP($B22, Spa!$B:$P, 14, 0)</f>
        <v>Lisa</v>
      </c>
      <c r="F22" t="str">
        <f t="shared" si="0"/>
        <v>N/A</v>
      </c>
      <c r="G22" t="str">
        <f>VLOOKUP($B22, Spa!$B:$P, 12, 0)</f>
        <v>Yes</v>
      </c>
      <c r="H22">
        <f>VLOOKUP($B22, Spa!$B:$P, 3, 0)</f>
        <v>2022</v>
      </c>
      <c r="I22" s="2">
        <f>SUMIF('2022'!$B:$B,$B22, '2022'!$AI:$AI)</f>
        <v>7009.6</v>
      </c>
      <c r="J22" s="2">
        <f>SUMIF('2023'!$B:$B,$B22,'2023'!$AI:$AI)</f>
        <v>2544.2400000000002</v>
      </c>
      <c r="K22" s="2">
        <f>SUMIF('2024'!$B:$B,$B22,'2024'!$AI:$AI)</f>
        <v>0</v>
      </c>
      <c r="L22" s="2">
        <f>SUMIF('2025'!$B:$B,$B22,'2025'!$AI:$AI)</f>
        <v>0</v>
      </c>
      <c r="M22" s="2">
        <f>SUMIF('2025B'!$B:$B,$B22,'2025B'!$AI:$AI)</f>
        <v>0</v>
      </c>
      <c r="O22" s="3" t="str">
        <f t="shared" si="1"/>
        <v>N/A</v>
      </c>
      <c r="P22" s="3">
        <f t="shared" si="2"/>
        <v>-1</v>
      </c>
      <c r="Q22" s="3">
        <f t="shared" si="3"/>
        <v>-1</v>
      </c>
      <c r="R22" s="3" t="str">
        <f t="shared" si="4"/>
        <v>N/A</v>
      </c>
      <c r="S22" s="3">
        <f t="shared" si="5"/>
        <v>-1</v>
      </c>
      <c r="T22" s="3"/>
      <c r="U22" s="4">
        <f t="shared" si="6"/>
        <v>0</v>
      </c>
      <c r="V22" s="4">
        <f t="shared" si="7"/>
        <v>-2544.2400000000002</v>
      </c>
      <c r="W22" s="4">
        <f t="shared" si="8"/>
        <v>-7009.6</v>
      </c>
      <c r="X22" s="4">
        <f t="shared" si="9"/>
        <v>0</v>
      </c>
      <c r="Z22" s="2">
        <f>SUMIF('2022'!$B:$B,$B22,'2022'!$AI:$AI)</f>
        <v>7009.6</v>
      </c>
      <c r="AA22" s="2">
        <f>SUMIF('2023'!$B:$B,$B22,'2023'!$AI:$AI)</f>
        <v>2544.2400000000002</v>
      </c>
      <c r="AB22" s="2">
        <f>SUMIF('2024'!$B:$B,$B22,'2024'!$AI:$AI)</f>
        <v>0</v>
      </c>
      <c r="AC22" s="4">
        <f t="shared" si="10"/>
        <v>0</v>
      </c>
      <c r="AD22" s="2">
        <f>SUMIF('2025B'!$B:$B,$B22,'2025B'!$AI:$AI)</f>
        <v>0</v>
      </c>
      <c r="AF22" s="3" t="str">
        <f t="shared" si="11"/>
        <v>N/A</v>
      </c>
      <c r="AG22" s="3">
        <f t="shared" si="12"/>
        <v>-1</v>
      </c>
      <c r="AH22" s="3">
        <f t="shared" si="13"/>
        <v>-1</v>
      </c>
      <c r="AI22" s="3" t="str">
        <f t="shared" si="14"/>
        <v>N/A</v>
      </c>
      <c r="AJ22" s="3">
        <f t="shared" si="15"/>
        <v>-1</v>
      </c>
      <c r="AK22" s="3"/>
      <c r="AL22" s="4">
        <f t="shared" si="16"/>
        <v>0</v>
      </c>
      <c r="AM22" s="4">
        <f t="shared" si="17"/>
        <v>-2544.2400000000002</v>
      </c>
      <c r="AN22" s="4">
        <f t="shared" si="18"/>
        <v>-7009.6</v>
      </c>
      <c r="AO22" s="4">
        <f t="shared" si="19"/>
        <v>0</v>
      </c>
    </row>
    <row r="23" spans="2:41">
      <c r="B23">
        <v>25025</v>
      </c>
      <c r="C23" t="s">
        <v>151</v>
      </c>
      <c r="D23" t="str">
        <f>VLOOKUP($B23, Spa!$B:$P, 15, 0)</f>
        <v>Southeast</v>
      </c>
      <c r="E23" t="str">
        <f>VLOOKUP($B23, Spa!$B:$P, 14, 0)</f>
        <v>Lisa</v>
      </c>
      <c r="F23" t="str">
        <f t="shared" si="0"/>
        <v>N/A</v>
      </c>
      <c r="G23" t="str">
        <f>VLOOKUP($B23, Spa!$B:$P, 12, 0)</f>
        <v>No</v>
      </c>
      <c r="H23" t="str">
        <f>VLOOKUP($B23, Spa!$B:$P, 3, 0)</f>
        <v>N/A</v>
      </c>
      <c r="I23" s="2">
        <f>SUMIF('2022'!$B:$B,$B23, '2022'!$AI:$AI)</f>
        <v>0</v>
      </c>
      <c r="J23" s="2">
        <f>SUMIF('2023'!$B:$B,$B23,'2023'!$AI:$AI)</f>
        <v>0</v>
      </c>
      <c r="K23" s="2">
        <f>SUMIF('2024'!$B:$B,$B23,'2024'!$AI:$AI)</f>
        <v>0</v>
      </c>
      <c r="L23" s="2">
        <f>SUMIF('2025'!$B:$B,$B23,'2025'!$AI:$AI)</f>
        <v>0</v>
      </c>
      <c r="M23" s="2">
        <f>SUMIF('2025B'!$B:$B,$B23,'2025B'!$AI:$AI)</f>
        <v>0</v>
      </c>
      <c r="O23" s="3" t="str">
        <f t="shared" si="1"/>
        <v>N/A</v>
      </c>
      <c r="P23" s="3" t="str">
        <f t="shared" si="2"/>
        <v>N/A</v>
      </c>
      <c r="Q23" s="3" t="str">
        <f t="shared" si="3"/>
        <v>N/A</v>
      </c>
      <c r="R23" s="3" t="str">
        <f t="shared" si="4"/>
        <v>N/A</v>
      </c>
      <c r="S23" s="3">
        <f t="shared" si="5"/>
        <v>0</v>
      </c>
      <c r="T23" s="3"/>
      <c r="U23" s="4">
        <f t="shared" si="6"/>
        <v>0</v>
      </c>
      <c r="V23" s="4">
        <f t="shared" si="7"/>
        <v>0</v>
      </c>
      <c r="W23" s="4">
        <f t="shared" si="8"/>
        <v>0</v>
      </c>
      <c r="X23" s="4">
        <f t="shared" si="9"/>
        <v>0</v>
      </c>
      <c r="Z23" s="2">
        <f>SUMIF('2022'!$B:$B,$B23,'2022'!$AI:$AI)</f>
        <v>0</v>
      </c>
      <c r="AA23" s="2">
        <f>SUMIF('2023'!$B:$B,$B23,'2023'!$AI:$AI)</f>
        <v>0</v>
      </c>
      <c r="AB23" s="2">
        <f>SUMIF('2024'!$B:$B,$B23,'2024'!$AI:$AI)</f>
        <v>0</v>
      </c>
      <c r="AC23" s="4">
        <f t="shared" si="10"/>
        <v>0</v>
      </c>
      <c r="AD23" s="2">
        <f>SUMIF('2025B'!$B:$B,$B23,'2025B'!$AI:$AI)</f>
        <v>0</v>
      </c>
      <c r="AF23" s="3" t="str">
        <f t="shared" si="11"/>
        <v>N/A</v>
      </c>
      <c r="AG23" s="3" t="str">
        <f t="shared" si="12"/>
        <v>N/A</v>
      </c>
      <c r="AH23" s="3" t="str">
        <f t="shared" si="13"/>
        <v>N/A</v>
      </c>
      <c r="AI23" s="3" t="str">
        <f t="shared" si="14"/>
        <v>N/A</v>
      </c>
      <c r="AJ23" s="3">
        <f t="shared" si="15"/>
        <v>0</v>
      </c>
      <c r="AK23" s="3"/>
      <c r="AL23" s="4">
        <f t="shared" si="16"/>
        <v>0</v>
      </c>
      <c r="AM23" s="4">
        <f t="shared" si="17"/>
        <v>0</v>
      </c>
      <c r="AN23" s="4">
        <f t="shared" si="18"/>
        <v>0</v>
      </c>
      <c r="AO23" s="4">
        <f t="shared" si="19"/>
        <v>0</v>
      </c>
    </row>
    <row r="24" spans="2:41">
      <c r="B24">
        <v>25026</v>
      </c>
      <c r="C24" t="s">
        <v>123</v>
      </c>
      <c r="D24" t="str">
        <f>VLOOKUP($B24, Spa!$B:$P, 15, 0)</f>
        <v>Southeast</v>
      </c>
      <c r="E24" t="str">
        <f>VLOOKUP($B24, Spa!$B:$P, 14, 0)</f>
        <v>Lisa</v>
      </c>
      <c r="F24" t="str">
        <f t="shared" si="0"/>
        <v>C</v>
      </c>
      <c r="G24" t="str">
        <f>VLOOKUP($B24, Spa!$B:$P, 12, 0)</f>
        <v>Yes</v>
      </c>
      <c r="H24">
        <f>VLOOKUP($B24, Spa!$B:$P, 3, 0)</f>
        <v>2023</v>
      </c>
      <c r="I24" s="2">
        <f>SUMIF('2022'!$B:$B,$B24, '2022'!$AI:$AI)</f>
        <v>0</v>
      </c>
      <c r="J24" s="2">
        <f>SUMIF('2023'!$B:$B,$B24,'2023'!$AI:$AI)</f>
        <v>10735.11</v>
      </c>
      <c r="K24" s="2">
        <f>SUMIF('2024'!$B:$B,$B24,'2024'!$AI:$AI)</f>
        <v>3224.75</v>
      </c>
      <c r="L24" s="2">
        <f>SUMIF('2025'!$B:$B,$B24,'2025'!$AI:$AI)</f>
        <v>3885.2</v>
      </c>
      <c r="M24" s="2">
        <f>SUMIF('2025B'!$B:$B,$B24,'2025B'!$AI:$AI)</f>
        <v>5000</v>
      </c>
      <c r="O24" s="3">
        <f t="shared" si="1"/>
        <v>0.20480657415303516</v>
      </c>
      <c r="P24" s="3">
        <f t="shared" si="2"/>
        <v>-0.63808475180971602</v>
      </c>
      <c r="Q24" s="3" t="str">
        <f t="shared" si="3"/>
        <v>N/A</v>
      </c>
      <c r="R24" s="3">
        <f t="shared" si="4"/>
        <v>-0.22296000000000005</v>
      </c>
      <c r="S24" s="3" t="str">
        <f t="shared" si="5"/>
        <v>N/A</v>
      </c>
      <c r="T24" s="3"/>
      <c r="U24" s="4">
        <f t="shared" si="6"/>
        <v>660.44999999999982</v>
      </c>
      <c r="V24" s="4">
        <f t="shared" si="7"/>
        <v>-6849.9100000000008</v>
      </c>
      <c r="W24" s="4">
        <f t="shared" si="8"/>
        <v>3885.2</v>
      </c>
      <c r="X24" s="4">
        <f t="shared" si="9"/>
        <v>-1114.8000000000002</v>
      </c>
      <c r="Z24" s="2">
        <f>SUMIF('2022'!$B:$B,$B24,'2022'!$AI:$AI)</f>
        <v>0</v>
      </c>
      <c r="AA24" s="2">
        <f>SUMIF('2023'!$B:$B,$B24,'2023'!$AI:$AI)</f>
        <v>10735.11</v>
      </c>
      <c r="AB24" s="2">
        <f>SUMIF('2024'!$B:$B,$B24,'2024'!$AI:$AI)</f>
        <v>3224.75</v>
      </c>
      <c r="AC24" s="4">
        <f t="shared" si="10"/>
        <v>3885.2</v>
      </c>
      <c r="AD24" s="2">
        <f>SUMIF('2025B'!$B:$B,$B24,'2025B'!$AI:$AI)</f>
        <v>5000</v>
      </c>
      <c r="AF24" s="3">
        <f t="shared" si="11"/>
        <v>0.20480657415303516</v>
      </c>
      <c r="AG24" s="3">
        <f t="shared" si="12"/>
        <v>-0.63808475180971602</v>
      </c>
      <c r="AH24" s="3" t="str">
        <f t="shared" si="13"/>
        <v>N/A</v>
      </c>
      <c r="AI24" s="3">
        <f t="shared" si="14"/>
        <v>-0.22296000000000005</v>
      </c>
      <c r="AJ24" s="3" t="str">
        <f t="shared" si="15"/>
        <v>N/A</v>
      </c>
      <c r="AK24" s="3"/>
      <c r="AL24" s="4">
        <f t="shared" si="16"/>
        <v>660.44999999999982</v>
      </c>
      <c r="AM24" s="4">
        <f t="shared" si="17"/>
        <v>-6849.9100000000008</v>
      </c>
      <c r="AN24" s="4">
        <f t="shared" si="18"/>
        <v>3885.2</v>
      </c>
      <c r="AO24" s="4">
        <f t="shared" si="19"/>
        <v>-1114.8000000000002</v>
      </c>
    </row>
    <row r="25" spans="2:41">
      <c r="B25">
        <v>25027</v>
      </c>
      <c r="C25" t="s">
        <v>102</v>
      </c>
      <c r="D25" t="str">
        <f>VLOOKUP($B25, Spa!$B:$P, 15, 0)</f>
        <v>West</v>
      </c>
      <c r="E25" t="str">
        <f>VLOOKUP($B25, Spa!$B:$P, 14, 0)</f>
        <v>Amy</v>
      </c>
      <c r="F25" t="str">
        <f t="shared" si="0"/>
        <v>A+</v>
      </c>
      <c r="G25" t="str">
        <f>VLOOKUP($B25, Spa!$B:$P, 12, 0)</f>
        <v>Yes</v>
      </c>
      <c r="H25">
        <f>VLOOKUP($B25, Spa!$B:$P, 3, 0)</f>
        <v>2022</v>
      </c>
      <c r="I25" s="2">
        <f>SUMIF('2022'!$B:$B,$B25, '2022'!$AI:$AI)</f>
        <v>19362.580000000002</v>
      </c>
      <c r="J25" s="2">
        <f>SUMIF('2023'!$B:$B,$B25,'2023'!$AI:$AI)</f>
        <v>57225.3</v>
      </c>
      <c r="K25" s="2">
        <f>SUMIF('2024'!$B:$B,$B25,'2024'!$AI:$AI)</f>
        <v>103728.38999999998</v>
      </c>
      <c r="L25" s="2">
        <f>SUMIF('2025'!$B:$B,$B25,'2025'!$AI:$AI)</f>
        <v>113790.06999999999</v>
      </c>
      <c r="M25" s="2">
        <f>SUMIF('2025B'!$B:$B,$B25,'2025B'!$AI:$AI)</f>
        <v>115000</v>
      </c>
      <c r="O25" s="3">
        <f t="shared" si="1"/>
        <v>9.7000252293514055E-2</v>
      </c>
      <c r="P25" s="3">
        <f t="shared" si="2"/>
        <v>0.98845737811772039</v>
      </c>
      <c r="Q25" s="3">
        <f t="shared" si="3"/>
        <v>4.8768030913235725</v>
      </c>
      <c r="R25" s="3">
        <f t="shared" si="4"/>
        <v>-1.0521130434782644E-2</v>
      </c>
      <c r="S25" s="3">
        <f t="shared" si="5"/>
        <v>0.55698806980461257</v>
      </c>
      <c r="T25" s="3"/>
      <c r="U25" s="4">
        <f t="shared" si="6"/>
        <v>10061.680000000008</v>
      </c>
      <c r="V25" s="4">
        <f t="shared" si="7"/>
        <v>56564.76999999999</v>
      </c>
      <c r="W25" s="4">
        <f t="shared" si="8"/>
        <v>94427.489999999991</v>
      </c>
      <c r="X25" s="4">
        <f t="shared" si="9"/>
        <v>-1209.9300000000076</v>
      </c>
      <c r="Z25" s="2">
        <f>SUMIF('2022'!$B:$B,$B25,'2022'!$AI:$AI)</f>
        <v>19362.580000000002</v>
      </c>
      <c r="AA25" s="2">
        <f>SUMIF('2023'!$B:$B,$B25,'2023'!$AI:$AI)</f>
        <v>57225.3</v>
      </c>
      <c r="AB25" s="2">
        <f>SUMIF('2024'!$B:$B,$B25,'2024'!$AI:$AI)</f>
        <v>103728.38999999998</v>
      </c>
      <c r="AC25" s="4">
        <f t="shared" si="10"/>
        <v>113790.06999999999</v>
      </c>
      <c r="AD25" s="2">
        <f>SUMIF('2025B'!$B:$B,$B25,'2025B'!$AI:$AI)</f>
        <v>115000</v>
      </c>
      <c r="AF25" s="3">
        <f t="shared" si="11"/>
        <v>9.7000252293514055E-2</v>
      </c>
      <c r="AG25" s="3">
        <f t="shared" si="12"/>
        <v>0.98845737811772039</v>
      </c>
      <c r="AH25" s="3">
        <f t="shared" si="13"/>
        <v>4.8768030913235725</v>
      </c>
      <c r="AI25" s="3">
        <f t="shared" si="14"/>
        <v>-1.0521130434782644E-2</v>
      </c>
      <c r="AJ25" s="3">
        <f t="shared" si="15"/>
        <v>0.55698806980461257</v>
      </c>
      <c r="AK25" s="3"/>
      <c r="AL25" s="4">
        <f t="shared" si="16"/>
        <v>10061.680000000008</v>
      </c>
      <c r="AM25" s="4">
        <f t="shared" si="17"/>
        <v>56564.76999999999</v>
      </c>
      <c r="AN25" s="4">
        <f t="shared" si="18"/>
        <v>94427.489999999991</v>
      </c>
      <c r="AO25" s="4">
        <f t="shared" si="19"/>
        <v>-1209.9300000000076</v>
      </c>
    </row>
    <row r="26" spans="2:41">
      <c r="B26">
        <v>25028</v>
      </c>
      <c r="C26" t="s">
        <v>152</v>
      </c>
      <c r="D26" t="str">
        <f>VLOOKUP($B26, Spa!$B:$P, 15, 0)</f>
        <v>Northeast</v>
      </c>
      <c r="E26" t="str">
        <f>VLOOKUP($B26, Spa!$B:$P, 14, 0)</f>
        <v>Emily</v>
      </c>
      <c r="F26" t="str">
        <f t="shared" si="0"/>
        <v>N/A</v>
      </c>
      <c r="G26" t="str">
        <f>VLOOKUP($B26, Spa!$B:$P, 12, 0)</f>
        <v>No</v>
      </c>
      <c r="H26">
        <f>VLOOKUP($B26, Spa!$B:$P, 3, 0)</f>
        <v>2023</v>
      </c>
      <c r="I26" s="2">
        <f>SUMIF('2022'!$B:$B,$B26, '2022'!$AI:$AI)</f>
        <v>0</v>
      </c>
      <c r="J26" s="2">
        <f>SUMIF('2023'!$B:$B,$B26,'2023'!$AI:$AI)</f>
        <v>2978</v>
      </c>
      <c r="K26" s="2">
        <f>SUMIF('2024'!$B:$B,$B26,'2024'!$AI:$AI)</f>
        <v>0</v>
      </c>
      <c r="L26" s="2">
        <f>SUMIF('2025'!$B:$B,$B26,'2025'!$AI:$AI)</f>
        <v>0</v>
      </c>
      <c r="M26" s="2">
        <f>SUMIF('2025B'!$B:$B,$B26,'2025B'!$AI:$AI)</f>
        <v>0</v>
      </c>
      <c r="O26" s="3" t="str">
        <f t="shared" si="1"/>
        <v>N/A</v>
      </c>
      <c r="P26" s="3">
        <f t="shared" si="2"/>
        <v>-1</v>
      </c>
      <c r="Q26" s="3" t="str">
        <f t="shared" si="3"/>
        <v>N/A</v>
      </c>
      <c r="R26" s="3" t="str">
        <f t="shared" si="4"/>
        <v>N/A</v>
      </c>
      <c r="S26" s="3">
        <f t="shared" si="5"/>
        <v>0</v>
      </c>
      <c r="T26" s="3"/>
      <c r="U26" s="4">
        <f t="shared" si="6"/>
        <v>0</v>
      </c>
      <c r="V26" s="4">
        <f t="shared" si="7"/>
        <v>-2978</v>
      </c>
      <c r="W26" s="4">
        <f t="shared" si="8"/>
        <v>0</v>
      </c>
      <c r="X26" s="4">
        <f t="shared" si="9"/>
        <v>0</v>
      </c>
      <c r="Z26" s="2">
        <f>SUMIF('2022'!$B:$B,$B26,'2022'!$AI:$AI)</f>
        <v>0</v>
      </c>
      <c r="AA26" s="2">
        <f>SUMIF('2023'!$B:$B,$B26,'2023'!$AI:$AI)</f>
        <v>2978</v>
      </c>
      <c r="AB26" s="2">
        <f>SUMIF('2024'!$B:$B,$B26,'2024'!$AI:$AI)</f>
        <v>0</v>
      </c>
      <c r="AC26" s="4">
        <f t="shared" si="10"/>
        <v>0</v>
      </c>
      <c r="AD26" s="2">
        <f>SUMIF('2025B'!$B:$B,$B26,'2025B'!$AI:$AI)</f>
        <v>0</v>
      </c>
      <c r="AF26" s="3" t="str">
        <f t="shared" si="11"/>
        <v>N/A</v>
      </c>
      <c r="AG26" s="3">
        <f t="shared" si="12"/>
        <v>-1</v>
      </c>
      <c r="AH26" s="3" t="str">
        <f t="shared" si="13"/>
        <v>N/A</v>
      </c>
      <c r="AI26" s="3" t="str">
        <f t="shared" si="14"/>
        <v>N/A</v>
      </c>
      <c r="AJ26" s="3">
        <f t="shared" si="15"/>
        <v>0</v>
      </c>
      <c r="AK26" s="3"/>
      <c r="AL26" s="4">
        <f t="shared" si="16"/>
        <v>0</v>
      </c>
      <c r="AM26" s="4">
        <f t="shared" si="17"/>
        <v>-2978</v>
      </c>
      <c r="AN26" s="4">
        <f t="shared" si="18"/>
        <v>0</v>
      </c>
      <c r="AO26" s="4">
        <f t="shared" si="19"/>
        <v>0</v>
      </c>
    </row>
    <row r="27" spans="2:41">
      <c r="B27">
        <v>25029</v>
      </c>
      <c r="C27" t="s">
        <v>124</v>
      </c>
      <c r="D27" t="str">
        <f>VLOOKUP($B27, Spa!$B:$P, 15, 0)</f>
        <v>Southeast</v>
      </c>
      <c r="E27" t="str">
        <f>VLOOKUP($B27, Spa!$B:$P, 14, 0)</f>
        <v>Lisa</v>
      </c>
      <c r="F27" t="str">
        <f t="shared" si="0"/>
        <v>C</v>
      </c>
      <c r="G27" t="str">
        <f>VLOOKUP($B27, Spa!$B:$P, 12, 0)</f>
        <v>Yes</v>
      </c>
      <c r="H27">
        <f>VLOOKUP($B27, Spa!$B:$P, 3, 0)</f>
        <v>2023</v>
      </c>
      <c r="I27" s="2">
        <f>SUMIF('2022'!$B:$B,$B27, '2022'!$AI:$AI)</f>
        <v>0</v>
      </c>
      <c r="J27" s="2">
        <f>SUMIF('2023'!$B:$B,$B27,'2023'!$AI:$AI)</f>
        <v>3872.89</v>
      </c>
      <c r="K27" s="2">
        <f>SUMIF('2024'!$B:$B,$B27,'2024'!$AI:$AI)</f>
        <v>7659.2600000000011</v>
      </c>
      <c r="L27" s="2">
        <f>SUMIF('2025'!$B:$B,$B27,'2025'!$AI:$AI)</f>
        <v>4862.18</v>
      </c>
      <c r="M27" s="2">
        <f>SUMIF('2025B'!$B:$B,$B27,'2025B'!$AI:$AI)</f>
        <v>8000</v>
      </c>
      <c r="O27" s="3">
        <f t="shared" si="1"/>
        <v>-0.36518932638401103</v>
      </c>
      <c r="P27" s="3">
        <f t="shared" si="2"/>
        <v>0.25543973621765659</v>
      </c>
      <c r="Q27" s="3" t="str">
        <f t="shared" si="3"/>
        <v>N/A</v>
      </c>
      <c r="R27" s="3">
        <f t="shared" si="4"/>
        <v>-0.39222749999999995</v>
      </c>
      <c r="S27" s="3" t="str">
        <f t="shared" si="5"/>
        <v>N/A</v>
      </c>
      <c r="T27" s="3"/>
      <c r="U27" s="4">
        <f t="shared" si="6"/>
        <v>-2797.0800000000008</v>
      </c>
      <c r="V27" s="4">
        <f t="shared" si="7"/>
        <v>989.29000000000042</v>
      </c>
      <c r="W27" s="4">
        <f t="shared" si="8"/>
        <v>4862.18</v>
      </c>
      <c r="X27" s="4">
        <f t="shared" si="9"/>
        <v>-3137.8199999999997</v>
      </c>
      <c r="Z27" s="2">
        <f>SUMIF('2022'!$B:$B,$B27,'2022'!$AI:$AI)</f>
        <v>0</v>
      </c>
      <c r="AA27" s="2">
        <f>SUMIF('2023'!$B:$B,$B27,'2023'!$AI:$AI)</f>
        <v>3872.89</v>
      </c>
      <c r="AB27" s="2">
        <f>SUMIF('2024'!$B:$B,$B27,'2024'!$AI:$AI)</f>
        <v>7659.2600000000011</v>
      </c>
      <c r="AC27" s="4">
        <f t="shared" si="10"/>
        <v>4862.18</v>
      </c>
      <c r="AD27" s="2">
        <f>SUMIF('2025B'!$B:$B,$B27,'2025B'!$AI:$AI)</f>
        <v>8000</v>
      </c>
      <c r="AF27" s="3">
        <f t="shared" si="11"/>
        <v>-0.36518932638401103</v>
      </c>
      <c r="AG27" s="3">
        <f t="shared" si="12"/>
        <v>0.25543973621765659</v>
      </c>
      <c r="AH27" s="3" t="str">
        <f t="shared" si="13"/>
        <v>N/A</v>
      </c>
      <c r="AI27" s="3">
        <f t="shared" si="14"/>
        <v>-0.39222749999999995</v>
      </c>
      <c r="AJ27" s="3" t="str">
        <f t="shared" si="15"/>
        <v>N/A</v>
      </c>
      <c r="AK27" s="3"/>
      <c r="AL27" s="4">
        <f t="shared" si="16"/>
        <v>-2797.0800000000008</v>
      </c>
      <c r="AM27" s="4">
        <f t="shared" si="17"/>
        <v>989.29000000000042</v>
      </c>
      <c r="AN27" s="4">
        <f t="shared" si="18"/>
        <v>4862.18</v>
      </c>
      <c r="AO27" s="4">
        <f t="shared" si="19"/>
        <v>-3137.8199999999997</v>
      </c>
    </row>
    <row r="28" spans="2:41">
      <c r="B28">
        <v>25032</v>
      </c>
      <c r="C28" t="s">
        <v>103</v>
      </c>
      <c r="D28" t="str">
        <f>VLOOKUP($B28, Spa!$B:$P, 15, 0)</f>
        <v>West</v>
      </c>
      <c r="E28" t="str">
        <f>VLOOKUP($B28, Spa!$B:$P, 14, 0)</f>
        <v>Amy</v>
      </c>
      <c r="F28" t="str">
        <f t="shared" si="0"/>
        <v>A+</v>
      </c>
      <c r="G28" t="str">
        <f>VLOOKUP($B28, Spa!$B:$P, 12, 0)</f>
        <v>Yes</v>
      </c>
      <c r="H28">
        <f>VLOOKUP($B28, Spa!$B:$P, 3, 0)</f>
        <v>2023</v>
      </c>
      <c r="I28" s="2">
        <f>SUMIF('2022'!$B:$B,$B28, '2022'!$AI:$AI)</f>
        <v>0</v>
      </c>
      <c r="J28" s="2">
        <f>SUMIF('2023'!$B:$B,$B28,'2023'!$AI:$AI)</f>
        <v>38782.75</v>
      </c>
      <c r="K28" s="2">
        <f>SUMIF('2024'!$B:$B,$B28,'2024'!$AI:$AI)</f>
        <v>50110.279999999992</v>
      </c>
      <c r="L28" s="2">
        <f>SUMIF('2025'!$B:$B,$B28,'2025'!$AI:$AI)</f>
        <v>44420.929999999993</v>
      </c>
      <c r="M28" s="2">
        <f>SUMIF('2025B'!$B:$B,$B28,'2025B'!$AI:$AI)</f>
        <v>55000</v>
      </c>
      <c r="O28" s="3">
        <f t="shared" si="1"/>
        <v>-0.11353658371096709</v>
      </c>
      <c r="P28" s="3">
        <f t="shared" si="2"/>
        <v>0.1453785510310639</v>
      </c>
      <c r="Q28" s="3" t="str">
        <f t="shared" si="3"/>
        <v>N/A</v>
      </c>
      <c r="R28" s="3">
        <f t="shared" si="4"/>
        <v>-0.19234672727272739</v>
      </c>
      <c r="S28" s="3" t="str">
        <f t="shared" si="5"/>
        <v>N/A</v>
      </c>
      <c r="T28" s="3"/>
      <c r="U28" s="4">
        <f t="shared" si="6"/>
        <v>-5689.3499999999985</v>
      </c>
      <c r="V28" s="4">
        <f t="shared" si="7"/>
        <v>5638.179999999993</v>
      </c>
      <c r="W28" s="4">
        <f t="shared" si="8"/>
        <v>44420.929999999993</v>
      </c>
      <c r="X28" s="4">
        <f t="shared" si="9"/>
        <v>-10579.070000000007</v>
      </c>
      <c r="Z28" s="2">
        <f>SUMIF('2022'!$B:$B,$B28,'2022'!$AI:$AI)</f>
        <v>0</v>
      </c>
      <c r="AA28" s="2">
        <f>SUMIF('2023'!$B:$B,$B28,'2023'!$AI:$AI)</f>
        <v>38782.75</v>
      </c>
      <c r="AB28" s="2">
        <f>SUMIF('2024'!$B:$B,$B28,'2024'!$AI:$AI)</f>
        <v>50110.279999999992</v>
      </c>
      <c r="AC28" s="4">
        <f t="shared" si="10"/>
        <v>44420.929999999993</v>
      </c>
      <c r="AD28" s="2">
        <f>SUMIF('2025B'!$B:$B,$B28,'2025B'!$AI:$AI)</f>
        <v>55000</v>
      </c>
      <c r="AF28" s="3">
        <f t="shared" si="11"/>
        <v>-0.11353658371096709</v>
      </c>
      <c r="AG28" s="3">
        <f t="shared" si="12"/>
        <v>0.1453785510310639</v>
      </c>
      <c r="AH28" s="3" t="str">
        <f t="shared" si="13"/>
        <v>N/A</v>
      </c>
      <c r="AI28" s="3">
        <f t="shared" si="14"/>
        <v>-0.19234672727272739</v>
      </c>
      <c r="AJ28" s="3" t="str">
        <f t="shared" si="15"/>
        <v>N/A</v>
      </c>
      <c r="AK28" s="3"/>
      <c r="AL28" s="4">
        <f t="shared" si="16"/>
        <v>-5689.3499999999985</v>
      </c>
      <c r="AM28" s="4">
        <f t="shared" si="17"/>
        <v>5638.179999999993</v>
      </c>
      <c r="AN28" s="4">
        <f t="shared" si="18"/>
        <v>44420.929999999993</v>
      </c>
      <c r="AO28" s="4">
        <f t="shared" si="19"/>
        <v>-10579.070000000007</v>
      </c>
    </row>
    <row r="29" spans="2:41">
      <c r="B29">
        <v>25033</v>
      </c>
      <c r="C29" t="s">
        <v>153</v>
      </c>
      <c r="D29" t="str">
        <f>VLOOKUP($B29, Spa!$B:$P, 15, 0)</f>
        <v>Northeast</v>
      </c>
      <c r="E29" t="str">
        <f>VLOOKUP($B29, Spa!$B:$P, 14, 0)</f>
        <v>Emily</v>
      </c>
      <c r="F29" t="str">
        <f t="shared" si="0"/>
        <v>N/A</v>
      </c>
      <c r="G29" t="str">
        <f>VLOOKUP($B29, Spa!$B:$P, 12, 0)</f>
        <v>No</v>
      </c>
      <c r="H29">
        <f>VLOOKUP($B29, Spa!$B:$P, 3, 0)</f>
        <v>2023</v>
      </c>
      <c r="I29" s="2">
        <f>SUMIF('2022'!$B:$B,$B29, '2022'!$AI:$AI)</f>
        <v>0</v>
      </c>
      <c r="J29" s="2">
        <f>SUMIF('2023'!$B:$B,$B29,'2023'!$AI:$AI)</f>
        <v>5424.13</v>
      </c>
      <c r="K29" s="2">
        <f>SUMIF('2024'!$B:$B,$B29,'2024'!$AI:$AI)</f>
        <v>0</v>
      </c>
      <c r="L29" s="2">
        <f>SUMIF('2025'!$B:$B,$B29,'2025'!$AI:$AI)</f>
        <v>0</v>
      </c>
      <c r="M29" s="2">
        <f>SUMIF('2025B'!$B:$B,$B29,'2025B'!$AI:$AI)</f>
        <v>0</v>
      </c>
      <c r="O29" s="3" t="str">
        <f t="shared" si="1"/>
        <v>N/A</v>
      </c>
      <c r="P29" s="3">
        <f t="shared" si="2"/>
        <v>-1</v>
      </c>
      <c r="Q29" s="3" t="str">
        <f t="shared" si="3"/>
        <v>N/A</v>
      </c>
      <c r="R29" s="3" t="str">
        <f t="shared" si="4"/>
        <v>N/A</v>
      </c>
      <c r="S29" s="3">
        <f t="shared" si="5"/>
        <v>0</v>
      </c>
      <c r="T29" s="3"/>
      <c r="U29" s="4">
        <f t="shared" si="6"/>
        <v>0</v>
      </c>
      <c r="V29" s="4">
        <f t="shared" si="7"/>
        <v>-5424.13</v>
      </c>
      <c r="W29" s="4">
        <f t="shared" si="8"/>
        <v>0</v>
      </c>
      <c r="X29" s="4">
        <f t="shared" si="9"/>
        <v>0</v>
      </c>
      <c r="Z29" s="2">
        <f>SUMIF('2022'!$B:$B,$B29,'2022'!$AI:$AI)</f>
        <v>0</v>
      </c>
      <c r="AA29" s="2">
        <f>SUMIF('2023'!$B:$B,$B29,'2023'!$AI:$AI)</f>
        <v>5424.13</v>
      </c>
      <c r="AB29" s="2">
        <f>SUMIF('2024'!$B:$B,$B29,'2024'!$AI:$AI)</f>
        <v>0</v>
      </c>
      <c r="AC29" s="4">
        <f t="shared" si="10"/>
        <v>0</v>
      </c>
      <c r="AD29" s="2">
        <f>SUMIF('2025B'!$B:$B,$B29,'2025B'!$AI:$AI)</f>
        <v>0</v>
      </c>
      <c r="AF29" s="3" t="str">
        <f t="shared" si="11"/>
        <v>N/A</v>
      </c>
      <c r="AG29" s="3">
        <f t="shared" si="12"/>
        <v>-1</v>
      </c>
      <c r="AH29" s="3" t="str">
        <f t="shared" si="13"/>
        <v>N/A</v>
      </c>
      <c r="AI29" s="3" t="str">
        <f t="shared" si="14"/>
        <v>N/A</v>
      </c>
      <c r="AJ29" s="3">
        <f t="shared" si="15"/>
        <v>0</v>
      </c>
      <c r="AK29" s="3"/>
      <c r="AL29" s="4">
        <f t="shared" si="16"/>
        <v>0</v>
      </c>
      <c r="AM29" s="4">
        <f t="shared" si="17"/>
        <v>-5424.13</v>
      </c>
      <c r="AN29" s="4">
        <f t="shared" si="18"/>
        <v>0</v>
      </c>
      <c r="AO29" s="4">
        <f t="shared" si="19"/>
        <v>0</v>
      </c>
    </row>
    <row r="30" spans="2:41">
      <c r="B30">
        <v>25034</v>
      </c>
      <c r="C30" t="s">
        <v>154</v>
      </c>
      <c r="D30" t="str">
        <f>VLOOKUP($B30, Spa!$B:$P, 15, 0)</f>
        <v>Other</v>
      </c>
      <c r="E30" t="str">
        <f>VLOOKUP($B30, Spa!$B:$P, 14, 0)</f>
        <v>Melissa</v>
      </c>
      <c r="F30" t="str">
        <f t="shared" si="0"/>
        <v>N/A</v>
      </c>
      <c r="G30" t="str">
        <f>VLOOKUP($B30, Spa!$B:$P, 12, 0)</f>
        <v>No</v>
      </c>
      <c r="H30">
        <f>VLOOKUP($B30, Spa!$B:$P, 3, 0)</f>
        <v>2023</v>
      </c>
      <c r="I30" s="2">
        <f>SUMIF('2022'!$B:$B,$B30, '2022'!$AI:$AI)</f>
        <v>0</v>
      </c>
      <c r="J30" s="2">
        <f>SUMIF('2023'!$B:$B,$B30,'2023'!$AI:$AI)</f>
        <v>494</v>
      </c>
      <c r="K30" s="2">
        <f>SUMIF('2024'!$B:$B,$B30,'2024'!$AI:$AI)</f>
        <v>0</v>
      </c>
      <c r="L30" s="2">
        <f>SUMIF('2025'!$B:$B,$B30,'2025'!$AI:$AI)</f>
        <v>0</v>
      </c>
      <c r="M30" s="2">
        <f>SUMIF('2025B'!$B:$B,$B30,'2025B'!$AI:$AI)</f>
        <v>0</v>
      </c>
      <c r="O30" s="3" t="str">
        <f t="shared" si="1"/>
        <v>N/A</v>
      </c>
      <c r="P30" s="3">
        <f t="shared" si="2"/>
        <v>-1</v>
      </c>
      <c r="Q30" s="3" t="str">
        <f t="shared" si="3"/>
        <v>N/A</v>
      </c>
      <c r="R30" s="3" t="str">
        <f t="shared" si="4"/>
        <v>N/A</v>
      </c>
      <c r="S30" s="3">
        <f t="shared" si="5"/>
        <v>0</v>
      </c>
      <c r="T30" s="3"/>
      <c r="U30" s="4">
        <f t="shared" si="6"/>
        <v>0</v>
      </c>
      <c r="V30" s="4">
        <f t="shared" si="7"/>
        <v>-494</v>
      </c>
      <c r="W30" s="4">
        <f t="shared" si="8"/>
        <v>0</v>
      </c>
      <c r="X30" s="4">
        <f t="shared" si="9"/>
        <v>0</v>
      </c>
      <c r="Z30" s="2">
        <f>SUMIF('2022'!$B:$B,$B30,'2022'!$AI:$AI)</f>
        <v>0</v>
      </c>
      <c r="AA30" s="2">
        <f>SUMIF('2023'!$B:$B,$B30,'2023'!$AI:$AI)</f>
        <v>494</v>
      </c>
      <c r="AB30" s="2">
        <f>SUMIF('2024'!$B:$B,$B30,'2024'!$AI:$AI)</f>
        <v>0</v>
      </c>
      <c r="AC30" s="4">
        <f t="shared" si="10"/>
        <v>0</v>
      </c>
      <c r="AD30" s="2">
        <f>SUMIF('2025B'!$B:$B,$B30,'2025B'!$AI:$AI)</f>
        <v>0</v>
      </c>
      <c r="AF30" s="3" t="str">
        <f t="shared" si="11"/>
        <v>N/A</v>
      </c>
      <c r="AG30" s="3">
        <f t="shared" si="12"/>
        <v>-1</v>
      </c>
      <c r="AH30" s="3" t="str">
        <f t="shared" si="13"/>
        <v>N/A</v>
      </c>
      <c r="AI30" s="3" t="str">
        <f t="shared" si="14"/>
        <v>N/A</v>
      </c>
      <c r="AJ30" s="3">
        <f t="shared" si="15"/>
        <v>0</v>
      </c>
      <c r="AK30" s="3"/>
      <c r="AL30" s="4">
        <f t="shared" si="16"/>
        <v>0</v>
      </c>
      <c r="AM30" s="4">
        <f t="shared" si="17"/>
        <v>-494</v>
      </c>
      <c r="AN30" s="4">
        <f t="shared" si="18"/>
        <v>0</v>
      </c>
      <c r="AO30" s="4">
        <f t="shared" si="19"/>
        <v>0</v>
      </c>
    </row>
    <row r="31" spans="2:41">
      <c r="B31">
        <v>25035</v>
      </c>
      <c r="C31" t="s">
        <v>135</v>
      </c>
      <c r="D31" t="str">
        <f>VLOOKUP($B31, Spa!$B:$P, 15, 0)</f>
        <v>Other</v>
      </c>
      <c r="E31" t="str">
        <f>VLOOKUP($B31, Spa!$B:$P, 14, 0)</f>
        <v>Melissa</v>
      </c>
      <c r="F31" t="str">
        <f t="shared" si="0"/>
        <v>B</v>
      </c>
      <c r="G31" t="str">
        <f>VLOOKUP($B31, Spa!$B:$P, 12, 0)</f>
        <v>Yes</v>
      </c>
      <c r="H31">
        <f>VLOOKUP($B31, Spa!$B:$P, 3, 0)</f>
        <v>2023</v>
      </c>
      <c r="I31" s="2">
        <f>SUMIF('2022'!$B:$B,$B31, '2022'!$AI:$AI)</f>
        <v>0</v>
      </c>
      <c r="J31" s="2">
        <f>SUMIF('2023'!$B:$B,$B31,'2023'!$AI:$AI)</f>
        <v>22651.159999999996</v>
      </c>
      <c r="K31" s="2">
        <f>SUMIF('2024'!$B:$B,$B31,'2024'!$AI:$AI)</f>
        <v>13723.61</v>
      </c>
      <c r="L31" s="2">
        <f>SUMIF('2025'!$B:$B,$B31,'2025'!$AI:$AI)</f>
        <v>0</v>
      </c>
      <c r="M31" s="2">
        <f>SUMIF('2025B'!$B:$B,$B31,'2025B'!$AI:$AI)</f>
        <v>15000</v>
      </c>
      <c r="O31" s="3">
        <f t="shared" si="1"/>
        <v>-1</v>
      </c>
      <c r="P31" s="3">
        <f t="shared" si="2"/>
        <v>-1</v>
      </c>
      <c r="Q31" s="3" t="str">
        <f t="shared" si="3"/>
        <v>N/A</v>
      </c>
      <c r="R31" s="3">
        <f t="shared" si="4"/>
        <v>-1</v>
      </c>
      <c r="S31" s="3">
        <f t="shared" si="5"/>
        <v>0</v>
      </c>
      <c r="T31" s="3"/>
      <c r="U31" s="4">
        <f t="shared" si="6"/>
        <v>-13723.61</v>
      </c>
      <c r="V31" s="4">
        <f t="shared" si="7"/>
        <v>-22651.159999999996</v>
      </c>
      <c r="W31" s="4">
        <f t="shared" si="8"/>
        <v>0</v>
      </c>
      <c r="X31" s="4">
        <f t="shared" si="9"/>
        <v>-15000</v>
      </c>
      <c r="Z31" s="2">
        <f>SUMIF('2022'!$B:$B,$B31,'2022'!$AI:$AI)</f>
        <v>0</v>
      </c>
      <c r="AA31" s="2">
        <f>SUMIF('2023'!$B:$B,$B31,'2023'!$AI:$AI)</f>
        <v>22651.159999999996</v>
      </c>
      <c r="AB31" s="2">
        <f>SUMIF('2024'!$B:$B,$B31,'2024'!$AI:$AI)</f>
        <v>13723.61</v>
      </c>
      <c r="AC31" s="4">
        <f t="shared" si="10"/>
        <v>0</v>
      </c>
      <c r="AD31" s="2">
        <f>SUMIF('2025B'!$B:$B,$B31,'2025B'!$AI:$AI)</f>
        <v>15000</v>
      </c>
      <c r="AF31" s="3">
        <f t="shared" si="11"/>
        <v>-1</v>
      </c>
      <c r="AG31" s="3">
        <f t="shared" si="12"/>
        <v>-1</v>
      </c>
      <c r="AH31" s="3" t="str">
        <f t="shared" si="13"/>
        <v>N/A</v>
      </c>
      <c r="AI31" s="3">
        <f t="shared" si="14"/>
        <v>-1</v>
      </c>
      <c r="AJ31" s="3">
        <f t="shared" si="15"/>
        <v>0</v>
      </c>
      <c r="AK31" s="3"/>
      <c r="AL31" s="4">
        <f t="shared" si="16"/>
        <v>-13723.61</v>
      </c>
      <c r="AM31" s="4">
        <f t="shared" si="17"/>
        <v>-22651.159999999996</v>
      </c>
      <c r="AN31" s="4">
        <f t="shared" si="18"/>
        <v>0</v>
      </c>
      <c r="AO31" s="4">
        <f t="shared" si="19"/>
        <v>-15000</v>
      </c>
    </row>
    <row r="32" spans="2:41">
      <c r="B32">
        <v>25036</v>
      </c>
      <c r="C32" t="s">
        <v>108</v>
      </c>
      <c r="D32" t="str">
        <f>VLOOKUP($B32, Spa!$B:$P, 15, 0)</f>
        <v>West</v>
      </c>
      <c r="E32" t="str">
        <f>VLOOKUP($B32, Spa!$B:$P, 14, 0)</f>
        <v>Amy</v>
      </c>
      <c r="F32" t="str">
        <f t="shared" si="0"/>
        <v>C</v>
      </c>
      <c r="G32" t="str">
        <f>VLOOKUP($B32, Spa!$B:$P, 12, 0)</f>
        <v>Yes</v>
      </c>
      <c r="H32">
        <f>VLOOKUP($B32, Spa!$B:$P, 3, 0)</f>
        <v>2023</v>
      </c>
      <c r="I32" s="2">
        <f>SUMIF('2022'!$B:$B,$B32, '2022'!$AI:$AI)</f>
        <v>0</v>
      </c>
      <c r="J32" s="2">
        <f>SUMIF('2023'!$B:$B,$B32,'2023'!$AI:$AI)</f>
        <v>5919.87</v>
      </c>
      <c r="K32" s="2">
        <f>SUMIF('2024'!$B:$B,$B32,'2024'!$AI:$AI)</f>
        <v>2357.58</v>
      </c>
      <c r="L32" s="2">
        <f>SUMIF('2025'!$B:$B,$B32,'2025'!$AI:$AI)</f>
        <v>654.34</v>
      </c>
      <c r="M32" s="2">
        <f>SUMIF('2025B'!$B:$B,$B32,'2025B'!$AI:$AI)</f>
        <v>5000</v>
      </c>
      <c r="O32" s="3">
        <f t="shared" si="1"/>
        <v>-0.72245268453244427</v>
      </c>
      <c r="P32" s="3">
        <f t="shared" si="2"/>
        <v>-0.8894671673533372</v>
      </c>
      <c r="Q32" s="3" t="str">
        <f t="shared" si="3"/>
        <v>N/A</v>
      </c>
      <c r="R32" s="3">
        <f t="shared" si="4"/>
        <v>-0.86913200000000002</v>
      </c>
      <c r="S32" s="3" t="str">
        <f t="shared" si="5"/>
        <v>N/A</v>
      </c>
      <c r="T32" s="3"/>
      <c r="U32" s="4">
        <f t="shared" si="6"/>
        <v>-1703.2399999999998</v>
      </c>
      <c r="V32" s="4">
        <f t="shared" si="7"/>
        <v>-5265.53</v>
      </c>
      <c r="W32" s="4">
        <f t="shared" si="8"/>
        <v>654.34</v>
      </c>
      <c r="X32" s="4">
        <f t="shared" si="9"/>
        <v>-4345.66</v>
      </c>
      <c r="Z32" s="2">
        <f>SUMIF('2022'!$B:$B,$B32,'2022'!$AI:$AI)</f>
        <v>0</v>
      </c>
      <c r="AA32" s="2">
        <f>SUMIF('2023'!$B:$B,$B32,'2023'!$AI:$AI)</f>
        <v>5919.87</v>
      </c>
      <c r="AB32" s="2">
        <f>SUMIF('2024'!$B:$B,$B32,'2024'!$AI:$AI)</f>
        <v>2357.58</v>
      </c>
      <c r="AC32" s="4">
        <f t="shared" si="10"/>
        <v>654.34</v>
      </c>
      <c r="AD32" s="2">
        <f>SUMIF('2025B'!$B:$B,$B32,'2025B'!$AI:$AI)</f>
        <v>5000</v>
      </c>
      <c r="AF32" s="3">
        <f t="shared" si="11"/>
        <v>-0.72245268453244427</v>
      </c>
      <c r="AG32" s="3">
        <f t="shared" si="12"/>
        <v>-0.8894671673533372</v>
      </c>
      <c r="AH32" s="3" t="str">
        <f t="shared" si="13"/>
        <v>N/A</v>
      </c>
      <c r="AI32" s="3">
        <f t="shared" si="14"/>
        <v>-0.86913200000000002</v>
      </c>
      <c r="AJ32" s="3" t="str">
        <f t="shared" si="15"/>
        <v>N/A</v>
      </c>
      <c r="AK32" s="3"/>
      <c r="AL32" s="4">
        <f t="shared" si="16"/>
        <v>-1703.2399999999998</v>
      </c>
      <c r="AM32" s="4">
        <f t="shared" si="17"/>
        <v>-5265.53</v>
      </c>
      <c r="AN32" s="4">
        <f t="shared" si="18"/>
        <v>654.34</v>
      </c>
      <c r="AO32" s="4">
        <f t="shared" si="19"/>
        <v>-4345.66</v>
      </c>
    </row>
    <row r="33" spans="2:41">
      <c r="B33">
        <v>25037</v>
      </c>
      <c r="C33" t="s">
        <v>75</v>
      </c>
      <c r="D33" t="str">
        <f>VLOOKUP($B33, Spa!$B:$P, 15, 0)</f>
        <v>Northeast</v>
      </c>
      <c r="E33" t="str">
        <f>VLOOKUP($B33, Spa!$B:$P, 14, 0)</f>
        <v>Emily</v>
      </c>
      <c r="F33" t="str">
        <f t="shared" si="0"/>
        <v>B</v>
      </c>
      <c r="G33" t="str">
        <f>VLOOKUP($B33, Spa!$B:$P, 12, 0)</f>
        <v>Yes</v>
      </c>
      <c r="H33">
        <f>VLOOKUP($B33, Spa!$B:$P, 3, 0)</f>
        <v>2023</v>
      </c>
      <c r="I33" s="2">
        <f>SUMIF('2022'!$B:$B,$B33, '2022'!$AI:$AI)</f>
        <v>0</v>
      </c>
      <c r="J33" s="2">
        <f>SUMIF('2023'!$B:$B,$B33,'2023'!$AI:$AI)</f>
        <v>20827.14</v>
      </c>
      <c r="K33" s="2">
        <f>SUMIF('2024'!$B:$B,$B33,'2024'!$AI:$AI)</f>
        <v>14341.14</v>
      </c>
      <c r="L33" s="2">
        <f>SUMIF('2025'!$B:$B,$B33,'2025'!$AI:$AI)</f>
        <v>5249.3199999999988</v>
      </c>
      <c r="M33" s="2">
        <f>SUMIF('2025B'!$B:$B,$B33,'2025B'!$AI:$AI)</f>
        <v>16000</v>
      </c>
      <c r="O33" s="3">
        <f t="shared" si="1"/>
        <v>-0.63396773199341205</v>
      </c>
      <c r="P33" s="3">
        <f t="shared" si="2"/>
        <v>-0.74795771286888169</v>
      </c>
      <c r="Q33" s="3" t="str">
        <f t="shared" si="3"/>
        <v>N/A</v>
      </c>
      <c r="R33" s="3">
        <f t="shared" si="4"/>
        <v>-0.67191750000000006</v>
      </c>
      <c r="S33" s="3" t="str">
        <f t="shared" si="5"/>
        <v>N/A</v>
      </c>
      <c r="T33" s="3"/>
      <c r="U33" s="4">
        <f t="shared" si="6"/>
        <v>-9091.82</v>
      </c>
      <c r="V33" s="4">
        <f t="shared" si="7"/>
        <v>-15577.82</v>
      </c>
      <c r="W33" s="4">
        <f t="shared" si="8"/>
        <v>5249.3199999999988</v>
      </c>
      <c r="X33" s="4">
        <f t="shared" si="9"/>
        <v>-10750.68</v>
      </c>
      <c r="Z33" s="2">
        <f>SUMIF('2022'!$B:$B,$B33,'2022'!$AI:$AI)</f>
        <v>0</v>
      </c>
      <c r="AA33" s="2">
        <f>SUMIF('2023'!$B:$B,$B33,'2023'!$AI:$AI)</f>
        <v>20827.14</v>
      </c>
      <c r="AB33" s="2">
        <f>SUMIF('2024'!$B:$B,$B33,'2024'!$AI:$AI)</f>
        <v>14341.14</v>
      </c>
      <c r="AC33" s="4">
        <f t="shared" si="10"/>
        <v>5249.3199999999988</v>
      </c>
      <c r="AD33" s="2">
        <f>SUMIF('2025B'!$B:$B,$B33,'2025B'!$AI:$AI)</f>
        <v>16000</v>
      </c>
      <c r="AF33" s="3">
        <f t="shared" si="11"/>
        <v>-0.63396773199341205</v>
      </c>
      <c r="AG33" s="3">
        <f t="shared" si="12"/>
        <v>-0.74795771286888169</v>
      </c>
      <c r="AH33" s="3" t="str">
        <f t="shared" si="13"/>
        <v>N/A</v>
      </c>
      <c r="AI33" s="3">
        <f t="shared" si="14"/>
        <v>-0.67191750000000006</v>
      </c>
      <c r="AJ33" s="3" t="str">
        <f t="shared" si="15"/>
        <v>N/A</v>
      </c>
      <c r="AK33" s="3"/>
      <c r="AL33" s="4">
        <f t="shared" si="16"/>
        <v>-9091.82</v>
      </c>
      <c r="AM33" s="4">
        <f t="shared" si="17"/>
        <v>-15577.82</v>
      </c>
      <c r="AN33" s="4">
        <f t="shared" si="18"/>
        <v>5249.3199999999988</v>
      </c>
      <c r="AO33" s="4">
        <f t="shared" si="19"/>
        <v>-10750.68</v>
      </c>
    </row>
    <row r="34" spans="2:41">
      <c r="B34">
        <v>25038</v>
      </c>
      <c r="C34" t="s">
        <v>104</v>
      </c>
      <c r="D34" t="str">
        <f>VLOOKUP($B34, Spa!$B:$P, 15, 0)</f>
        <v>West</v>
      </c>
      <c r="E34" t="str">
        <f>VLOOKUP($B34, Spa!$B:$P, 14, 0)</f>
        <v>Amy</v>
      </c>
      <c r="F34" t="str">
        <f t="shared" si="0"/>
        <v>A</v>
      </c>
      <c r="G34" t="str">
        <f>VLOOKUP($B34, Spa!$B:$P, 12, 0)</f>
        <v>Yes</v>
      </c>
      <c r="H34">
        <f>VLOOKUP($B34, Spa!$B:$P, 3, 0)</f>
        <v>2023</v>
      </c>
      <c r="I34" s="2">
        <f>SUMIF('2022'!$B:$B,$B34, '2022'!$AI:$AI)</f>
        <v>0</v>
      </c>
      <c r="J34" s="2">
        <f>SUMIF('2023'!$B:$B,$B34,'2023'!$AI:$AI)</f>
        <v>5204.37</v>
      </c>
      <c r="K34" s="2">
        <f>SUMIF('2024'!$B:$B,$B34,'2024'!$AI:$AI)</f>
        <v>28530.959999999999</v>
      </c>
      <c r="L34" s="2">
        <f>SUMIF('2025'!$B:$B,$B34,'2025'!$AI:$AI)</f>
        <v>13457.210000000001</v>
      </c>
      <c r="M34" s="2">
        <f>SUMIF('2025B'!$B:$B,$B34,'2025B'!$AI:$AI)</f>
        <v>26000</v>
      </c>
      <c r="O34" s="3">
        <f t="shared" si="1"/>
        <v>-0.52832957601146258</v>
      </c>
      <c r="P34" s="3">
        <f t="shared" si="2"/>
        <v>1.5857519738219996</v>
      </c>
      <c r="Q34" s="3" t="str">
        <f t="shared" si="3"/>
        <v>N/A</v>
      </c>
      <c r="R34" s="3">
        <f t="shared" si="4"/>
        <v>-0.48241499999999993</v>
      </c>
      <c r="S34" s="3" t="str">
        <f t="shared" si="5"/>
        <v>N/A</v>
      </c>
      <c r="T34" s="3"/>
      <c r="U34" s="4">
        <f t="shared" si="6"/>
        <v>-15073.749999999998</v>
      </c>
      <c r="V34" s="4">
        <f t="shared" si="7"/>
        <v>8252.84</v>
      </c>
      <c r="W34" s="4">
        <f t="shared" si="8"/>
        <v>13457.210000000001</v>
      </c>
      <c r="X34" s="4">
        <f t="shared" si="9"/>
        <v>-12542.789999999999</v>
      </c>
      <c r="Z34" s="2">
        <f>SUMIF('2022'!$B:$B,$B34,'2022'!$AI:$AI)</f>
        <v>0</v>
      </c>
      <c r="AA34" s="2">
        <f>SUMIF('2023'!$B:$B,$B34,'2023'!$AI:$AI)</f>
        <v>5204.37</v>
      </c>
      <c r="AB34" s="2">
        <f>SUMIF('2024'!$B:$B,$B34,'2024'!$AI:$AI)</f>
        <v>28530.959999999999</v>
      </c>
      <c r="AC34" s="4">
        <f t="shared" si="10"/>
        <v>13457.210000000001</v>
      </c>
      <c r="AD34" s="2">
        <f>SUMIF('2025B'!$B:$B,$B34,'2025B'!$AI:$AI)</f>
        <v>26000</v>
      </c>
      <c r="AF34" s="3">
        <f t="shared" si="11"/>
        <v>-0.52832957601146258</v>
      </c>
      <c r="AG34" s="3">
        <f t="shared" si="12"/>
        <v>1.5857519738219996</v>
      </c>
      <c r="AH34" s="3" t="str">
        <f t="shared" si="13"/>
        <v>N/A</v>
      </c>
      <c r="AI34" s="3">
        <f t="shared" si="14"/>
        <v>-0.48241499999999993</v>
      </c>
      <c r="AJ34" s="3" t="str">
        <f t="shared" si="15"/>
        <v>N/A</v>
      </c>
      <c r="AK34" s="3"/>
      <c r="AL34" s="4">
        <f t="shared" si="16"/>
        <v>-15073.749999999998</v>
      </c>
      <c r="AM34" s="4">
        <f t="shared" si="17"/>
        <v>8252.84</v>
      </c>
      <c r="AN34" s="4">
        <f t="shared" si="18"/>
        <v>13457.210000000001</v>
      </c>
      <c r="AO34" s="4">
        <f t="shared" si="19"/>
        <v>-12542.789999999999</v>
      </c>
    </row>
    <row r="35" spans="2:41">
      <c r="B35">
        <v>25039</v>
      </c>
      <c r="C35" t="s">
        <v>88</v>
      </c>
      <c r="D35" t="str">
        <f>VLOOKUP($B35, Spa!$B:$P, 15, 0)</f>
        <v>Central</v>
      </c>
      <c r="E35" t="str">
        <f>VLOOKUP($B35, Spa!$B:$P, 14, 0)</f>
        <v>Emily</v>
      </c>
      <c r="F35" t="str">
        <f t="shared" ref="F35:F66" si="20">IF(H35=2024,"NKD24",IF(H35=2025,"NKD25",IF(AB35&gt;50000,"A+",IF(AB35&gt;20000,"A",IF(AB35&gt;10000,"B",IF(AB35=0, "N/A", "C"))))))</f>
        <v>NKD24</v>
      </c>
      <c r="G35" t="str">
        <f>VLOOKUP($B35, Spa!$B:$P, 12, 0)</f>
        <v>Yes</v>
      </c>
      <c r="H35">
        <f>VLOOKUP($B35, Spa!$B:$P, 3, 0)</f>
        <v>2024</v>
      </c>
      <c r="I35" s="2">
        <f>SUMIF('2022'!$B:$B,$B35, '2022'!$AI:$AI)</f>
        <v>0</v>
      </c>
      <c r="J35" s="2">
        <f>SUMIF('2023'!$B:$B,$B35,'2023'!$AI:$AI)</f>
        <v>0</v>
      </c>
      <c r="K35" s="2">
        <f>SUMIF('2024'!$B:$B,$B35,'2024'!$AI:$AI)</f>
        <v>18410.82</v>
      </c>
      <c r="L35" s="2">
        <f>SUMIF('2025'!$B:$B,$B35,'2025'!$AI:$AI)</f>
        <v>2153.52</v>
      </c>
      <c r="M35" s="2">
        <f>SUMIF('2025B'!$B:$B,$B35,'2025B'!$AI:$AI)</f>
        <v>16000</v>
      </c>
      <c r="O35" s="3">
        <f t="shared" si="1"/>
        <v>-0.88302965321479432</v>
      </c>
      <c r="P35" s="3" t="str">
        <f t="shared" si="2"/>
        <v>N/A</v>
      </c>
      <c r="Q35" s="3" t="str">
        <f t="shared" si="3"/>
        <v>N/A</v>
      </c>
      <c r="R35" s="3">
        <f t="shared" si="4"/>
        <v>-0.86540499999999998</v>
      </c>
      <c r="S35" s="3" t="str">
        <f t="shared" si="5"/>
        <v>N/A</v>
      </c>
      <c r="T35" s="3"/>
      <c r="U35" s="4">
        <f t="shared" si="6"/>
        <v>-16257.3</v>
      </c>
      <c r="V35" s="4">
        <f t="shared" si="7"/>
        <v>2153.52</v>
      </c>
      <c r="W35" s="4">
        <f t="shared" si="8"/>
        <v>2153.52</v>
      </c>
      <c r="X35" s="4">
        <f t="shared" si="9"/>
        <v>-13846.48</v>
      </c>
      <c r="Z35" s="2">
        <f>SUMIF('2022'!$B:$B,$B35,'2022'!$AI:$AI)</f>
        <v>0</v>
      </c>
      <c r="AA35" s="2">
        <f>SUMIF('2023'!$B:$B,$B35,'2023'!$AI:$AI)</f>
        <v>0</v>
      </c>
      <c r="AB35" s="2">
        <f>SUMIF('2024'!$B:$B,$B35,'2024'!$AI:$AI)</f>
        <v>18410.82</v>
      </c>
      <c r="AC35" s="4">
        <f t="shared" si="10"/>
        <v>2153.52</v>
      </c>
      <c r="AD35" s="2">
        <f>SUMIF('2025B'!$B:$B,$B35,'2025B'!$AI:$AI)</f>
        <v>16000</v>
      </c>
      <c r="AF35" s="3">
        <f t="shared" si="11"/>
        <v>-0.88302965321479432</v>
      </c>
      <c r="AG35" s="3" t="str">
        <f t="shared" si="12"/>
        <v>N/A</v>
      </c>
      <c r="AH35" s="3" t="str">
        <f t="shared" si="13"/>
        <v>N/A</v>
      </c>
      <c r="AI35" s="3">
        <f t="shared" si="14"/>
        <v>-0.86540499999999998</v>
      </c>
      <c r="AJ35" s="3" t="str">
        <f t="shared" si="15"/>
        <v>N/A</v>
      </c>
      <c r="AK35" s="3"/>
      <c r="AL35" s="4">
        <f t="shared" si="16"/>
        <v>-16257.3</v>
      </c>
      <c r="AM35" s="4">
        <f t="shared" si="17"/>
        <v>2153.52</v>
      </c>
      <c r="AN35" s="4">
        <f t="shared" si="18"/>
        <v>2153.52</v>
      </c>
      <c r="AO35" s="4">
        <f t="shared" si="19"/>
        <v>-13846.48</v>
      </c>
    </row>
    <row r="36" spans="2:41">
      <c r="B36">
        <v>25040</v>
      </c>
      <c r="C36" t="s">
        <v>166</v>
      </c>
      <c r="D36" t="str">
        <f>VLOOKUP($B36, Spa!$B:$P, 15, 0)</f>
        <v>Southeast</v>
      </c>
      <c r="E36" t="str">
        <f>VLOOKUP($B36, Spa!$B:$P, 14, 0)</f>
        <v>Lisa</v>
      </c>
      <c r="F36" t="str">
        <f t="shared" si="20"/>
        <v>C</v>
      </c>
      <c r="G36" t="str">
        <f>VLOOKUP($B36, Spa!$B:$P, 12, 0)</f>
        <v>Yes</v>
      </c>
      <c r="H36">
        <f>VLOOKUP($B36, Spa!$B:$P, 3, 0)</f>
        <v>2023</v>
      </c>
      <c r="I36" s="2">
        <f>SUMIF('2022'!$B:$B,$B36, '2022'!$AI:$AI)</f>
        <v>0</v>
      </c>
      <c r="J36" s="2">
        <f>SUMIF('2023'!$B:$B,$B36,'2023'!$AI:$AI)</f>
        <v>6216.36</v>
      </c>
      <c r="K36" s="2">
        <f>SUMIF('2024'!$B:$B,$B36,'2024'!$AI:$AI)</f>
        <v>7421.0599999999995</v>
      </c>
      <c r="L36" s="2">
        <f>SUMIF('2025'!$B:$B,$B36,'2025'!$AI:$AI)</f>
        <v>9408.99</v>
      </c>
      <c r="M36" s="2">
        <f>SUMIF('2025B'!$B:$B,$B36,'2025B'!$AI:$AI)</f>
        <v>8000</v>
      </c>
      <c r="O36" s="3">
        <f t="shared" si="1"/>
        <v>0.26787682622159115</v>
      </c>
      <c r="P36" s="3">
        <f t="shared" si="2"/>
        <v>0.51358512055286387</v>
      </c>
      <c r="Q36" s="3" t="str">
        <f t="shared" si="3"/>
        <v>N/A</v>
      </c>
      <c r="R36" s="3">
        <f t="shared" si="4"/>
        <v>0.17612374999999991</v>
      </c>
      <c r="S36" s="3" t="str">
        <f t="shared" si="5"/>
        <v>N/A</v>
      </c>
      <c r="T36" s="3"/>
      <c r="U36" s="4">
        <f t="shared" si="6"/>
        <v>1987.9300000000003</v>
      </c>
      <c r="V36" s="4">
        <f t="shared" si="7"/>
        <v>3192.63</v>
      </c>
      <c r="W36" s="4">
        <f t="shared" si="8"/>
        <v>9408.99</v>
      </c>
      <c r="X36" s="4">
        <f t="shared" si="9"/>
        <v>1408.9899999999998</v>
      </c>
      <c r="Z36" s="2">
        <f>SUMIF('2022'!$B:$B,$B36,'2022'!$AI:$AI)</f>
        <v>0</v>
      </c>
      <c r="AA36" s="2">
        <f>SUMIF('2023'!$B:$B,$B36,'2023'!$AI:$AI)</f>
        <v>6216.36</v>
      </c>
      <c r="AB36" s="2">
        <f>SUMIF('2024'!$B:$B,$B36,'2024'!$AI:$AI)</f>
        <v>7421.0599999999995</v>
      </c>
      <c r="AC36" s="4">
        <f t="shared" si="10"/>
        <v>9408.99</v>
      </c>
      <c r="AD36" s="2">
        <f>SUMIF('2025B'!$B:$B,$B36,'2025B'!$AI:$AI)</f>
        <v>8000</v>
      </c>
      <c r="AF36" s="3">
        <f t="shared" si="11"/>
        <v>0.26787682622159115</v>
      </c>
      <c r="AG36" s="3">
        <f t="shared" si="12"/>
        <v>0.51358512055286387</v>
      </c>
      <c r="AH36" s="3" t="str">
        <f t="shared" si="13"/>
        <v>N/A</v>
      </c>
      <c r="AI36" s="3">
        <f t="shared" si="14"/>
        <v>0.17612374999999991</v>
      </c>
      <c r="AJ36" s="3" t="str">
        <f t="shared" si="15"/>
        <v>N/A</v>
      </c>
      <c r="AK36" s="3"/>
      <c r="AL36" s="4">
        <f t="shared" si="16"/>
        <v>1987.9300000000003</v>
      </c>
      <c r="AM36" s="4">
        <f t="shared" si="17"/>
        <v>3192.63</v>
      </c>
      <c r="AN36" s="4">
        <f t="shared" si="18"/>
        <v>9408.99</v>
      </c>
      <c r="AO36" s="4">
        <f t="shared" si="19"/>
        <v>1408.9899999999998</v>
      </c>
    </row>
    <row r="37" spans="2:41">
      <c r="B37">
        <v>25041</v>
      </c>
      <c r="C37" t="s">
        <v>155</v>
      </c>
      <c r="D37" t="str">
        <f>VLOOKUP($B37, Spa!$B:$P, 15, 0)</f>
        <v>Central</v>
      </c>
      <c r="E37" t="str">
        <f>VLOOKUP($B37, Spa!$B:$P, 14, 0)</f>
        <v>Emily</v>
      </c>
      <c r="F37" t="str">
        <f t="shared" si="20"/>
        <v>N/A</v>
      </c>
      <c r="G37" t="str">
        <f>VLOOKUP($B37, Spa!$B:$P, 12, 0)</f>
        <v>No</v>
      </c>
      <c r="H37">
        <f>VLOOKUP($B37, Spa!$B:$P, 3, 0)</f>
        <v>2023</v>
      </c>
      <c r="I37" s="2">
        <f>SUMIF('2022'!$B:$B,$B37, '2022'!$AI:$AI)</f>
        <v>0</v>
      </c>
      <c r="J37" s="2">
        <f>SUMIF('2023'!$B:$B,$B37,'2023'!$AI:$AI)</f>
        <v>575.16</v>
      </c>
      <c r="K37" s="2">
        <f>SUMIF('2024'!$B:$B,$B37,'2024'!$AI:$AI)</f>
        <v>0</v>
      </c>
      <c r="L37" s="2">
        <f>SUMIF('2025'!$B:$B,$B37,'2025'!$AI:$AI)</f>
        <v>0</v>
      </c>
      <c r="M37" s="2">
        <f>SUMIF('2025B'!$B:$B,$B37,'2025B'!$AI:$AI)</f>
        <v>0</v>
      </c>
      <c r="O37" s="3" t="str">
        <f t="shared" si="1"/>
        <v>N/A</v>
      </c>
      <c r="P37" s="3">
        <f t="shared" si="2"/>
        <v>-1</v>
      </c>
      <c r="Q37" s="3" t="str">
        <f t="shared" si="3"/>
        <v>N/A</v>
      </c>
      <c r="R37" s="3" t="str">
        <f t="shared" si="4"/>
        <v>N/A</v>
      </c>
      <c r="S37" s="3">
        <f t="shared" si="5"/>
        <v>0</v>
      </c>
      <c r="T37" s="3"/>
      <c r="U37" s="4">
        <f t="shared" si="6"/>
        <v>0</v>
      </c>
      <c r="V37" s="4">
        <f t="shared" si="7"/>
        <v>-575.16</v>
      </c>
      <c r="W37" s="4">
        <f t="shared" si="8"/>
        <v>0</v>
      </c>
      <c r="X37" s="4">
        <f t="shared" si="9"/>
        <v>0</v>
      </c>
      <c r="Z37" s="2">
        <f>SUMIF('2022'!$B:$B,$B37,'2022'!$AI:$AI)</f>
        <v>0</v>
      </c>
      <c r="AA37" s="2">
        <f>SUMIF('2023'!$B:$B,$B37,'2023'!$AI:$AI)</f>
        <v>575.16</v>
      </c>
      <c r="AB37" s="2">
        <f>SUMIF('2024'!$B:$B,$B37,'2024'!$AI:$AI)</f>
        <v>0</v>
      </c>
      <c r="AC37" s="4">
        <f t="shared" si="10"/>
        <v>0</v>
      </c>
      <c r="AD37" s="2">
        <f>SUMIF('2025B'!$B:$B,$B37,'2025B'!$AI:$AI)</f>
        <v>0</v>
      </c>
      <c r="AF37" s="3" t="str">
        <f t="shared" si="11"/>
        <v>N/A</v>
      </c>
      <c r="AG37" s="3">
        <f t="shared" si="12"/>
        <v>-1</v>
      </c>
      <c r="AH37" s="3" t="str">
        <f t="shared" si="13"/>
        <v>N/A</v>
      </c>
      <c r="AI37" s="3" t="str">
        <f t="shared" si="14"/>
        <v>N/A</v>
      </c>
      <c r="AJ37" s="3">
        <f t="shared" si="15"/>
        <v>0</v>
      </c>
      <c r="AK37" s="3"/>
      <c r="AL37" s="4">
        <f t="shared" si="16"/>
        <v>0</v>
      </c>
      <c r="AM37" s="4">
        <f t="shared" si="17"/>
        <v>-575.16</v>
      </c>
      <c r="AN37" s="4">
        <f t="shared" si="18"/>
        <v>0</v>
      </c>
      <c r="AO37" s="4">
        <f t="shared" si="19"/>
        <v>0</v>
      </c>
    </row>
    <row r="38" spans="2:41">
      <c r="B38">
        <v>25042</v>
      </c>
      <c r="C38" t="s">
        <v>136</v>
      </c>
      <c r="D38" t="str">
        <f>VLOOKUP($B38, Spa!$B:$P, 15, 0)</f>
        <v>Southeast</v>
      </c>
      <c r="E38" t="str">
        <f>VLOOKUP($B38, Spa!$B:$P, 14, 0)</f>
        <v>Lisa</v>
      </c>
      <c r="F38" t="str">
        <f t="shared" si="20"/>
        <v>A</v>
      </c>
      <c r="G38" t="str">
        <f>VLOOKUP($B38, Spa!$B:$P, 12, 0)</f>
        <v>Yes</v>
      </c>
      <c r="H38">
        <f>VLOOKUP($B38, Spa!$B:$P, 3, 0)</f>
        <v>2023</v>
      </c>
      <c r="I38" s="2">
        <f>SUMIF('2022'!$B:$B,$B38, '2022'!$AI:$AI)</f>
        <v>0</v>
      </c>
      <c r="J38" s="2">
        <f>SUMIF('2023'!$B:$B,$B38,'2023'!$AI:$AI)</f>
        <v>24324</v>
      </c>
      <c r="K38" s="2">
        <f>SUMIF('2024'!$B:$B,$B38,'2024'!$AI:$AI)</f>
        <v>46123.77</v>
      </c>
      <c r="L38" s="2">
        <f>SUMIF('2025'!$B:$B,$B38,'2025'!$AI:$AI)</f>
        <v>63209.739999999991</v>
      </c>
      <c r="M38" s="2">
        <f>SUMIF('2025B'!$B:$B,$B38,'2025B'!$AI:$AI)</f>
        <v>50000</v>
      </c>
      <c r="O38" s="3">
        <f t="shared" si="1"/>
        <v>0.37043741220633075</v>
      </c>
      <c r="P38" s="3">
        <f t="shared" si="2"/>
        <v>1.5986572932083534</v>
      </c>
      <c r="Q38" s="3" t="str">
        <f t="shared" si="3"/>
        <v>N/A</v>
      </c>
      <c r="R38" s="3">
        <f t="shared" si="4"/>
        <v>0.26419479999999984</v>
      </c>
      <c r="S38" s="3" t="str">
        <f t="shared" si="5"/>
        <v>N/A</v>
      </c>
      <c r="T38" s="3"/>
      <c r="U38" s="4">
        <f t="shared" si="6"/>
        <v>17085.969999999994</v>
      </c>
      <c r="V38" s="4">
        <f t="shared" si="7"/>
        <v>38885.739999999991</v>
      </c>
      <c r="W38" s="4">
        <f t="shared" si="8"/>
        <v>63209.739999999991</v>
      </c>
      <c r="X38" s="4">
        <f t="shared" si="9"/>
        <v>13209.739999999991</v>
      </c>
      <c r="Z38" s="2">
        <f>SUMIF('2022'!$B:$B,$B38,'2022'!$AI:$AI)</f>
        <v>0</v>
      </c>
      <c r="AA38" s="2">
        <f>SUMIF('2023'!$B:$B,$B38,'2023'!$AI:$AI)</f>
        <v>24324</v>
      </c>
      <c r="AB38" s="2">
        <f>SUMIF('2024'!$B:$B,$B38,'2024'!$AI:$AI)</f>
        <v>46123.77</v>
      </c>
      <c r="AC38" s="4">
        <f t="shared" si="10"/>
        <v>63209.739999999991</v>
      </c>
      <c r="AD38" s="2">
        <f>SUMIF('2025B'!$B:$B,$B38,'2025B'!$AI:$AI)</f>
        <v>50000</v>
      </c>
      <c r="AF38" s="3">
        <f t="shared" si="11"/>
        <v>0.37043741220633075</v>
      </c>
      <c r="AG38" s="3">
        <f t="shared" si="12"/>
        <v>1.5986572932083534</v>
      </c>
      <c r="AH38" s="3" t="str">
        <f t="shared" si="13"/>
        <v>N/A</v>
      </c>
      <c r="AI38" s="3">
        <f t="shared" si="14"/>
        <v>0.26419479999999984</v>
      </c>
      <c r="AJ38" s="3" t="str">
        <f t="shared" si="15"/>
        <v>N/A</v>
      </c>
      <c r="AK38" s="3"/>
      <c r="AL38" s="4">
        <f t="shared" si="16"/>
        <v>17085.969999999994</v>
      </c>
      <c r="AM38" s="4">
        <f t="shared" si="17"/>
        <v>38885.739999999991</v>
      </c>
      <c r="AN38" s="4">
        <f t="shared" si="18"/>
        <v>63209.739999999991</v>
      </c>
      <c r="AO38" s="4">
        <f t="shared" si="19"/>
        <v>13209.739999999991</v>
      </c>
    </row>
    <row r="39" spans="2:41">
      <c r="B39">
        <v>25043</v>
      </c>
      <c r="C39" t="s">
        <v>126</v>
      </c>
      <c r="D39" t="str">
        <f>VLOOKUP($B39, Spa!$B:$P, 15, 0)</f>
        <v>Southeast</v>
      </c>
      <c r="E39" t="str">
        <f>VLOOKUP($B39, Spa!$B:$P, 14, 0)</f>
        <v>Lisa</v>
      </c>
      <c r="F39" t="str">
        <f t="shared" si="20"/>
        <v>C</v>
      </c>
      <c r="G39" t="str">
        <f>VLOOKUP($B39, Spa!$B:$P, 12, 0)</f>
        <v>Yes</v>
      </c>
      <c r="H39">
        <f>VLOOKUP($B39, Spa!$B:$P, 3, 0)</f>
        <v>2023</v>
      </c>
      <c r="I39" s="2">
        <f>SUMIF('2022'!$B:$B,$B39, '2022'!$AI:$AI)</f>
        <v>0</v>
      </c>
      <c r="J39" s="2">
        <f>SUMIF('2023'!$B:$B,$B39,'2023'!$AI:$AI)</f>
        <v>1212</v>
      </c>
      <c r="K39" s="2">
        <f>SUMIF('2024'!$B:$B,$B39,'2024'!$AI:$AI)</f>
        <v>2916</v>
      </c>
      <c r="L39" s="2">
        <f>SUMIF('2025'!$B:$B,$B39,'2025'!$AI:$AI)</f>
        <v>3635</v>
      </c>
      <c r="M39" s="2">
        <f>SUMIF('2025B'!$B:$B,$B39,'2025B'!$AI:$AI)</f>
        <v>3000</v>
      </c>
      <c r="O39" s="3">
        <f t="shared" si="1"/>
        <v>0.24657064471879298</v>
      </c>
      <c r="P39" s="3">
        <f t="shared" si="2"/>
        <v>1.9991749174917492</v>
      </c>
      <c r="Q39" s="3" t="str">
        <f t="shared" si="3"/>
        <v>N/A</v>
      </c>
      <c r="R39" s="3">
        <f t="shared" si="4"/>
        <v>0.21166666666666667</v>
      </c>
      <c r="S39" s="3" t="str">
        <f t="shared" si="5"/>
        <v>N/A</v>
      </c>
      <c r="T39" s="3"/>
      <c r="U39" s="4">
        <f t="shared" si="6"/>
        <v>719</v>
      </c>
      <c r="V39" s="4">
        <f t="shared" si="7"/>
        <v>2423</v>
      </c>
      <c r="W39" s="4">
        <f t="shared" si="8"/>
        <v>3635</v>
      </c>
      <c r="X39" s="4">
        <f t="shared" si="9"/>
        <v>635</v>
      </c>
      <c r="Z39" s="2">
        <f>SUMIF('2022'!$B:$B,$B39,'2022'!$AI:$AI)</f>
        <v>0</v>
      </c>
      <c r="AA39" s="2">
        <f>SUMIF('2023'!$B:$B,$B39,'2023'!$AI:$AI)</f>
        <v>1212</v>
      </c>
      <c r="AB39" s="2">
        <f>SUMIF('2024'!$B:$B,$B39,'2024'!$AI:$AI)</f>
        <v>2916</v>
      </c>
      <c r="AC39" s="4">
        <f t="shared" si="10"/>
        <v>3635</v>
      </c>
      <c r="AD39" s="2">
        <f>SUMIF('2025B'!$B:$B,$B39,'2025B'!$AI:$AI)</f>
        <v>3000</v>
      </c>
      <c r="AF39" s="3">
        <f t="shared" si="11"/>
        <v>0.24657064471879298</v>
      </c>
      <c r="AG39" s="3">
        <f t="shared" si="12"/>
        <v>1.9991749174917492</v>
      </c>
      <c r="AH39" s="3" t="str">
        <f t="shared" si="13"/>
        <v>N/A</v>
      </c>
      <c r="AI39" s="3">
        <f t="shared" si="14"/>
        <v>0.21166666666666667</v>
      </c>
      <c r="AJ39" s="3" t="str">
        <f t="shared" si="15"/>
        <v>N/A</v>
      </c>
      <c r="AK39" s="3"/>
      <c r="AL39" s="4">
        <f t="shared" si="16"/>
        <v>719</v>
      </c>
      <c r="AM39" s="4">
        <f t="shared" si="17"/>
        <v>2423</v>
      </c>
      <c r="AN39" s="4">
        <f t="shared" si="18"/>
        <v>3635</v>
      </c>
      <c r="AO39" s="4">
        <f t="shared" si="19"/>
        <v>635</v>
      </c>
    </row>
    <row r="40" spans="2:41">
      <c r="B40">
        <v>25044</v>
      </c>
      <c r="C40" t="s">
        <v>90</v>
      </c>
      <c r="D40" t="str">
        <f>VLOOKUP($B40, Spa!$B:$P, 15, 0)</f>
        <v>Central</v>
      </c>
      <c r="E40" t="str">
        <f>VLOOKUP($B40, Spa!$B:$P, 14, 0)</f>
        <v>Emily</v>
      </c>
      <c r="F40" t="str">
        <f t="shared" si="20"/>
        <v>NKD24</v>
      </c>
      <c r="G40" t="str">
        <f>VLOOKUP($B40, Spa!$B:$P, 12, 0)</f>
        <v>Yes</v>
      </c>
      <c r="H40">
        <f>VLOOKUP($B40, Spa!$B:$P, 3, 0)</f>
        <v>2024</v>
      </c>
      <c r="I40" s="2">
        <f>SUMIF('2022'!$B:$B,$B40, '2022'!$AI:$AI)</f>
        <v>0</v>
      </c>
      <c r="J40" s="2">
        <f>SUMIF('2023'!$B:$B,$B40,'2023'!$AI:$AI)</f>
        <v>0</v>
      </c>
      <c r="K40" s="2">
        <f>SUMIF('2024'!$B:$B,$B40,'2024'!$AI:$AI)</f>
        <v>23382.73</v>
      </c>
      <c r="L40" s="2">
        <f>SUMIF('2025'!$B:$B,$B40,'2025'!$AI:$AI)</f>
        <v>26752.850000000002</v>
      </c>
      <c r="M40" s="2">
        <f>SUMIF('2025B'!$B:$B,$B40,'2025B'!$AI:$AI)</f>
        <v>25000</v>
      </c>
      <c r="O40" s="3">
        <f t="shared" si="1"/>
        <v>0.14412859405210598</v>
      </c>
      <c r="P40" s="3" t="str">
        <f t="shared" si="2"/>
        <v>N/A</v>
      </c>
      <c r="Q40" s="3" t="str">
        <f t="shared" si="3"/>
        <v>N/A</v>
      </c>
      <c r="R40" s="3">
        <f t="shared" si="4"/>
        <v>7.011400000000001E-2</v>
      </c>
      <c r="S40" s="3" t="str">
        <f t="shared" si="5"/>
        <v>N/A</v>
      </c>
      <c r="T40" s="3"/>
      <c r="U40" s="4">
        <f t="shared" si="6"/>
        <v>3370.1200000000026</v>
      </c>
      <c r="V40" s="4">
        <f t="shared" si="7"/>
        <v>26752.850000000002</v>
      </c>
      <c r="W40" s="4">
        <f t="shared" si="8"/>
        <v>26752.850000000002</v>
      </c>
      <c r="X40" s="4">
        <f t="shared" si="9"/>
        <v>1752.8500000000022</v>
      </c>
      <c r="Z40" s="2">
        <f>SUMIF('2022'!$B:$B,$B40,'2022'!$AI:$AI)</f>
        <v>0</v>
      </c>
      <c r="AA40" s="2">
        <f>SUMIF('2023'!$B:$B,$B40,'2023'!$AI:$AI)</f>
        <v>0</v>
      </c>
      <c r="AB40" s="2">
        <f>SUMIF('2024'!$B:$B,$B40,'2024'!$AI:$AI)</f>
        <v>23382.73</v>
      </c>
      <c r="AC40" s="4">
        <f t="shared" si="10"/>
        <v>26752.850000000002</v>
      </c>
      <c r="AD40" s="2">
        <f>SUMIF('2025B'!$B:$B,$B40,'2025B'!$AI:$AI)</f>
        <v>25000</v>
      </c>
      <c r="AF40" s="3">
        <f t="shared" si="11"/>
        <v>0.14412859405210598</v>
      </c>
      <c r="AG40" s="3" t="str">
        <f t="shared" si="12"/>
        <v>N/A</v>
      </c>
      <c r="AH40" s="3" t="str">
        <f t="shared" si="13"/>
        <v>N/A</v>
      </c>
      <c r="AI40" s="3">
        <f t="shared" si="14"/>
        <v>7.011400000000001E-2</v>
      </c>
      <c r="AJ40" s="3" t="str">
        <f t="shared" si="15"/>
        <v>N/A</v>
      </c>
      <c r="AK40" s="3"/>
      <c r="AL40" s="4">
        <f t="shared" si="16"/>
        <v>3370.1200000000026</v>
      </c>
      <c r="AM40" s="4">
        <f t="shared" si="17"/>
        <v>26752.850000000002</v>
      </c>
      <c r="AN40" s="4">
        <f t="shared" si="18"/>
        <v>26752.850000000002</v>
      </c>
      <c r="AO40" s="4">
        <f t="shared" si="19"/>
        <v>1752.8500000000022</v>
      </c>
    </row>
    <row r="41" spans="2:41">
      <c r="B41">
        <v>25045</v>
      </c>
      <c r="C41" t="s">
        <v>77</v>
      </c>
      <c r="D41" t="str">
        <f>VLOOKUP($B41, Spa!$B:$P, 15, 0)</f>
        <v>Northeast</v>
      </c>
      <c r="E41" t="str">
        <f>VLOOKUP($B41, Spa!$B:$P, 14, 0)</f>
        <v>Emily</v>
      </c>
      <c r="F41" t="str">
        <f t="shared" si="20"/>
        <v>NKD24</v>
      </c>
      <c r="G41" t="str">
        <f>VLOOKUP($B41, Spa!$B:$P, 12, 0)</f>
        <v>Yes</v>
      </c>
      <c r="H41">
        <f>VLOOKUP($B41, Spa!$B:$P, 3, 0)</f>
        <v>2024</v>
      </c>
      <c r="I41" s="2">
        <f>SUMIF('2022'!$B:$B,$B41, '2022'!$AI:$AI)</f>
        <v>0</v>
      </c>
      <c r="J41" s="2">
        <f>SUMIF('2023'!$B:$B,$B41,'2023'!$AI:$AI)</f>
        <v>0</v>
      </c>
      <c r="K41" s="2">
        <f>SUMIF('2024'!$B:$B,$B41,'2024'!$AI:$AI)</f>
        <v>27105.03</v>
      </c>
      <c r="L41" s="2">
        <f>SUMIF('2025'!$B:$B,$B41,'2025'!$AI:$AI)</f>
        <v>5838.02</v>
      </c>
      <c r="M41" s="2">
        <f>SUMIF('2025B'!$B:$B,$B41,'2025B'!$AI:$AI)</f>
        <v>25000</v>
      </c>
      <c r="O41" s="3">
        <f t="shared" si="1"/>
        <v>-0.78461488513386624</v>
      </c>
      <c r="P41" s="3" t="str">
        <f t="shared" si="2"/>
        <v>N/A</v>
      </c>
      <c r="Q41" s="3" t="str">
        <f t="shared" si="3"/>
        <v>N/A</v>
      </c>
      <c r="R41" s="3">
        <f t="shared" si="4"/>
        <v>-0.76647920000000003</v>
      </c>
      <c r="S41" s="3" t="str">
        <f t="shared" si="5"/>
        <v>N/A</v>
      </c>
      <c r="T41" s="3"/>
      <c r="U41" s="4">
        <f t="shared" si="6"/>
        <v>-21267.01</v>
      </c>
      <c r="V41" s="4">
        <f t="shared" si="7"/>
        <v>5838.02</v>
      </c>
      <c r="W41" s="4">
        <f t="shared" si="8"/>
        <v>5838.02</v>
      </c>
      <c r="X41" s="4">
        <f t="shared" si="9"/>
        <v>-19161.98</v>
      </c>
      <c r="Z41" s="2">
        <f>SUMIF('2022'!$B:$B,$B41,'2022'!$AI:$AI)</f>
        <v>0</v>
      </c>
      <c r="AA41" s="2">
        <f>SUMIF('2023'!$B:$B,$B41,'2023'!$AI:$AI)</f>
        <v>0</v>
      </c>
      <c r="AB41" s="2">
        <f>SUMIF('2024'!$B:$B,$B41,'2024'!$AI:$AI)</f>
        <v>27105.03</v>
      </c>
      <c r="AC41" s="4">
        <f t="shared" si="10"/>
        <v>5838.02</v>
      </c>
      <c r="AD41" s="2">
        <f>SUMIF('2025B'!$B:$B,$B41,'2025B'!$AI:$AI)</f>
        <v>25000</v>
      </c>
      <c r="AF41" s="3">
        <f t="shared" si="11"/>
        <v>-0.78461488513386624</v>
      </c>
      <c r="AG41" s="3" t="str">
        <f t="shared" si="12"/>
        <v>N/A</v>
      </c>
      <c r="AH41" s="3" t="str">
        <f t="shared" si="13"/>
        <v>N/A</v>
      </c>
      <c r="AI41" s="3">
        <f t="shared" si="14"/>
        <v>-0.76647920000000003</v>
      </c>
      <c r="AJ41" s="3" t="str">
        <f t="shared" si="15"/>
        <v>N/A</v>
      </c>
      <c r="AK41" s="3"/>
      <c r="AL41" s="4">
        <f t="shared" si="16"/>
        <v>-21267.01</v>
      </c>
      <c r="AM41" s="4">
        <f t="shared" si="17"/>
        <v>5838.02</v>
      </c>
      <c r="AN41" s="4">
        <f t="shared" si="18"/>
        <v>5838.02</v>
      </c>
      <c r="AO41" s="4">
        <f t="shared" si="19"/>
        <v>-19161.98</v>
      </c>
    </row>
    <row r="42" spans="2:41">
      <c r="B42">
        <v>25046</v>
      </c>
      <c r="C42" t="s">
        <v>109</v>
      </c>
      <c r="D42" t="str">
        <f>VLOOKUP($B42, Spa!$B:$P, 15, 0)</f>
        <v>West</v>
      </c>
      <c r="E42" t="str">
        <f>VLOOKUP($B42, Spa!$B:$P, 14, 0)</f>
        <v>Amy</v>
      </c>
      <c r="F42" t="str">
        <f t="shared" si="20"/>
        <v>NKD24</v>
      </c>
      <c r="G42" t="str">
        <f>VLOOKUP($B42, Spa!$B:$P, 12, 0)</f>
        <v>Yes</v>
      </c>
      <c r="H42">
        <f>VLOOKUP($B42, Spa!$B:$P, 3, 0)</f>
        <v>2024</v>
      </c>
      <c r="I42" s="2">
        <f>SUMIF('2022'!$B:$B,$B42, '2022'!$AI:$AI)</f>
        <v>0</v>
      </c>
      <c r="J42" s="2">
        <f>SUMIF('2023'!$B:$B,$B42,'2023'!$AI:$AI)</f>
        <v>0</v>
      </c>
      <c r="K42" s="2">
        <f>SUMIF('2024'!$B:$B,$B42,'2024'!$AI:$AI)</f>
        <v>14440.24</v>
      </c>
      <c r="L42" s="2">
        <f>SUMIF('2025'!$B:$B,$B42,'2025'!$AI:$AI)</f>
        <v>1551.69</v>
      </c>
      <c r="M42" s="2">
        <f>SUMIF('2025B'!$B:$B,$B42,'2025B'!$AI:$AI)</f>
        <v>16000</v>
      </c>
      <c r="O42" s="3">
        <f t="shared" si="1"/>
        <v>-0.89254402973911795</v>
      </c>
      <c r="P42" s="3" t="str">
        <f t="shared" si="2"/>
        <v>N/A</v>
      </c>
      <c r="Q42" s="3" t="str">
        <f t="shared" si="3"/>
        <v>N/A</v>
      </c>
      <c r="R42" s="3">
        <f t="shared" si="4"/>
        <v>-0.90301937499999996</v>
      </c>
      <c r="S42" s="3" t="str">
        <f t="shared" si="5"/>
        <v>N/A</v>
      </c>
      <c r="T42" s="3"/>
      <c r="U42" s="4">
        <f t="shared" si="6"/>
        <v>-12888.55</v>
      </c>
      <c r="V42" s="4">
        <f t="shared" si="7"/>
        <v>1551.69</v>
      </c>
      <c r="W42" s="4">
        <f t="shared" si="8"/>
        <v>1551.69</v>
      </c>
      <c r="X42" s="4">
        <f t="shared" si="9"/>
        <v>-14448.31</v>
      </c>
      <c r="Z42" s="2">
        <f>SUMIF('2022'!$B:$B,$B42,'2022'!$AI:$AI)</f>
        <v>0</v>
      </c>
      <c r="AA42" s="2">
        <f>SUMIF('2023'!$B:$B,$B42,'2023'!$AI:$AI)</f>
        <v>0</v>
      </c>
      <c r="AB42" s="2">
        <f>SUMIF('2024'!$B:$B,$B42,'2024'!$AI:$AI)</f>
        <v>14440.24</v>
      </c>
      <c r="AC42" s="4">
        <f t="shared" si="10"/>
        <v>1551.69</v>
      </c>
      <c r="AD42" s="2">
        <f>SUMIF('2025B'!$B:$B,$B42,'2025B'!$AI:$AI)</f>
        <v>16000</v>
      </c>
      <c r="AF42" s="3">
        <f t="shared" si="11"/>
        <v>-0.89254402973911795</v>
      </c>
      <c r="AG42" s="3" t="str">
        <f t="shared" si="12"/>
        <v>N/A</v>
      </c>
      <c r="AH42" s="3" t="str">
        <f t="shared" si="13"/>
        <v>N/A</v>
      </c>
      <c r="AI42" s="3">
        <f t="shared" si="14"/>
        <v>-0.90301937499999996</v>
      </c>
      <c r="AJ42" s="3" t="str">
        <f t="shared" si="15"/>
        <v>N/A</v>
      </c>
      <c r="AK42" s="3"/>
      <c r="AL42" s="4">
        <f t="shared" si="16"/>
        <v>-12888.55</v>
      </c>
      <c r="AM42" s="4">
        <f t="shared" si="17"/>
        <v>1551.69</v>
      </c>
      <c r="AN42" s="4">
        <f t="shared" si="18"/>
        <v>1551.69</v>
      </c>
      <c r="AO42" s="4">
        <f t="shared" si="19"/>
        <v>-14448.31</v>
      </c>
    </row>
    <row r="43" spans="2:41">
      <c r="B43">
        <v>25047</v>
      </c>
      <c r="C43" t="s">
        <v>129</v>
      </c>
      <c r="D43" t="str">
        <f>VLOOKUP($B43, Spa!$B:$P, 15, 0)</f>
        <v>Southeast</v>
      </c>
      <c r="E43" t="str">
        <f>VLOOKUP($B43, Spa!$B:$P, 14, 0)</f>
        <v>Lisa</v>
      </c>
      <c r="F43" t="str">
        <f t="shared" si="20"/>
        <v>NKD24</v>
      </c>
      <c r="G43" t="str">
        <f>VLOOKUP($B43, Spa!$B:$P, 12, 0)</f>
        <v>Yes</v>
      </c>
      <c r="H43">
        <f>VLOOKUP($B43, Spa!$B:$P, 3, 0)</f>
        <v>2024</v>
      </c>
      <c r="I43" s="2">
        <f>SUMIF('2022'!$B:$B,$B43, '2022'!$AI:$AI)</f>
        <v>0</v>
      </c>
      <c r="J43" s="2">
        <f>SUMIF('2023'!$B:$B,$B43,'2023'!$AI:$AI)</f>
        <v>0</v>
      </c>
      <c r="K43" s="2">
        <f>SUMIF('2024'!$B:$B,$B43,'2024'!$AI:$AI)</f>
        <v>37356.629999999997</v>
      </c>
      <c r="L43" s="2">
        <f>SUMIF('2025'!$B:$B,$B43,'2025'!$AI:$AI)</f>
        <v>29214.710000000003</v>
      </c>
      <c r="M43" s="2">
        <f>SUMIF('2025B'!$B:$B,$B43,'2025B'!$AI:$AI)</f>
        <v>45000</v>
      </c>
      <c r="O43" s="3">
        <f t="shared" si="1"/>
        <v>-0.21795113745538597</v>
      </c>
      <c r="P43" s="3" t="str">
        <f t="shared" si="2"/>
        <v>N/A</v>
      </c>
      <c r="Q43" s="3" t="str">
        <f t="shared" si="3"/>
        <v>N/A</v>
      </c>
      <c r="R43" s="3">
        <f t="shared" si="4"/>
        <v>-0.35078422222222216</v>
      </c>
      <c r="S43" s="3" t="str">
        <f t="shared" si="5"/>
        <v>N/A</v>
      </c>
      <c r="T43" s="3"/>
      <c r="U43" s="4">
        <f t="shared" si="6"/>
        <v>-8141.9199999999946</v>
      </c>
      <c r="V43" s="4">
        <f t="shared" si="7"/>
        <v>29214.710000000003</v>
      </c>
      <c r="W43" s="4">
        <f t="shared" si="8"/>
        <v>29214.710000000003</v>
      </c>
      <c r="X43" s="4">
        <f t="shared" si="9"/>
        <v>-15785.289999999997</v>
      </c>
      <c r="Z43" s="2">
        <f>SUMIF('2022'!$B:$B,$B43,'2022'!$AI:$AI)</f>
        <v>0</v>
      </c>
      <c r="AA43" s="2">
        <f>SUMIF('2023'!$B:$B,$B43,'2023'!$AI:$AI)</f>
        <v>0</v>
      </c>
      <c r="AB43" s="2">
        <f>SUMIF('2024'!$B:$B,$B43,'2024'!$AI:$AI)</f>
        <v>37356.629999999997</v>
      </c>
      <c r="AC43" s="4">
        <f t="shared" si="10"/>
        <v>29214.710000000003</v>
      </c>
      <c r="AD43" s="2">
        <f>SUMIF('2025B'!$B:$B,$B43,'2025B'!$AI:$AI)</f>
        <v>45000</v>
      </c>
      <c r="AF43" s="3">
        <f t="shared" si="11"/>
        <v>-0.21795113745538597</v>
      </c>
      <c r="AG43" s="3" t="str">
        <f t="shared" si="12"/>
        <v>N/A</v>
      </c>
      <c r="AH43" s="3" t="str">
        <f t="shared" si="13"/>
        <v>N/A</v>
      </c>
      <c r="AI43" s="3">
        <f t="shared" si="14"/>
        <v>-0.35078422222222216</v>
      </c>
      <c r="AJ43" s="3" t="str">
        <f t="shared" si="15"/>
        <v>N/A</v>
      </c>
      <c r="AK43" s="3"/>
      <c r="AL43" s="4">
        <f t="shared" si="16"/>
        <v>-8141.9199999999946</v>
      </c>
      <c r="AM43" s="4">
        <f t="shared" si="17"/>
        <v>29214.710000000003</v>
      </c>
      <c r="AN43" s="4">
        <f t="shared" si="18"/>
        <v>29214.710000000003</v>
      </c>
      <c r="AO43" s="4">
        <f t="shared" si="19"/>
        <v>-15785.289999999997</v>
      </c>
    </row>
    <row r="44" spans="2:41">
      <c r="B44">
        <v>25049</v>
      </c>
      <c r="C44" t="s">
        <v>78</v>
      </c>
      <c r="D44" t="str">
        <f>VLOOKUP($B44, Spa!$B:$P, 15, 0)</f>
        <v>Northeast</v>
      </c>
      <c r="E44" t="str">
        <f>VLOOKUP($B44, Spa!$B:$P, 14, 0)</f>
        <v>Emily</v>
      </c>
      <c r="F44" t="str">
        <f t="shared" si="20"/>
        <v>NKD24</v>
      </c>
      <c r="G44" t="str">
        <f>VLOOKUP($B44, Spa!$B:$P, 12, 0)</f>
        <v>Yes</v>
      </c>
      <c r="H44">
        <f>VLOOKUP($B44, Spa!$B:$P, 3, 0)</f>
        <v>2024</v>
      </c>
      <c r="I44" s="2">
        <f>SUMIF('2022'!$B:$B,$B44, '2022'!$AI:$AI)</f>
        <v>0</v>
      </c>
      <c r="J44" s="2">
        <f>SUMIF('2023'!$B:$B,$B44,'2023'!$AI:$AI)</f>
        <v>0</v>
      </c>
      <c r="K44" s="2">
        <f>SUMIF('2024'!$B:$B,$B44,'2024'!$AI:$AI)</f>
        <v>15753.72</v>
      </c>
      <c r="L44" s="2">
        <f>SUMIF('2025'!$B:$B,$B44,'2025'!$AI:$AI)</f>
        <v>14251.070000000002</v>
      </c>
      <c r="M44" s="2">
        <f>SUMIF('2025B'!$B:$B,$B44,'2025B'!$AI:$AI)</f>
        <v>18000</v>
      </c>
      <c r="O44" s="3">
        <f t="shared" si="1"/>
        <v>-9.5383820456374613E-2</v>
      </c>
      <c r="P44" s="3" t="str">
        <f t="shared" si="2"/>
        <v>N/A</v>
      </c>
      <c r="Q44" s="3" t="str">
        <f t="shared" si="3"/>
        <v>N/A</v>
      </c>
      <c r="R44" s="3">
        <f t="shared" si="4"/>
        <v>-0.20827388888888876</v>
      </c>
      <c r="S44" s="3" t="str">
        <f t="shared" si="5"/>
        <v>N/A</v>
      </c>
      <c r="T44" s="3"/>
      <c r="U44" s="4">
        <f t="shared" si="6"/>
        <v>-1502.6499999999978</v>
      </c>
      <c r="V44" s="4">
        <f t="shared" si="7"/>
        <v>14251.070000000002</v>
      </c>
      <c r="W44" s="4">
        <f t="shared" si="8"/>
        <v>14251.070000000002</v>
      </c>
      <c r="X44" s="4">
        <f t="shared" si="9"/>
        <v>-3748.9299999999985</v>
      </c>
      <c r="Z44" s="2">
        <f>SUMIF('2022'!$B:$B,$B44,'2022'!$AI:$AI)</f>
        <v>0</v>
      </c>
      <c r="AA44" s="2">
        <f>SUMIF('2023'!$B:$B,$B44,'2023'!$AI:$AI)</f>
        <v>0</v>
      </c>
      <c r="AB44" s="2">
        <f>SUMIF('2024'!$B:$B,$B44,'2024'!$AI:$AI)</f>
        <v>15753.72</v>
      </c>
      <c r="AC44" s="4">
        <f t="shared" si="10"/>
        <v>14251.070000000002</v>
      </c>
      <c r="AD44" s="2">
        <f>SUMIF('2025B'!$B:$B,$B44,'2025B'!$AI:$AI)</f>
        <v>18000</v>
      </c>
      <c r="AF44" s="3">
        <f t="shared" si="11"/>
        <v>-9.5383820456374613E-2</v>
      </c>
      <c r="AG44" s="3" t="str">
        <f t="shared" si="12"/>
        <v>N/A</v>
      </c>
      <c r="AH44" s="3" t="str">
        <f t="shared" si="13"/>
        <v>N/A</v>
      </c>
      <c r="AI44" s="3">
        <f t="shared" si="14"/>
        <v>-0.20827388888888876</v>
      </c>
      <c r="AJ44" s="3" t="str">
        <f t="shared" si="15"/>
        <v>N/A</v>
      </c>
      <c r="AK44" s="3"/>
      <c r="AL44" s="4">
        <f t="shared" si="16"/>
        <v>-1502.6499999999978</v>
      </c>
      <c r="AM44" s="4">
        <f t="shared" si="17"/>
        <v>14251.070000000002</v>
      </c>
      <c r="AN44" s="4">
        <f t="shared" si="18"/>
        <v>14251.070000000002</v>
      </c>
      <c r="AO44" s="4">
        <f t="shared" si="19"/>
        <v>-3748.9299999999985</v>
      </c>
    </row>
    <row r="45" spans="2:41">
      <c r="B45">
        <v>25050</v>
      </c>
      <c r="C45" t="s">
        <v>91</v>
      </c>
      <c r="D45" t="str">
        <f>VLOOKUP($B45, Spa!$B:$P, 15, 0)</f>
        <v>Central</v>
      </c>
      <c r="E45" t="str">
        <f>VLOOKUP($B45, Spa!$B:$P, 14, 0)</f>
        <v>Emily</v>
      </c>
      <c r="F45" t="str">
        <f t="shared" si="20"/>
        <v>NKD24</v>
      </c>
      <c r="G45" t="str">
        <f>VLOOKUP($B45, Spa!$B:$P, 12, 0)</f>
        <v>Yes</v>
      </c>
      <c r="H45">
        <f>VLOOKUP($B45, Spa!$B:$P, 3, 0)</f>
        <v>2024</v>
      </c>
      <c r="I45" s="2">
        <f>SUMIF('2022'!$B:$B,$B45, '2022'!$AI:$AI)</f>
        <v>0</v>
      </c>
      <c r="J45" s="2">
        <f>SUMIF('2023'!$B:$B,$B45,'2023'!$AI:$AI)</f>
        <v>0</v>
      </c>
      <c r="K45" s="2">
        <f>SUMIF('2024'!$B:$B,$B45,'2024'!$AI:$AI)</f>
        <v>16142.96</v>
      </c>
      <c r="L45" s="2">
        <f>SUMIF('2025'!$B:$B,$B45,'2025'!$AI:$AI)</f>
        <v>7207.32</v>
      </c>
      <c r="M45" s="2">
        <f>SUMIF('2025B'!$B:$B,$B45,'2025B'!$AI:$AI)</f>
        <v>16000</v>
      </c>
      <c r="O45" s="3">
        <f t="shared" si="1"/>
        <v>-0.5535316943113282</v>
      </c>
      <c r="P45" s="3" t="str">
        <f t="shared" si="2"/>
        <v>N/A</v>
      </c>
      <c r="Q45" s="3" t="str">
        <f t="shared" si="3"/>
        <v>N/A</v>
      </c>
      <c r="R45" s="3">
        <f t="shared" si="4"/>
        <v>-0.54954250000000004</v>
      </c>
      <c r="S45" s="3" t="str">
        <f t="shared" si="5"/>
        <v>N/A</v>
      </c>
      <c r="T45" s="3"/>
      <c r="U45" s="4">
        <f t="shared" si="6"/>
        <v>-8935.64</v>
      </c>
      <c r="V45" s="4">
        <f t="shared" si="7"/>
        <v>7207.32</v>
      </c>
      <c r="W45" s="4">
        <f t="shared" si="8"/>
        <v>7207.32</v>
      </c>
      <c r="X45" s="4">
        <f t="shared" si="9"/>
        <v>-8792.68</v>
      </c>
      <c r="Z45" s="2">
        <f>SUMIF('2022'!$B:$B,$B45,'2022'!$AI:$AI)</f>
        <v>0</v>
      </c>
      <c r="AA45" s="2">
        <f>SUMIF('2023'!$B:$B,$B45,'2023'!$AI:$AI)</f>
        <v>0</v>
      </c>
      <c r="AB45" s="2">
        <f>SUMIF('2024'!$B:$B,$B45,'2024'!$AI:$AI)</f>
        <v>16142.96</v>
      </c>
      <c r="AC45" s="4">
        <f t="shared" si="10"/>
        <v>7207.32</v>
      </c>
      <c r="AD45" s="2">
        <f>SUMIF('2025B'!$B:$B,$B45,'2025B'!$AI:$AI)</f>
        <v>16000</v>
      </c>
      <c r="AF45" s="3">
        <f t="shared" si="11"/>
        <v>-0.5535316943113282</v>
      </c>
      <c r="AG45" s="3" t="str">
        <f t="shared" si="12"/>
        <v>N/A</v>
      </c>
      <c r="AH45" s="3" t="str">
        <f t="shared" si="13"/>
        <v>N/A</v>
      </c>
      <c r="AI45" s="3">
        <f t="shared" si="14"/>
        <v>-0.54954250000000004</v>
      </c>
      <c r="AJ45" s="3" t="str">
        <f t="shared" si="15"/>
        <v>N/A</v>
      </c>
      <c r="AK45" s="3"/>
      <c r="AL45" s="4">
        <f t="shared" si="16"/>
        <v>-8935.64</v>
      </c>
      <c r="AM45" s="4">
        <f t="shared" si="17"/>
        <v>7207.32</v>
      </c>
      <c r="AN45" s="4">
        <f t="shared" si="18"/>
        <v>7207.32</v>
      </c>
      <c r="AO45" s="4">
        <f t="shared" si="19"/>
        <v>-8792.68</v>
      </c>
    </row>
    <row r="46" spans="2:41">
      <c r="B46">
        <v>25052</v>
      </c>
      <c r="C46" t="s">
        <v>110</v>
      </c>
      <c r="D46" t="str">
        <f>VLOOKUP($B46, Spa!$B:$P, 15, 0)</f>
        <v>West</v>
      </c>
      <c r="E46" t="str">
        <f>VLOOKUP($B46, Spa!$B:$P, 14, 0)</f>
        <v>Amy</v>
      </c>
      <c r="F46" t="str">
        <f t="shared" si="20"/>
        <v>NKD24</v>
      </c>
      <c r="G46" t="str">
        <f>VLOOKUP($B46, Spa!$B:$P, 12, 0)</f>
        <v>Yes</v>
      </c>
      <c r="H46">
        <f>VLOOKUP($B46, Spa!$B:$P, 3, 0)</f>
        <v>2024</v>
      </c>
      <c r="I46" s="2">
        <f>SUMIF('2022'!$B:$B,$B46, '2022'!$AI:$AI)</f>
        <v>0</v>
      </c>
      <c r="J46" s="2">
        <f>SUMIF('2023'!$B:$B,$B46,'2023'!$AI:$AI)</f>
        <v>0</v>
      </c>
      <c r="K46" s="2">
        <f>SUMIF('2024'!$B:$B,$B46,'2024'!$AI:$AI)</f>
        <v>5734</v>
      </c>
      <c r="L46" s="2">
        <f>SUMIF('2025'!$B:$B,$B46,'2025'!$AI:$AI)</f>
        <v>0</v>
      </c>
      <c r="M46" s="2">
        <f>SUMIF('2025B'!$B:$B,$B46,'2025B'!$AI:$AI)</f>
        <v>5000</v>
      </c>
      <c r="O46" s="3">
        <f t="shared" si="1"/>
        <v>-1</v>
      </c>
      <c r="P46" s="3" t="str">
        <f t="shared" si="2"/>
        <v>N/A</v>
      </c>
      <c r="Q46" s="3" t="str">
        <f t="shared" si="3"/>
        <v>N/A</v>
      </c>
      <c r="R46" s="3">
        <f t="shared" si="4"/>
        <v>-1</v>
      </c>
      <c r="S46" s="3">
        <f t="shared" si="5"/>
        <v>0</v>
      </c>
      <c r="T46" s="3"/>
      <c r="U46" s="4">
        <f t="shared" si="6"/>
        <v>-5734</v>
      </c>
      <c r="V46" s="4">
        <f t="shared" si="7"/>
        <v>0</v>
      </c>
      <c r="W46" s="4">
        <f t="shared" si="8"/>
        <v>0</v>
      </c>
      <c r="X46" s="4">
        <f t="shared" si="9"/>
        <v>-5000</v>
      </c>
      <c r="Z46" s="2">
        <f>SUMIF('2022'!$B:$B,$B46,'2022'!$AI:$AI)</f>
        <v>0</v>
      </c>
      <c r="AA46" s="2">
        <f>SUMIF('2023'!$B:$B,$B46,'2023'!$AI:$AI)</f>
        <v>0</v>
      </c>
      <c r="AB46" s="2">
        <f>SUMIF('2024'!$B:$B,$B46,'2024'!$AI:$AI)</f>
        <v>5734</v>
      </c>
      <c r="AC46" s="4">
        <f t="shared" si="10"/>
        <v>0</v>
      </c>
      <c r="AD46" s="2">
        <f>SUMIF('2025B'!$B:$B,$B46,'2025B'!$AI:$AI)</f>
        <v>5000</v>
      </c>
      <c r="AF46" s="3">
        <f t="shared" si="11"/>
        <v>-1</v>
      </c>
      <c r="AG46" s="3" t="str">
        <f t="shared" si="12"/>
        <v>N/A</v>
      </c>
      <c r="AH46" s="3" t="str">
        <f t="shared" si="13"/>
        <v>N/A</v>
      </c>
      <c r="AI46" s="3">
        <f t="shared" si="14"/>
        <v>-1</v>
      </c>
      <c r="AJ46" s="3">
        <f t="shared" si="15"/>
        <v>0</v>
      </c>
      <c r="AK46" s="3"/>
      <c r="AL46" s="4">
        <f t="shared" si="16"/>
        <v>-5734</v>
      </c>
      <c r="AM46" s="4">
        <f t="shared" si="17"/>
        <v>0</v>
      </c>
      <c r="AN46" s="4">
        <f t="shared" si="18"/>
        <v>0</v>
      </c>
      <c r="AO46" s="4">
        <f t="shared" si="19"/>
        <v>-5000</v>
      </c>
    </row>
    <row r="47" spans="2:41">
      <c r="B47">
        <v>25053</v>
      </c>
      <c r="C47" t="s">
        <v>111</v>
      </c>
      <c r="D47" t="str">
        <f>VLOOKUP($B47, Spa!$B:$P, 15, 0)</f>
        <v>West</v>
      </c>
      <c r="E47" t="str">
        <f>VLOOKUP($B47, Spa!$B:$P, 14, 0)</f>
        <v>Amy</v>
      </c>
      <c r="F47" t="str">
        <f t="shared" si="20"/>
        <v>NKD24</v>
      </c>
      <c r="G47" t="str">
        <f>VLOOKUP($B47, Spa!$B:$P, 12, 0)</f>
        <v>Yes</v>
      </c>
      <c r="H47">
        <f>VLOOKUP($B47, Spa!$B:$P, 3, 0)</f>
        <v>2024</v>
      </c>
      <c r="I47" s="2">
        <f>SUMIF('2022'!$B:$B,$B47, '2022'!$AI:$AI)</f>
        <v>0</v>
      </c>
      <c r="J47" s="2">
        <f>SUMIF('2023'!$B:$B,$B47,'2023'!$AI:$AI)</f>
        <v>0</v>
      </c>
      <c r="K47" s="2">
        <f>SUMIF('2024'!$B:$B,$B47,'2024'!$AI:$AI)</f>
        <v>12533.029999999999</v>
      </c>
      <c r="L47" s="2">
        <f>SUMIF('2025'!$B:$B,$B47,'2025'!$AI:$AI)</f>
        <v>1846.6399999999999</v>
      </c>
      <c r="M47" s="2">
        <f>SUMIF('2025B'!$B:$B,$B47,'2025B'!$AI:$AI)</f>
        <v>12000</v>
      </c>
      <c r="O47" s="3">
        <f t="shared" si="1"/>
        <v>-0.8526581361410609</v>
      </c>
      <c r="P47" s="3" t="str">
        <f t="shared" si="2"/>
        <v>N/A</v>
      </c>
      <c r="Q47" s="3" t="str">
        <f t="shared" si="3"/>
        <v>N/A</v>
      </c>
      <c r="R47" s="3">
        <f t="shared" si="4"/>
        <v>-0.84611333333333338</v>
      </c>
      <c r="S47" s="3" t="str">
        <f t="shared" si="5"/>
        <v>N/A</v>
      </c>
      <c r="T47" s="3"/>
      <c r="U47" s="4">
        <f t="shared" si="6"/>
        <v>-10686.39</v>
      </c>
      <c r="V47" s="4">
        <f t="shared" si="7"/>
        <v>1846.6399999999999</v>
      </c>
      <c r="W47" s="4">
        <f t="shared" si="8"/>
        <v>1846.6399999999999</v>
      </c>
      <c r="X47" s="4">
        <f t="shared" si="9"/>
        <v>-10153.36</v>
      </c>
      <c r="Z47" s="2">
        <f>SUMIF('2022'!$B:$B,$B47,'2022'!$AI:$AI)</f>
        <v>0</v>
      </c>
      <c r="AA47" s="2">
        <f>SUMIF('2023'!$B:$B,$B47,'2023'!$AI:$AI)</f>
        <v>0</v>
      </c>
      <c r="AB47" s="2">
        <f>SUMIF('2024'!$B:$B,$B47,'2024'!$AI:$AI)</f>
        <v>12533.029999999999</v>
      </c>
      <c r="AC47" s="4">
        <f t="shared" si="10"/>
        <v>1846.6399999999999</v>
      </c>
      <c r="AD47" s="2">
        <f>SUMIF('2025B'!$B:$B,$B47,'2025B'!$AI:$AI)</f>
        <v>12000</v>
      </c>
      <c r="AF47" s="3">
        <f t="shared" si="11"/>
        <v>-0.8526581361410609</v>
      </c>
      <c r="AG47" s="3" t="str">
        <f t="shared" si="12"/>
        <v>N/A</v>
      </c>
      <c r="AH47" s="3" t="str">
        <f t="shared" si="13"/>
        <v>N/A</v>
      </c>
      <c r="AI47" s="3">
        <f t="shared" si="14"/>
        <v>-0.84611333333333338</v>
      </c>
      <c r="AJ47" s="3" t="str">
        <f t="shared" si="15"/>
        <v>N/A</v>
      </c>
      <c r="AK47" s="3"/>
      <c r="AL47" s="4">
        <f t="shared" si="16"/>
        <v>-10686.39</v>
      </c>
      <c r="AM47" s="4">
        <f t="shared" si="17"/>
        <v>1846.6399999999999</v>
      </c>
      <c r="AN47" s="4">
        <f t="shared" si="18"/>
        <v>1846.6399999999999</v>
      </c>
      <c r="AO47" s="4">
        <f t="shared" si="19"/>
        <v>-10153.36</v>
      </c>
    </row>
    <row r="48" spans="2:41">
      <c r="B48">
        <v>25054</v>
      </c>
      <c r="C48" t="s">
        <v>92</v>
      </c>
      <c r="D48" t="str">
        <f>VLOOKUP($B48, Spa!$B:$P, 15, 0)</f>
        <v>Southeast</v>
      </c>
      <c r="E48" t="str">
        <f>VLOOKUP($B48, Spa!$B:$P, 14, 0)</f>
        <v>Lisa</v>
      </c>
      <c r="F48" t="str">
        <f t="shared" si="20"/>
        <v>NKD24</v>
      </c>
      <c r="G48" t="str">
        <f>VLOOKUP($B48, Spa!$B:$P, 12, 0)</f>
        <v>Yes</v>
      </c>
      <c r="H48">
        <f>VLOOKUP($B48, Spa!$B:$P, 3, 0)</f>
        <v>2024</v>
      </c>
      <c r="I48" s="2">
        <f>SUMIF('2022'!$B:$B,$B48, '2022'!$AI:$AI)</f>
        <v>0</v>
      </c>
      <c r="J48" s="2">
        <f>SUMIF('2023'!$B:$B,$B48,'2023'!$AI:$AI)</f>
        <v>0</v>
      </c>
      <c r="K48" s="2">
        <f>SUMIF('2024'!$B:$B,$B48,'2024'!$AI:$AI)</f>
        <v>24095.02</v>
      </c>
      <c r="L48" s="2">
        <f>SUMIF('2025'!$B:$B,$B48,'2025'!$AI:$AI)</f>
        <v>26549.660000000003</v>
      </c>
      <c r="M48" s="2">
        <f>SUMIF('2025B'!$B:$B,$B48,'2025B'!$AI:$AI)</f>
        <v>25000</v>
      </c>
      <c r="O48" s="3">
        <f t="shared" si="1"/>
        <v>0.10187333316179048</v>
      </c>
      <c r="P48" s="3" t="str">
        <f t="shared" si="2"/>
        <v>N/A</v>
      </c>
      <c r="Q48" s="3" t="str">
        <f t="shared" si="3"/>
        <v>N/A</v>
      </c>
      <c r="R48" s="3">
        <f t="shared" si="4"/>
        <v>6.1986400000000108E-2</v>
      </c>
      <c r="S48" s="3" t="str">
        <f t="shared" si="5"/>
        <v>N/A</v>
      </c>
      <c r="T48" s="3"/>
      <c r="U48" s="4">
        <f t="shared" si="6"/>
        <v>2454.6400000000031</v>
      </c>
      <c r="V48" s="4">
        <f t="shared" si="7"/>
        <v>26549.660000000003</v>
      </c>
      <c r="W48" s="4">
        <f t="shared" si="8"/>
        <v>26549.660000000003</v>
      </c>
      <c r="X48" s="4">
        <f t="shared" si="9"/>
        <v>1549.6600000000035</v>
      </c>
      <c r="Z48" s="2">
        <f>SUMIF('2022'!$B:$B,$B48,'2022'!$AI:$AI)</f>
        <v>0</v>
      </c>
      <c r="AA48" s="2">
        <f>SUMIF('2023'!$B:$B,$B48,'2023'!$AI:$AI)</f>
        <v>0</v>
      </c>
      <c r="AB48" s="2">
        <f>SUMIF('2024'!$B:$B,$B48,'2024'!$AI:$AI)</f>
        <v>24095.02</v>
      </c>
      <c r="AC48" s="4">
        <f t="shared" si="10"/>
        <v>26549.660000000003</v>
      </c>
      <c r="AD48" s="2">
        <f>SUMIF('2025B'!$B:$B,$B48,'2025B'!$AI:$AI)</f>
        <v>25000</v>
      </c>
      <c r="AF48" s="3">
        <f t="shared" si="11"/>
        <v>0.10187333316179048</v>
      </c>
      <c r="AG48" s="3" t="str">
        <f t="shared" si="12"/>
        <v>N/A</v>
      </c>
      <c r="AH48" s="3" t="str">
        <f t="shared" si="13"/>
        <v>N/A</v>
      </c>
      <c r="AI48" s="3">
        <f t="shared" si="14"/>
        <v>6.1986400000000108E-2</v>
      </c>
      <c r="AJ48" s="3" t="str">
        <f t="shared" si="15"/>
        <v>N/A</v>
      </c>
      <c r="AK48" s="3"/>
      <c r="AL48" s="4">
        <f t="shared" si="16"/>
        <v>2454.6400000000031</v>
      </c>
      <c r="AM48" s="4">
        <f t="shared" si="17"/>
        <v>26549.660000000003</v>
      </c>
      <c r="AN48" s="4">
        <f t="shared" si="18"/>
        <v>26549.660000000003</v>
      </c>
      <c r="AO48" s="4">
        <f t="shared" si="19"/>
        <v>1549.6600000000035</v>
      </c>
    </row>
    <row r="49" spans="2:41">
      <c r="B49">
        <v>25055</v>
      </c>
      <c r="C49" t="s">
        <v>130</v>
      </c>
      <c r="D49" t="str">
        <f>VLOOKUP($B49, Spa!$B:$P, 15, 0)</f>
        <v>Southeast</v>
      </c>
      <c r="E49" t="str">
        <f>VLOOKUP($B49, Spa!$B:$P, 14, 0)</f>
        <v>Lisa</v>
      </c>
      <c r="F49" t="str">
        <f t="shared" si="20"/>
        <v>NKD24</v>
      </c>
      <c r="G49" t="str">
        <f>VLOOKUP($B49, Spa!$B:$P, 12, 0)</f>
        <v>Yes</v>
      </c>
      <c r="H49">
        <f>VLOOKUP($B49, Spa!$B:$P, 3, 0)</f>
        <v>2024</v>
      </c>
      <c r="I49" s="2">
        <f>SUMIF('2022'!$B:$B,$B49, '2022'!$AI:$AI)</f>
        <v>0</v>
      </c>
      <c r="J49" s="2">
        <f>SUMIF('2023'!$B:$B,$B49,'2023'!$AI:$AI)</f>
        <v>0</v>
      </c>
      <c r="K49" s="2">
        <f>SUMIF('2024'!$B:$B,$B49,'2024'!$AI:$AI)</f>
        <v>17321.719999999998</v>
      </c>
      <c r="L49" s="2">
        <f>SUMIF('2025'!$B:$B,$B49,'2025'!$AI:$AI)</f>
        <v>3791.52</v>
      </c>
      <c r="M49" s="2">
        <f>SUMIF('2025B'!$B:$B,$B49,'2025B'!$AI:$AI)</f>
        <v>12000</v>
      </c>
      <c r="O49" s="3">
        <f t="shared" si="1"/>
        <v>-0.7811118064487822</v>
      </c>
      <c r="P49" s="3" t="str">
        <f t="shared" si="2"/>
        <v>N/A</v>
      </c>
      <c r="Q49" s="3" t="str">
        <f t="shared" si="3"/>
        <v>N/A</v>
      </c>
      <c r="R49" s="3">
        <f t="shared" si="4"/>
        <v>-0.68403999999999998</v>
      </c>
      <c r="S49" s="3" t="str">
        <f t="shared" si="5"/>
        <v>N/A</v>
      </c>
      <c r="T49" s="3"/>
      <c r="U49" s="4">
        <f t="shared" si="6"/>
        <v>-13530.199999999997</v>
      </c>
      <c r="V49" s="4">
        <f t="shared" si="7"/>
        <v>3791.52</v>
      </c>
      <c r="W49" s="4">
        <f t="shared" si="8"/>
        <v>3791.52</v>
      </c>
      <c r="X49" s="4">
        <f t="shared" si="9"/>
        <v>-8208.48</v>
      </c>
      <c r="Z49" s="2">
        <f>SUMIF('2022'!$B:$B,$B49,'2022'!$AI:$AI)</f>
        <v>0</v>
      </c>
      <c r="AA49" s="2">
        <f>SUMIF('2023'!$B:$B,$B49,'2023'!$AI:$AI)</f>
        <v>0</v>
      </c>
      <c r="AB49" s="2">
        <f>SUMIF('2024'!$B:$B,$B49,'2024'!$AI:$AI)</f>
        <v>17321.719999999998</v>
      </c>
      <c r="AC49" s="4">
        <f t="shared" si="10"/>
        <v>3791.52</v>
      </c>
      <c r="AD49" s="2">
        <f>SUMIF('2025B'!$B:$B,$B49,'2025B'!$AI:$AI)</f>
        <v>12000</v>
      </c>
      <c r="AF49" s="3">
        <f t="shared" si="11"/>
        <v>-0.7811118064487822</v>
      </c>
      <c r="AG49" s="3" t="str">
        <f t="shared" si="12"/>
        <v>N/A</v>
      </c>
      <c r="AH49" s="3" t="str">
        <f t="shared" si="13"/>
        <v>N/A</v>
      </c>
      <c r="AI49" s="3">
        <f t="shared" si="14"/>
        <v>-0.68403999999999998</v>
      </c>
      <c r="AJ49" s="3" t="str">
        <f t="shared" si="15"/>
        <v>N/A</v>
      </c>
      <c r="AK49" s="3"/>
      <c r="AL49" s="4">
        <f t="shared" si="16"/>
        <v>-13530.199999999997</v>
      </c>
      <c r="AM49" s="4">
        <f t="shared" si="17"/>
        <v>3791.52</v>
      </c>
      <c r="AN49" s="4">
        <f t="shared" si="18"/>
        <v>3791.52</v>
      </c>
      <c r="AO49" s="4">
        <f t="shared" si="19"/>
        <v>-8208.48</v>
      </c>
    </row>
    <row r="50" spans="2:41">
      <c r="B50">
        <v>25056</v>
      </c>
      <c r="C50" t="s">
        <v>94</v>
      </c>
      <c r="D50" t="str">
        <f>VLOOKUP($B50, Spa!$B:$P, 15, 0)</f>
        <v>Central</v>
      </c>
      <c r="E50" t="str">
        <f>VLOOKUP($B50, Spa!$B:$P, 14, 0)</f>
        <v>Amy</v>
      </c>
      <c r="F50" t="str">
        <f t="shared" si="20"/>
        <v>NKD24</v>
      </c>
      <c r="G50" t="str">
        <f>VLOOKUP($B50, Spa!$B:$P, 12, 0)</f>
        <v>Yes</v>
      </c>
      <c r="H50">
        <f>VLOOKUP($B50, Spa!$B:$P, 3, 0)</f>
        <v>2024</v>
      </c>
      <c r="I50" s="2">
        <f>SUMIF('2022'!$B:$B,$B50, '2022'!$AI:$AI)</f>
        <v>0</v>
      </c>
      <c r="J50" s="2">
        <f>SUMIF('2023'!$B:$B,$B50,'2023'!$AI:$AI)</f>
        <v>0</v>
      </c>
      <c r="K50" s="2">
        <f>SUMIF('2024'!$B:$B,$B50,'2024'!$AI:$AI)</f>
        <v>34205.64</v>
      </c>
      <c r="L50" s="2">
        <f>SUMIF('2025'!$B:$B,$B50,'2025'!$AI:$AI)</f>
        <v>35149.620000000003</v>
      </c>
      <c r="M50" s="2">
        <f>SUMIF('2025B'!$B:$B,$B50,'2025B'!$AI:$AI)</f>
        <v>50000</v>
      </c>
      <c r="O50" s="3">
        <f t="shared" si="1"/>
        <v>2.7597203268233006E-2</v>
      </c>
      <c r="P50" s="3" t="str">
        <f t="shared" si="2"/>
        <v>N/A</v>
      </c>
      <c r="Q50" s="3" t="str">
        <f t="shared" si="3"/>
        <v>N/A</v>
      </c>
      <c r="R50" s="3">
        <f t="shared" si="4"/>
        <v>-0.29700759999999993</v>
      </c>
      <c r="S50" s="3" t="str">
        <f t="shared" si="5"/>
        <v>N/A</v>
      </c>
      <c r="T50" s="3"/>
      <c r="U50" s="4">
        <f t="shared" si="6"/>
        <v>943.9800000000032</v>
      </c>
      <c r="V50" s="4">
        <f t="shared" si="7"/>
        <v>35149.620000000003</v>
      </c>
      <c r="W50" s="4">
        <f t="shared" si="8"/>
        <v>35149.620000000003</v>
      </c>
      <c r="X50" s="4">
        <f t="shared" si="9"/>
        <v>-14850.379999999997</v>
      </c>
      <c r="Z50" s="2">
        <f>SUMIF('2022'!$B:$B,$B50,'2022'!$AI:$AI)</f>
        <v>0</v>
      </c>
      <c r="AA50" s="2">
        <f>SUMIF('2023'!$B:$B,$B50,'2023'!$AI:$AI)</f>
        <v>0</v>
      </c>
      <c r="AB50" s="2">
        <f>SUMIF('2024'!$B:$B,$B50,'2024'!$AI:$AI)</f>
        <v>34205.64</v>
      </c>
      <c r="AC50" s="4">
        <f t="shared" si="10"/>
        <v>35149.620000000003</v>
      </c>
      <c r="AD50" s="2">
        <f>SUMIF('2025B'!$B:$B,$B50,'2025B'!$AI:$AI)</f>
        <v>50000</v>
      </c>
      <c r="AF50" s="3">
        <f t="shared" si="11"/>
        <v>2.7597203268233006E-2</v>
      </c>
      <c r="AG50" s="3" t="str">
        <f t="shared" si="12"/>
        <v>N/A</v>
      </c>
      <c r="AH50" s="3" t="str">
        <f t="shared" si="13"/>
        <v>N/A</v>
      </c>
      <c r="AI50" s="3">
        <f t="shared" si="14"/>
        <v>-0.29700759999999993</v>
      </c>
      <c r="AJ50" s="3" t="str">
        <f t="shared" si="15"/>
        <v>N/A</v>
      </c>
      <c r="AK50" s="3"/>
      <c r="AL50" s="4">
        <f t="shared" si="16"/>
        <v>943.9800000000032</v>
      </c>
      <c r="AM50" s="4">
        <f t="shared" si="17"/>
        <v>35149.620000000003</v>
      </c>
      <c r="AN50" s="4">
        <f t="shared" si="18"/>
        <v>35149.620000000003</v>
      </c>
      <c r="AO50" s="4">
        <f t="shared" si="19"/>
        <v>-14850.379999999997</v>
      </c>
    </row>
    <row r="51" spans="2:41">
      <c r="B51">
        <v>25057</v>
      </c>
      <c r="C51" t="s">
        <v>156</v>
      </c>
      <c r="D51" t="str">
        <f>VLOOKUP($B51, Spa!$B:$P, 15, 0)</f>
        <v>Central</v>
      </c>
      <c r="E51" t="str">
        <f>VLOOKUP($B51, Spa!$B:$P, 14, 0)</f>
        <v>Emily</v>
      </c>
      <c r="F51" t="str">
        <f t="shared" si="20"/>
        <v>NKD24</v>
      </c>
      <c r="G51" t="str">
        <f>VLOOKUP($B51, Spa!$B:$P, 12, 0)</f>
        <v>No</v>
      </c>
      <c r="H51">
        <f>VLOOKUP($B51, Spa!$B:$P, 3, 0)</f>
        <v>2024</v>
      </c>
      <c r="I51" s="2">
        <f>SUMIF('2022'!$B:$B,$B51, '2022'!$AI:$AI)</f>
        <v>0</v>
      </c>
      <c r="J51" s="2">
        <f>SUMIF('2023'!$B:$B,$B51,'2023'!$AI:$AI)</f>
        <v>0</v>
      </c>
      <c r="K51" s="2">
        <f>SUMIF('2024'!$B:$B,$B51,'2024'!$AI:$AI)</f>
        <v>5494</v>
      </c>
      <c r="L51" s="2">
        <f>SUMIF('2025'!$B:$B,$B51,'2025'!$AI:$AI)</f>
        <v>0</v>
      </c>
      <c r="M51" s="2">
        <f>SUMIF('2025B'!$B:$B,$B51,'2025B'!$AI:$AI)</f>
        <v>10000</v>
      </c>
      <c r="O51" s="3">
        <f t="shared" si="1"/>
        <v>-1</v>
      </c>
      <c r="P51" s="3" t="str">
        <f t="shared" si="2"/>
        <v>N/A</v>
      </c>
      <c r="Q51" s="3" t="str">
        <f t="shared" si="3"/>
        <v>N/A</v>
      </c>
      <c r="R51" s="3">
        <f t="shared" si="4"/>
        <v>-1</v>
      </c>
      <c r="S51" s="3">
        <f t="shared" si="5"/>
        <v>0</v>
      </c>
      <c r="T51" s="3"/>
      <c r="U51" s="4">
        <f t="shared" si="6"/>
        <v>-5494</v>
      </c>
      <c r="V51" s="4">
        <f t="shared" si="7"/>
        <v>0</v>
      </c>
      <c r="W51" s="4">
        <f t="shared" si="8"/>
        <v>0</v>
      </c>
      <c r="X51" s="4">
        <f t="shared" si="9"/>
        <v>-10000</v>
      </c>
      <c r="Z51" s="2">
        <f>SUMIF('2022'!$B:$B,$B51,'2022'!$AI:$AI)</f>
        <v>0</v>
      </c>
      <c r="AA51" s="2">
        <f>SUMIF('2023'!$B:$B,$B51,'2023'!$AI:$AI)</f>
        <v>0</v>
      </c>
      <c r="AB51" s="2">
        <f>SUMIF('2024'!$B:$B,$B51,'2024'!$AI:$AI)</f>
        <v>5494</v>
      </c>
      <c r="AC51" s="4">
        <f t="shared" si="10"/>
        <v>0</v>
      </c>
      <c r="AD51" s="2">
        <f>SUMIF('2025B'!$B:$B,$B51,'2025B'!$AI:$AI)</f>
        <v>10000</v>
      </c>
      <c r="AF51" s="3">
        <f t="shared" si="11"/>
        <v>-1</v>
      </c>
      <c r="AG51" s="3" t="str">
        <f t="shared" si="12"/>
        <v>N/A</v>
      </c>
      <c r="AH51" s="3" t="str">
        <f t="shared" si="13"/>
        <v>N/A</v>
      </c>
      <c r="AI51" s="3">
        <f t="shared" si="14"/>
        <v>-1</v>
      </c>
      <c r="AJ51" s="3">
        <f t="shared" si="15"/>
        <v>0</v>
      </c>
      <c r="AK51" s="3"/>
      <c r="AL51" s="4">
        <f t="shared" si="16"/>
        <v>-5494</v>
      </c>
      <c r="AM51" s="4">
        <f t="shared" si="17"/>
        <v>0</v>
      </c>
      <c r="AN51" s="4">
        <f t="shared" si="18"/>
        <v>0</v>
      </c>
      <c r="AO51" s="4">
        <f t="shared" si="19"/>
        <v>-10000</v>
      </c>
    </row>
    <row r="52" spans="2:41">
      <c r="B52">
        <v>25058</v>
      </c>
      <c r="C52" t="s">
        <v>112</v>
      </c>
      <c r="D52" t="str">
        <f>VLOOKUP($B52, Spa!$B:$P, 15, 0)</f>
        <v>West</v>
      </c>
      <c r="E52" t="str">
        <f>VLOOKUP($B52, Spa!$B:$P, 14, 0)</f>
        <v>Amy</v>
      </c>
      <c r="F52" t="str">
        <f t="shared" si="20"/>
        <v>NKD24</v>
      </c>
      <c r="G52" t="str">
        <f>VLOOKUP($B52, Spa!$B:$P, 12, 0)</f>
        <v>Yes</v>
      </c>
      <c r="H52">
        <f>VLOOKUP($B52, Spa!$B:$P, 3, 0)</f>
        <v>2024</v>
      </c>
      <c r="I52" s="2">
        <f>SUMIF('2022'!$B:$B,$B52, '2022'!$AI:$AI)</f>
        <v>0</v>
      </c>
      <c r="J52" s="2">
        <f>SUMIF('2023'!$B:$B,$B52,'2023'!$AI:$AI)</f>
        <v>0</v>
      </c>
      <c r="K52" s="2">
        <f>SUMIF('2024'!$B:$B,$B52,'2024'!$AI:$AI)</f>
        <v>4359.49</v>
      </c>
      <c r="L52" s="2">
        <f>SUMIF('2025'!$B:$B,$B52,'2025'!$AI:$AI)</f>
        <v>3996</v>
      </c>
      <c r="M52" s="2">
        <f>SUMIF('2025B'!$B:$B,$B52,'2025B'!$AI:$AI)</f>
        <v>12000</v>
      </c>
      <c r="O52" s="3">
        <f t="shared" si="1"/>
        <v>-8.3379019105445762E-2</v>
      </c>
      <c r="P52" s="3" t="str">
        <f t="shared" si="2"/>
        <v>N/A</v>
      </c>
      <c r="Q52" s="3" t="str">
        <f t="shared" si="3"/>
        <v>N/A</v>
      </c>
      <c r="R52" s="3">
        <f t="shared" si="4"/>
        <v>-0.66700000000000004</v>
      </c>
      <c r="S52" s="3" t="str">
        <f t="shared" si="5"/>
        <v>N/A</v>
      </c>
      <c r="T52" s="3"/>
      <c r="U52" s="4">
        <f t="shared" si="6"/>
        <v>-363.48999999999978</v>
      </c>
      <c r="V52" s="4">
        <f t="shared" si="7"/>
        <v>3996</v>
      </c>
      <c r="W52" s="4">
        <f t="shared" si="8"/>
        <v>3996</v>
      </c>
      <c r="X52" s="4">
        <f t="shared" si="9"/>
        <v>-8004</v>
      </c>
      <c r="Z52" s="2">
        <f>SUMIF('2022'!$B:$B,$B52,'2022'!$AI:$AI)</f>
        <v>0</v>
      </c>
      <c r="AA52" s="2">
        <f>SUMIF('2023'!$B:$B,$B52,'2023'!$AI:$AI)</f>
        <v>0</v>
      </c>
      <c r="AB52" s="2">
        <f>SUMIF('2024'!$B:$B,$B52,'2024'!$AI:$AI)</f>
        <v>4359.49</v>
      </c>
      <c r="AC52" s="4">
        <f t="shared" si="10"/>
        <v>3996</v>
      </c>
      <c r="AD52" s="2">
        <f>SUMIF('2025B'!$B:$B,$B52,'2025B'!$AI:$AI)</f>
        <v>12000</v>
      </c>
      <c r="AF52" s="3">
        <f t="shared" si="11"/>
        <v>-8.3379019105445762E-2</v>
      </c>
      <c r="AG52" s="3" t="str">
        <f t="shared" si="12"/>
        <v>N/A</v>
      </c>
      <c r="AH52" s="3" t="str">
        <f t="shared" si="13"/>
        <v>N/A</v>
      </c>
      <c r="AI52" s="3">
        <f t="shared" si="14"/>
        <v>-0.66700000000000004</v>
      </c>
      <c r="AJ52" s="3" t="str">
        <f t="shared" si="15"/>
        <v>N/A</v>
      </c>
      <c r="AK52" s="3"/>
      <c r="AL52" s="4">
        <f t="shared" si="16"/>
        <v>-363.48999999999978</v>
      </c>
      <c r="AM52" s="4">
        <f t="shared" si="17"/>
        <v>3996</v>
      </c>
      <c r="AN52" s="4">
        <f t="shared" si="18"/>
        <v>3996</v>
      </c>
      <c r="AO52" s="4">
        <f t="shared" si="19"/>
        <v>-8004</v>
      </c>
    </row>
    <row r="53" spans="2:41">
      <c r="B53">
        <v>25059</v>
      </c>
      <c r="C53" t="s">
        <v>113</v>
      </c>
      <c r="D53" t="str">
        <f>VLOOKUP($B53, Spa!$B:$P, 15, 0)</f>
        <v>West</v>
      </c>
      <c r="E53" t="str">
        <f>VLOOKUP($B53, Spa!$B:$P, 14, 0)</f>
        <v>Amy</v>
      </c>
      <c r="F53" t="str">
        <f t="shared" si="20"/>
        <v>NKD24</v>
      </c>
      <c r="G53" t="str">
        <f>VLOOKUP($B53, Spa!$B:$P, 12, 0)</f>
        <v>Yes</v>
      </c>
      <c r="H53">
        <f>VLOOKUP($B53, Spa!$B:$P, 3, 0)</f>
        <v>2024</v>
      </c>
      <c r="I53" s="2">
        <f>SUMIF('2022'!$B:$B,$B53, '2022'!$AI:$AI)</f>
        <v>0</v>
      </c>
      <c r="J53" s="2">
        <f>SUMIF('2023'!$B:$B,$B53,'2023'!$AI:$AI)</f>
        <v>0</v>
      </c>
      <c r="K53" s="2">
        <f>SUMIF('2024'!$B:$B,$B53,'2024'!$AI:$AI)</f>
        <v>2469.9699999999998</v>
      </c>
      <c r="L53" s="2">
        <f>SUMIF('2025'!$B:$B,$B53,'2025'!$AI:$AI)</f>
        <v>5002.82</v>
      </c>
      <c r="M53" s="2">
        <f>SUMIF('2025B'!$B:$B,$B53,'2025B'!$AI:$AI)</f>
        <v>12000</v>
      </c>
      <c r="O53" s="3">
        <f t="shared" si="1"/>
        <v>1.0254577990825799</v>
      </c>
      <c r="P53" s="3" t="str">
        <f t="shared" si="2"/>
        <v>N/A</v>
      </c>
      <c r="Q53" s="3" t="str">
        <f t="shared" si="3"/>
        <v>N/A</v>
      </c>
      <c r="R53" s="3">
        <f t="shared" si="4"/>
        <v>-0.58309833333333339</v>
      </c>
      <c r="S53" s="3" t="str">
        <f t="shared" si="5"/>
        <v>N/A</v>
      </c>
      <c r="T53" s="3"/>
      <c r="U53" s="4">
        <f t="shared" si="6"/>
        <v>2532.85</v>
      </c>
      <c r="V53" s="4">
        <f t="shared" si="7"/>
        <v>5002.82</v>
      </c>
      <c r="W53" s="4">
        <f t="shared" si="8"/>
        <v>5002.82</v>
      </c>
      <c r="X53" s="4">
        <f t="shared" si="9"/>
        <v>-6997.18</v>
      </c>
      <c r="Z53" s="2">
        <f>SUMIF('2022'!$B:$B,$B53,'2022'!$AI:$AI)</f>
        <v>0</v>
      </c>
      <c r="AA53" s="2">
        <f>SUMIF('2023'!$B:$B,$B53,'2023'!$AI:$AI)</f>
        <v>0</v>
      </c>
      <c r="AB53" s="2">
        <f>SUMIF('2024'!$B:$B,$B53,'2024'!$AI:$AI)</f>
        <v>2469.9699999999998</v>
      </c>
      <c r="AC53" s="4">
        <f t="shared" si="10"/>
        <v>5002.82</v>
      </c>
      <c r="AD53" s="2">
        <f>SUMIF('2025B'!$B:$B,$B53,'2025B'!$AI:$AI)</f>
        <v>12000</v>
      </c>
      <c r="AF53" s="3">
        <f t="shared" si="11"/>
        <v>1.0254577990825799</v>
      </c>
      <c r="AG53" s="3" t="str">
        <f t="shared" si="12"/>
        <v>N/A</v>
      </c>
      <c r="AH53" s="3" t="str">
        <f t="shared" si="13"/>
        <v>N/A</v>
      </c>
      <c r="AI53" s="3">
        <f t="shared" si="14"/>
        <v>-0.58309833333333339</v>
      </c>
      <c r="AJ53" s="3" t="str">
        <f t="shared" si="15"/>
        <v>N/A</v>
      </c>
      <c r="AK53" s="3"/>
      <c r="AL53" s="4">
        <f t="shared" si="16"/>
        <v>2532.85</v>
      </c>
      <c r="AM53" s="4">
        <f t="shared" si="17"/>
        <v>5002.82</v>
      </c>
      <c r="AN53" s="4">
        <f t="shared" si="18"/>
        <v>5002.82</v>
      </c>
      <c r="AO53" s="4">
        <f t="shared" si="19"/>
        <v>-6997.18</v>
      </c>
    </row>
    <row r="54" spans="2:41">
      <c r="B54">
        <v>25060</v>
      </c>
      <c r="C54" t="s">
        <v>99</v>
      </c>
      <c r="D54" t="str">
        <f>VLOOKUP($B54, Spa!$B:$P, 15, 0)</f>
        <v>Southeast</v>
      </c>
      <c r="E54" t="str">
        <f>VLOOKUP($B54, Spa!$B:$P, 14, 0)</f>
        <v>Lisa</v>
      </c>
      <c r="F54" t="str">
        <f t="shared" si="20"/>
        <v>NKD25</v>
      </c>
      <c r="G54" t="str">
        <f>VLOOKUP($B54, Spa!$B:$P, 12, 0)</f>
        <v>Yes</v>
      </c>
      <c r="H54">
        <f>VLOOKUP($B54, Spa!$B:$P, 3, 0)</f>
        <v>2025</v>
      </c>
      <c r="I54" s="2">
        <f>SUMIF('2022'!$B:$B,$B54, '2022'!$AI:$AI)</f>
        <v>0</v>
      </c>
      <c r="J54" s="2">
        <f>SUMIF('2023'!$B:$B,$B54,'2023'!$AI:$AI)</f>
        <v>0</v>
      </c>
      <c r="K54" s="2">
        <f>SUMIF('2024'!$B:$B,$B54,'2024'!$AI:$AI)</f>
        <v>0</v>
      </c>
      <c r="L54" s="2">
        <f>SUMIF('2025'!$B:$B,$B54,'2025'!$AI:$AI)</f>
        <v>10814.48</v>
      </c>
      <c r="M54" s="2">
        <f>SUMIF('2025B'!$B:$B,$B54,'2025B'!$AI:$AI)</f>
        <v>0</v>
      </c>
      <c r="O54" s="3" t="str">
        <f t="shared" si="1"/>
        <v>N/A</v>
      </c>
      <c r="P54" s="3" t="str">
        <f t="shared" si="2"/>
        <v>N/A</v>
      </c>
      <c r="Q54" s="3" t="str">
        <f t="shared" si="3"/>
        <v>N/A</v>
      </c>
      <c r="R54" s="3" t="str">
        <f t="shared" si="4"/>
        <v>N/A</v>
      </c>
      <c r="S54" s="3" t="str">
        <f t="shared" si="5"/>
        <v>N/A</v>
      </c>
      <c r="T54" s="3"/>
      <c r="U54" s="4">
        <f t="shared" si="6"/>
        <v>10814.48</v>
      </c>
      <c r="V54" s="4">
        <f t="shared" si="7"/>
        <v>10814.48</v>
      </c>
      <c r="W54" s="4">
        <f t="shared" si="8"/>
        <v>10814.48</v>
      </c>
      <c r="X54" s="4">
        <f t="shared" si="9"/>
        <v>10814.48</v>
      </c>
      <c r="Z54" s="2">
        <f>SUMIF('2022'!$B:$B,$B54,'2022'!$AI:$AI)</f>
        <v>0</v>
      </c>
      <c r="AA54" s="2">
        <f>SUMIF('2023'!$B:$B,$B54,'2023'!$AI:$AI)</f>
        <v>0</v>
      </c>
      <c r="AB54" s="2">
        <f>SUMIF('2024'!$B:$B,$B54,'2024'!$AI:$AI)</f>
        <v>0</v>
      </c>
      <c r="AC54" s="4">
        <f t="shared" si="10"/>
        <v>10814.48</v>
      </c>
      <c r="AD54" s="2">
        <f>SUMIF('2025B'!$B:$B,$B54,'2025B'!$AI:$AI)</f>
        <v>0</v>
      </c>
      <c r="AF54" s="3" t="str">
        <f t="shared" si="11"/>
        <v>N/A</v>
      </c>
      <c r="AG54" s="3" t="str">
        <f t="shared" si="12"/>
        <v>N/A</v>
      </c>
      <c r="AH54" s="3" t="str">
        <f t="shared" si="13"/>
        <v>N/A</v>
      </c>
      <c r="AI54" s="3" t="str">
        <f t="shared" si="14"/>
        <v>N/A</v>
      </c>
      <c r="AJ54" s="3" t="str">
        <f t="shared" si="15"/>
        <v>N/A</v>
      </c>
      <c r="AK54" s="3"/>
      <c r="AL54" s="4">
        <f t="shared" si="16"/>
        <v>10814.48</v>
      </c>
      <c r="AM54" s="4">
        <f t="shared" si="17"/>
        <v>10814.48</v>
      </c>
      <c r="AN54" s="4">
        <f t="shared" si="18"/>
        <v>10814.48</v>
      </c>
      <c r="AO54" s="4">
        <f t="shared" si="19"/>
        <v>10814.48</v>
      </c>
    </row>
    <row r="55" spans="2:41">
      <c r="B55">
        <v>25061</v>
      </c>
      <c r="C55" t="s">
        <v>80</v>
      </c>
      <c r="D55" t="str">
        <f>VLOOKUP($B55, Spa!$B:$P, 15, 0)</f>
        <v>Northeast</v>
      </c>
      <c r="E55" t="str">
        <f>VLOOKUP($B55, Spa!$B:$P, 14, 0)</f>
        <v>Emily</v>
      </c>
      <c r="F55" t="str">
        <f t="shared" si="20"/>
        <v>NKD25</v>
      </c>
      <c r="G55" t="str">
        <f>VLOOKUP($B55, Spa!$B:$P, 12, 0)</f>
        <v>Yes</v>
      </c>
      <c r="H55">
        <f>VLOOKUP($B55, Spa!$B:$P, 3, 0)</f>
        <v>2025</v>
      </c>
      <c r="I55" s="2">
        <f>SUMIF('2022'!$B:$B,$B55, '2022'!$AI:$AI)</f>
        <v>0</v>
      </c>
      <c r="J55" s="2">
        <f>SUMIF('2023'!$B:$B,$B55,'2023'!$AI:$AI)</f>
        <v>0</v>
      </c>
      <c r="K55" s="2">
        <f>SUMIF('2024'!$B:$B,$B55,'2024'!$AI:$AI)</f>
        <v>0</v>
      </c>
      <c r="L55" s="2">
        <f>SUMIF('2025'!$B:$B,$B55,'2025'!$AI:$AI)</f>
        <v>6871.7900000000009</v>
      </c>
      <c r="M55" s="2">
        <f>SUMIF('2025B'!$B:$B,$B55,'2025B'!$AI:$AI)</f>
        <v>0</v>
      </c>
      <c r="O55" s="3" t="str">
        <f t="shared" si="1"/>
        <v>N/A</v>
      </c>
      <c r="P55" s="3" t="str">
        <f t="shared" si="2"/>
        <v>N/A</v>
      </c>
      <c r="Q55" s="3" t="str">
        <f t="shared" si="3"/>
        <v>N/A</v>
      </c>
      <c r="R55" s="3" t="str">
        <f t="shared" si="4"/>
        <v>N/A</v>
      </c>
      <c r="S55" s="3" t="str">
        <f t="shared" si="5"/>
        <v>N/A</v>
      </c>
      <c r="T55" s="3"/>
      <c r="U55" s="4">
        <f t="shared" si="6"/>
        <v>6871.7900000000009</v>
      </c>
      <c r="V55" s="4">
        <f t="shared" si="7"/>
        <v>6871.7900000000009</v>
      </c>
      <c r="W55" s="4">
        <f t="shared" si="8"/>
        <v>6871.7900000000009</v>
      </c>
      <c r="X55" s="4">
        <f t="shared" si="9"/>
        <v>6871.7900000000009</v>
      </c>
      <c r="Z55" s="2">
        <f>SUMIF('2022'!$B:$B,$B55,'2022'!$AI:$AI)</f>
        <v>0</v>
      </c>
      <c r="AA55" s="2">
        <f>SUMIF('2023'!$B:$B,$B55,'2023'!$AI:$AI)</f>
        <v>0</v>
      </c>
      <c r="AB55" s="2">
        <f>SUMIF('2024'!$B:$B,$B55,'2024'!$AI:$AI)</f>
        <v>0</v>
      </c>
      <c r="AC55" s="4">
        <f t="shared" si="10"/>
        <v>6871.7900000000009</v>
      </c>
      <c r="AD55" s="2">
        <f>SUMIF('2025B'!$B:$B,$B55,'2025B'!$AI:$AI)</f>
        <v>0</v>
      </c>
      <c r="AF55" s="3" t="str">
        <f t="shared" si="11"/>
        <v>N/A</v>
      </c>
      <c r="AG55" s="3" t="str">
        <f t="shared" si="12"/>
        <v>N/A</v>
      </c>
      <c r="AH55" s="3" t="str">
        <f t="shared" si="13"/>
        <v>N/A</v>
      </c>
      <c r="AI55" s="3" t="str">
        <f t="shared" si="14"/>
        <v>N/A</v>
      </c>
      <c r="AJ55" s="3" t="str">
        <f t="shared" si="15"/>
        <v>N/A</v>
      </c>
      <c r="AK55" s="3"/>
      <c r="AL55" s="4">
        <f t="shared" si="16"/>
        <v>6871.7900000000009</v>
      </c>
      <c r="AM55" s="4">
        <f t="shared" si="17"/>
        <v>6871.7900000000009</v>
      </c>
      <c r="AN55" s="4">
        <f t="shared" si="18"/>
        <v>6871.7900000000009</v>
      </c>
      <c r="AO55" s="4">
        <f t="shared" si="19"/>
        <v>6871.7900000000009</v>
      </c>
    </row>
    <row r="56" spans="2:41">
      <c r="B56">
        <v>25063</v>
      </c>
      <c r="C56" t="s">
        <v>131</v>
      </c>
      <c r="D56" t="str">
        <f>VLOOKUP($B56, Spa!$B:$P, 15, 0)</f>
        <v>Southeast</v>
      </c>
      <c r="E56" t="str">
        <f>VLOOKUP($B56, Spa!$B:$P, 14, 0)</f>
        <v>Lisa</v>
      </c>
      <c r="F56" t="str">
        <f t="shared" si="20"/>
        <v>NKD25</v>
      </c>
      <c r="G56" t="str">
        <f>VLOOKUP($B56, Spa!$B:$P, 12, 0)</f>
        <v>Yes</v>
      </c>
      <c r="H56">
        <f>VLOOKUP($B56, Spa!$B:$P, 3, 0)</f>
        <v>2025</v>
      </c>
      <c r="I56" s="2">
        <f>SUMIF('2022'!$B:$B,$B56, '2022'!$AI:$AI)</f>
        <v>0</v>
      </c>
      <c r="J56" s="2">
        <f>SUMIF('2023'!$B:$B,$B56,'2023'!$AI:$AI)</f>
        <v>0</v>
      </c>
      <c r="K56" s="2">
        <f>SUMIF('2024'!$B:$B,$B56,'2024'!$AI:$AI)</f>
        <v>0</v>
      </c>
      <c r="L56" s="2">
        <f>SUMIF('2025'!$B:$B,$B56,'2025'!$AI:$AI)</f>
        <v>7189.44</v>
      </c>
      <c r="M56" s="2">
        <f>SUMIF('2025B'!$B:$B,$B56,'2025B'!$AI:$AI)</f>
        <v>0</v>
      </c>
      <c r="O56" s="3" t="str">
        <f t="shared" si="1"/>
        <v>N/A</v>
      </c>
      <c r="P56" s="3" t="str">
        <f t="shared" si="2"/>
        <v>N/A</v>
      </c>
      <c r="Q56" s="3" t="str">
        <f t="shared" si="3"/>
        <v>N/A</v>
      </c>
      <c r="R56" s="3" t="str">
        <f t="shared" si="4"/>
        <v>N/A</v>
      </c>
      <c r="S56" s="3" t="str">
        <f t="shared" si="5"/>
        <v>N/A</v>
      </c>
      <c r="T56" s="3"/>
      <c r="U56" s="4">
        <f t="shared" si="6"/>
        <v>7189.44</v>
      </c>
      <c r="V56" s="4">
        <f t="shared" si="7"/>
        <v>7189.44</v>
      </c>
      <c r="W56" s="4">
        <f t="shared" si="8"/>
        <v>7189.44</v>
      </c>
      <c r="X56" s="4">
        <f t="shared" si="9"/>
        <v>7189.44</v>
      </c>
      <c r="Z56" s="2">
        <f>SUMIF('2022'!$B:$B,$B56,'2022'!$AI:$AI)</f>
        <v>0</v>
      </c>
      <c r="AA56" s="2">
        <f>SUMIF('2023'!$B:$B,$B56,'2023'!$AI:$AI)</f>
        <v>0</v>
      </c>
      <c r="AB56" s="2">
        <f>SUMIF('2024'!$B:$B,$B56,'2024'!$AI:$AI)</f>
        <v>0</v>
      </c>
      <c r="AC56" s="4">
        <f t="shared" si="10"/>
        <v>7189.44</v>
      </c>
      <c r="AD56" s="2">
        <f>SUMIF('2025B'!$B:$B,$B56,'2025B'!$AI:$AI)</f>
        <v>0</v>
      </c>
      <c r="AF56" s="3" t="str">
        <f t="shared" si="11"/>
        <v>N/A</v>
      </c>
      <c r="AG56" s="3" t="str">
        <f t="shared" si="12"/>
        <v>N/A</v>
      </c>
      <c r="AH56" s="3" t="str">
        <f t="shared" si="13"/>
        <v>N/A</v>
      </c>
      <c r="AI56" s="3" t="str">
        <f t="shared" si="14"/>
        <v>N/A</v>
      </c>
      <c r="AJ56" s="3" t="str">
        <f t="shared" si="15"/>
        <v>N/A</v>
      </c>
      <c r="AK56" s="3"/>
      <c r="AL56" s="4">
        <f t="shared" si="16"/>
        <v>7189.44</v>
      </c>
      <c r="AM56" s="4">
        <f t="shared" si="17"/>
        <v>7189.44</v>
      </c>
      <c r="AN56" s="4">
        <f t="shared" si="18"/>
        <v>7189.44</v>
      </c>
      <c r="AO56" s="4">
        <f t="shared" si="19"/>
        <v>7189.44</v>
      </c>
    </row>
    <row r="57" spans="2:41">
      <c r="B57">
        <v>25062</v>
      </c>
      <c r="C57" t="s">
        <v>81</v>
      </c>
      <c r="D57" t="str">
        <f>VLOOKUP($B57, Spa!$B:$P, 15, 0)</f>
        <v>Northeast</v>
      </c>
      <c r="E57" t="str">
        <f>VLOOKUP($B57, Spa!$B:$P, 14, 0)</f>
        <v>Emily</v>
      </c>
      <c r="F57" t="str">
        <f t="shared" si="20"/>
        <v>NKD25</v>
      </c>
      <c r="G57" t="str">
        <f>VLOOKUP($B57, Spa!$B:$P, 12, 0)</f>
        <v>Yes</v>
      </c>
      <c r="H57">
        <f>VLOOKUP($B57, Spa!$B:$P, 3, 0)</f>
        <v>2025</v>
      </c>
      <c r="I57" s="2">
        <f>SUMIF('2022'!$B:$B,$B57, '2022'!$AI:$AI)</f>
        <v>0</v>
      </c>
      <c r="J57" s="2">
        <f>SUMIF('2023'!$B:$B,$B57,'2023'!$AI:$AI)</f>
        <v>0</v>
      </c>
      <c r="K57" s="2">
        <f>SUMIF('2024'!$B:$B,$B57,'2024'!$AI:$AI)</f>
        <v>0</v>
      </c>
      <c r="L57" s="2">
        <f>SUMIF('2025'!$B:$B,$B57,'2025'!$AI:$AI)</f>
        <v>3844.76</v>
      </c>
      <c r="M57" s="2">
        <f>SUMIF('2025B'!$B:$B,$B57,'2025B'!$AI:$AI)</f>
        <v>0</v>
      </c>
      <c r="O57" s="3" t="str">
        <f t="shared" si="1"/>
        <v>N/A</v>
      </c>
      <c r="P57" s="3" t="str">
        <f t="shared" si="2"/>
        <v>N/A</v>
      </c>
      <c r="Q57" s="3" t="str">
        <f t="shared" si="3"/>
        <v>N/A</v>
      </c>
      <c r="R57" s="3" t="str">
        <f t="shared" si="4"/>
        <v>N/A</v>
      </c>
      <c r="S57" s="3" t="str">
        <f t="shared" si="5"/>
        <v>N/A</v>
      </c>
      <c r="T57" s="3"/>
      <c r="U57" s="4">
        <f t="shared" si="6"/>
        <v>3844.76</v>
      </c>
      <c r="V57" s="4">
        <f t="shared" si="7"/>
        <v>3844.76</v>
      </c>
      <c r="W57" s="4">
        <f t="shared" si="8"/>
        <v>3844.76</v>
      </c>
      <c r="X57" s="4">
        <f t="shared" si="9"/>
        <v>3844.76</v>
      </c>
      <c r="Z57" s="2">
        <f>SUMIF('2022'!$B:$B,$B57,'2022'!$AI:$AI)</f>
        <v>0</v>
      </c>
      <c r="AA57" s="2">
        <f>SUMIF('2023'!$B:$B,$B57,'2023'!$AI:$AI)</f>
        <v>0</v>
      </c>
      <c r="AB57" s="2">
        <f>SUMIF('2024'!$B:$B,$B57,'2024'!$AI:$AI)</f>
        <v>0</v>
      </c>
      <c r="AC57" s="4">
        <f t="shared" si="10"/>
        <v>3844.76</v>
      </c>
      <c r="AD57" s="2">
        <f>SUMIF('2025B'!$B:$B,$B57,'2025B'!$AI:$AI)</f>
        <v>0</v>
      </c>
      <c r="AF57" s="3" t="str">
        <f t="shared" si="11"/>
        <v>N/A</v>
      </c>
      <c r="AG57" s="3" t="str">
        <f t="shared" si="12"/>
        <v>N/A</v>
      </c>
      <c r="AH57" s="3" t="str">
        <f t="shared" si="13"/>
        <v>N/A</v>
      </c>
      <c r="AI57" s="3" t="str">
        <f t="shared" si="14"/>
        <v>N/A</v>
      </c>
      <c r="AJ57" s="3" t="str">
        <f t="shared" si="15"/>
        <v>N/A</v>
      </c>
      <c r="AK57" s="3"/>
      <c r="AL57" s="4">
        <f t="shared" si="16"/>
        <v>3844.76</v>
      </c>
      <c r="AM57" s="4">
        <f t="shared" si="17"/>
        <v>3844.76</v>
      </c>
      <c r="AN57" s="4">
        <f t="shared" si="18"/>
        <v>3844.76</v>
      </c>
      <c r="AO57" s="4">
        <f t="shared" si="19"/>
        <v>3844.76</v>
      </c>
    </row>
    <row r="58" spans="2:41">
      <c r="B58">
        <v>25064</v>
      </c>
      <c r="C58" t="s">
        <v>114</v>
      </c>
      <c r="D58" t="str">
        <f>VLOOKUP($B58, Spa!$B:$P, 15, 0)</f>
        <v>West</v>
      </c>
      <c r="E58" t="str">
        <f>VLOOKUP($B58, Spa!$B:$P, 14, 0)</f>
        <v>Amy</v>
      </c>
      <c r="F58" t="str">
        <f t="shared" si="20"/>
        <v>NKD25</v>
      </c>
      <c r="G58" t="str">
        <f>VLOOKUP($B58, Spa!$B:$P, 12, 0)</f>
        <v>Yes</v>
      </c>
      <c r="H58">
        <f>VLOOKUP($B58, Spa!$B:$P, 3, 0)</f>
        <v>2025</v>
      </c>
      <c r="I58" s="2">
        <f>SUMIF('2022'!$B:$B,$B58, '2022'!$AI:$AI)</f>
        <v>0</v>
      </c>
      <c r="J58" s="2">
        <f>SUMIF('2023'!$B:$B,$B58,'2023'!$AI:$AI)</f>
        <v>0</v>
      </c>
      <c r="K58" s="2">
        <f>SUMIF('2024'!$B:$B,$B58,'2024'!$AI:$AI)</f>
        <v>0</v>
      </c>
      <c r="L58" s="2">
        <f>SUMIF('2025'!$B:$B,$B58,'2025'!$AI:$AI)</f>
        <v>2111.7600000000002</v>
      </c>
      <c r="M58" s="2">
        <f>SUMIF('2025B'!$B:$B,$B58,'2025B'!$AI:$AI)</f>
        <v>0</v>
      </c>
      <c r="O58" s="3" t="str">
        <f t="shared" si="1"/>
        <v>N/A</v>
      </c>
      <c r="P58" s="3" t="str">
        <f t="shared" si="2"/>
        <v>N/A</v>
      </c>
      <c r="Q58" s="3" t="str">
        <f t="shared" si="3"/>
        <v>N/A</v>
      </c>
      <c r="R58" s="3" t="str">
        <f t="shared" si="4"/>
        <v>N/A</v>
      </c>
      <c r="S58" s="3" t="str">
        <f t="shared" si="5"/>
        <v>N/A</v>
      </c>
      <c r="T58" s="3"/>
      <c r="U58" s="4">
        <f t="shared" si="6"/>
        <v>2111.7600000000002</v>
      </c>
      <c r="V58" s="4">
        <f t="shared" si="7"/>
        <v>2111.7600000000002</v>
      </c>
      <c r="W58" s="4">
        <f t="shared" si="8"/>
        <v>2111.7600000000002</v>
      </c>
      <c r="X58" s="4">
        <f t="shared" si="9"/>
        <v>2111.7600000000002</v>
      </c>
      <c r="Z58" s="2">
        <f>SUMIF('2022'!$B:$B,$B58,'2022'!$AI:$AI)</f>
        <v>0</v>
      </c>
      <c r="AA58" s="2">
        <f>SUMIF('2023'!$B:$B,$B58,'2023'!$AI:$AI)</f>
        <v>0</v>
      </c>
      <c r="AB58" s="2">
        <f>SUMIF('2024'!$B:$B,$B58,'2024'!$AI:$AI)</f>
        <v>0</v>
      </c>
      <c r="AC58" s="4">
        <f t="shared" si="10"/>
        <v>2111.7600000000002</v>
      </c>
      <c r="AD58" s="2">
        <f>SUMIF('2025B'!$B:$B,$B58,'2025B'!$AI:$AI)</f>
        <v>0</v>
      </c>
      <c r="AF58" s="3" t="str">
        <f t="shared" si="11"/>
        <v>N/A</v>
      </c>
      <c r="AG58" s="3" t="str">
        <f t="shared" si="12"/>
        <v>N/A</v>
      </c>
      <c r="AH58" s="3" t="str">
        <f t="shared" si="13"/>
        <v>N/A</v>
      </c>
      <c r="AI58" s="3" t="str">
        <f t="shared" si="14"/>
        <v>N/A</v>
      </c>
      <c r="AJ58" s="3" t="str">
        <f t="shared" si="15"/>
        <v>N/A</v>
      </c>
      <c r="AK58" s="3"/>
      <c r="AL58" s="4">
        <f t="shared" si="16"/>
        <v>2111.7600000000002</v>
      </c>
      <c r="AM58" s="4">
        <f t="shared" si="17"/>
        <v>2111.7600000000002</v>
      </c>
      <c r="AN58" s="4">
        <f t="shared" si="18"/>
        <v>2111.7600000000002</v>
      </c>
      <c r="AO58" s="4">
        <f t="shared" si="19"/>
        <v>2111.7600000000002</v>
      </c>
    </row>
    <row r="59" spans="2:41">
      <c r="B59">
        <v>25065</v>
      </c>
      <c r="C59" t="s">
        <v>115</v>
      </c>
      <c r="D59" t="str">
        <f>VLOOKUP($B59, Spa!$B:$P, 15, 0)</f>
        <v>West</v>
      </c>
      <c r="E59" t="str">
        <f>VLOOKUP($B59, Spa!$B:$P, 14, 0)</f>
        <v>Amy</v>
      </c>
      <c r="F59" t="str">
        <f t="shared" si="20"/>
        <v>NKD25</v>
      </c>
      <c r="G59" t="str">
        <f>VLOOKUP($B59, Spa!$B:$P, 12, 0)</f>
        <v>Yes</v>
      </c>
      <c r="H59">
        <f>VLOOKUP($B59, Spa!$B:$P, 3, 0)</f>
        <v>2025</v>
      </c>
      <c r="I59" s="2">
        <f>SUMIF('2022'!$B:$B,$B59, '2022'!$AI:$AI)</f>
        <v>0</v>
      </c>
      <c r="J59" s="2">
        <f>SUMIF('2023'!$B:$B,$B59,'2023'!$AI:$AI)</f>
        <v>0</v>
      </c>
      <c r="K59" s="2">
        <f>SUMIF('2024'!$B:$B,$B59,'2024'!$AI:$AI)</f>
        <v>0</v>
      </c>
      <c r="L59" s="2">
        <f>SUMIF('2025'!$B:$B,$B59,'2025'!$AI:$AI)</f>
        <v>4155</v>
      </c>
      <c r="M59" s="2">
        <f>SUMIF('2025B'!$B:$B,$B59,'2025B'!$AI:$AI)</f>
        <v>0</v>
      </c>
      <c r="O59" s="3" t="str">
        <f t="shared" si="1"/>
        <v>N/A</v>
      </c>
      <c r="P59" s="3" t="str">
        <f t="shared" si="2"/>
        <v>N/A</v>
      </c>
      <c r="Q59" s="3" t="str">
        <f t="shared" si="3"/>
        <v>N/A</v>
      </c>
      <c r="R59" s="3" t="str">
        <f t="shared" si="4"/>
        <v>N/A</v>
      </c>
      <c r="S59" s="3" t="str">
        <f t="shared" si="5"/>
        <v>N/A</v>
      </c>
      <c r="T59" s="3"/>
      <c r="U59" s="4">
        <f t="shared" si="6"/>
        <v>4155</v>
      </c>
      <c r="V59" s="4">
        <f t="shared" si="7"/>
        <v>4155</v>
      </c>
      <c r="W59" s="4">
        <f t="shared" si="8"/>
        <v>4155</v>
      </c>
      <c r="X59" s="4">
        <f t="shared" si="9"/>
        <v>4155</v>
      </c>
      <c r="Z59" s="2">
        <f>SUMIF('2022'!$B:$B,$B59,'2022'!$AI:$AI)</f>
        <v>0</v>
      </c>
      <c r="AA59" s="2">
        <f>SUMIF('2023'!$B:$B,$B59,'2023'!$AI:$AI)</f>
        <v>0</v>
      </c>
      <c r="AB59" s="2">
        <f>SUMIF('2024'!$B:$B,$B59,'2024'!$AI:$AI)</f>
        <v>0</v>
      </c>
      <c r="AC59" s="4">
        <f t="shared" si="10"/>
        <v>4155</v>
      </c>
      <c r="AD59" s="2">
        <f>SUMIF('2025B'!$B:$B,$B59,'2025B'!$AI:$AI)</f>
        <v>0</v>
      </c>
      <c r="AF59" s="3" t="str">
        <f t="shared" si="11"/>
        <v>N/A</v>
      </c>
      <c r="AG59" s="3" t="str">
        <f t="shared" si="12"/>
        <v>N/A</v>
      </c>
      <c r="AH59" s="3" t="str">
        <f t="shared" si="13"/>
        <v>N/A</v>
      </c>
      <c r="AI59" s="3" t="str">
        <f t="shared" si="14"/>
        <v>N/A</v>
      </c>
      <c r="AJ59" s="3" t="str">
        <f t="shared" si="15"/>
        <v>N/A</v>
      </c>
      <c r="AK59" s="3"/>
      <c r="AL59" s="4">
        <f t="shared" si="16"/>
        <v>4155</v>
      </c>
      <c r="AM59" s="4">
        <f t="shared" si="17"/>
        <v>4155</v>
      </c>
      <c r="AN59" s="4">
        <f t="shared" si="18"/>
        <v>4155</v>
      </c>
      <c r="AO59" s="4">
        <f t="shared" si="19"/>
        <v>4155</v>
      </c>
    </row>
    <row r="60" spans="2:41">
      <c r="B60">
        <v>25066</v>
      </c>
      <c r="C60" t="s">
        <v>116</v>
      </c>
      <c r="D60" t="str">
        <f>VLOOKUP($B60, Spa!$B:$P, 15, 0)</f>
        <v>West</v>
      </c>
      <c r="E60" t="str">
        <f>VLOOKUP($B60, Spa!$B:$P, 14, 0)</f>
        <v>Amy</v>
      </c>
      <c r="F60" t="str">
        <f t="shared" si="20"/>
        <v>NKD25</v>
      </c>
      <c r="G60" t="str">
        <f>VLOOKUP($B60, Spa!$B:$P, 12, 0)</f>
        <v>Yes</v>
      </c>
      <c r="H60">
        <f>VLOOKUP($B60, Spa!$B:$P, 3, 0)</f>
        <v>2025</v>
      </c>
      <c r="I60" s="2">
        <f>SUMIF('2022'!$B:$B,$B60, '2022'!$AI:$AI)</f>
        <v>0</v>
      </c>
      <c r="J60" s="2">
        <f>SUMIF('2023'!$B:$B,$B60,'2023'!$AI:$AI)</f>
        <v>0</v>
      </c>
      <c r="K60" s="2">
        <f>SUMIF('2024'!$B:$B,$B60,'2024'!$AI:$AI)</f>
        <v>0</v>
      </c>
      <c r="L60" s="2">
        <f>SUMIF('2025'!$B:$B,$B60,'2025'!$AI:$AI)</f>
        <v>20154.800000000003</v>
      </c>
      <c r="M60" s="2">
        <f>SUMIF('2025B'!$B:$B,$B60,'2025B'!$AI:$AI)</f>
        <v>0</v>
      </c>
      <c r="O60" s="3" t="str">
        <f t="shared" si="1"/>
        <v>N/A</v>
      </c>
      <c r="P60" s="3" t="str">
        <f t="shared" si="2"/>
        <v>N/A</v>
      </c>
      <c r="Q60" s="3" t="str">
        <f t="shared" si="3"/>
        <v>N/A</v>
      </c>
      <c r="R60" s="3" t="str">
        <f t="shared" si="4"/>
        <v>N/A</v>
      </c>
      <c r="S60" s="3" t="str">
        <f t="shared" si="5"/>
        <v>N/A</v>
      </c>
      <c r="T60" s="3"/>
      <c r="U60" s="4">
        <f t="shared" si="6"/>
        <v>20154.800000000003</v>
      </c>
      <c r="V60" s="4">
        <f t="shared" si="7"/>
        <v>20154.800000000003</v>
      </c>
      <c r="W60" s="4">
        <f t="shared" si="8"/>
        <v>20154.800000000003</v>
      </c>
      <c r="X60" s="4">
        <f t="shared" si="9"/>
        <v>20154.800000000003</v>
      </c>
      <c r="Z60" s="2">
        <f>SUMIF('2022'!$B:$B,$B60,'2022'!$AI:$AI)</f>
        <v>0</v>
      </c>
      <c r="AA60" s="2">
        <f>SUMIF('2023'!$B:$B,$B60,'2023'!$AI:$AI)</f>
        <v>0</v>
      </c>
      <c r="AB60" s="2">
        <f>SUMIF('2024'!$B:$B,$B60,'2024'!$AI:$AI)</f>
        <v>0</v>
      </c>
      <c r="AC60" s="4">
        <f t="shared" si="10"/>
        <v>20154.800000000003</v>
      </c>
      <c r="AD60" s="2">
        <f>SUMIF('2025B'!$B:$B,$B60,'2025B'!$AI:$AI)</f>
        <v>0</v>
      </c>
      <c r="AF60" s="3" t="str">
        <f t="shared" si="11"/>
        <v>N/A</v>
      </c>
      <c r="AG60" s="3" t="str">
        <f t="shared" si="12"/>
        <v>N/A</v>
      </c>
      <c r="AH60" s="3" t="str">
        <f t="shared" si="13"/>
        <v>N/A</v>
      </c>
      <c r="AI60" s="3" t="str">
        <f t="shared" si="14"/>
        <v>N/A</v>
      </c>
      <c r="AJ60" s="3" t="str">
        <f t="shared" si="15"/>
        <v>N/A</v>
      </c>
      <c r="AK60" s="3"/>
      <c r="AL60" s="4">
        <f t="shared" si="16"/>
        <v>20154.800000000003</v>
      </c>
      <c r="AM60" s="4">
        <f t="shared" si="17"/>
        <v>20154.800000000003</v>
      </c>
      <c r="AN60" s="4">
        <f t="shared" si="18"/>
        <v>20154.800000000003</v>
      </c>
      <c r="AO60" s="4">
        <f t="shared" si="19"/>
        <v>20154.800000000003</v>
      </c>
    </row>
    <row r="61" spans="2:41">
      <c r="B61">
        <v>25067</v>
      </c>
      <c r="C61" t="s">
        <v>117</v>
      </c>
      <c r="D61" t="str">
        <f>VLOOKUP($B61, Spa!$B:$P, 15, 0)</f>
        <v>West</v>
      </c>
      <c r="E61" t="str">
        <f>VLOOKUP($B61, Spa!$B:$P, 14, 0)</f>
        <v>Amy</v>
      </c>
      <c r="F61" t="str">
        <f t="shared" si="20"/>
        <v>NKD25</v>
      </c>
      <c r="G61" t="str">
        <f>VLOOKUP($B61, Spa!$B:$P, 12, 0)</f>
        <v>Yes</v>
      </c>
      <c r="H61">
        <f>VLOOKUP($B61, Spa!$B:$P, 3, 0)</f>
        <v>2025</v>
      </c>
      <c r="I61" s="2">
        <f>SUMIF('2022'!$B:$B,$B61, '2022'!$AI:$AI)</f>
        <v>0</v>
      </c>
      <c r="J61" s="2">
        <f>SUMIF('2023'!$B:$B,$B61,'2023'!$AI:$AI)</f>
        <v>0</v>
      </c>
      <c r="K61" s="2">
        <f>SUMIF('2024'!$B:$B,$B61,'2024'!$AI:$AI)</f>
        <v>0</v>
      </c>
      <c r="L61" s="2">
        <f>SUMIF('2025'!$B:$B,$B61,'2025'!$AI:$AI)</f>
        <v>25962.32</v>
      </c>
      <c r="M61" s="2">
        <f>SUMIF('2025B'!$B:$B,$B61,'2025B'!$AI:$AI)</f>
        <v>0</v>
      </c>
      <c r="O61" s="3" t="str">
        <f t="shared" si="1"/>
        <v>N/A</v>
      </c>
      <c r="P61" s="3" t="str">
        <f t="shared" si="2"/>
        <v>N/A</v>
      </c>
      <c r="Q61" s="3" t="str">
        <f t="shared" si="3"/>
        <v>N/A</v>
      </c>
      <c r="R61" s="3" t="str">
        <f t="shared" si="4"/>
        <v>N/A</v>
      </c>
      <c r="S61" s="3" t="str">
        <f t="shared" si="5"/>
        <v>N/A</v>
      </c>
      <c r="T61" s="3"/>
      <c r="U61" s="4">
        <f t="shared" si="6"/>
        <v>25962.32</v>
      </c>
      <c r="V61" s="4">
        <f t="shared" si="7"/>
        <v>25962.32</v>
      </c>
      <c r="W61" s="4">
        <f t="shared" si="8"/>
        <v>25962.32</v>
      </c>
      <c r="X61" s="4">
        <f t="shared" si="9"/>
        <v>25962.32</v>
      </c>
      <c r="Z61" s="2">
        <f>SUMIF('2022'!$B:$B,$B61,'2022'!$AI:$AI)</f>
        <v>0</v>
      </c>
      <c r="AA61" s="2">
        <f>SUMIF('2023'!$B:$B,$B61,'2023'!$AI:$AI)</f>
        <v>0</v>
      </c>
      <c r="AB61" s="2">
        <f>SUMIF('2024'!$B:$B,$B61,'2024'!$AI:$AI)</f>
        <v>0</v>
      </c>
      <c r="AC61" s="4">
        <f t="shared" si="10"/>
        <v>25962.32</v>
      </c>
      <c r="AD61" s="2">
        <f>SUMIF('2025B'!$B:$B,$B61,'2025B'!$AI:$AI)</f>
        <v>0</v>
      </c>
      <c r="AF61" s="3" t="str">
        <f t="shared" si="11"/>
        <v>N/A</v>
      </c>
      <c r="AG61" s="3" t="str">
        <f t="shared" si="12"/>
        <v>N/A</v>
      </c>
      <c r="AH61" s="3" t="str">
        <f t="shared" si="13"/>
        <v>N/A</v>
      </c>
      <c r="AI61" s="3" t="str">
        <f t="shared" si="14"/>
        <v>N/A</v>
      </c>
      <c r="AJ61" s="3" t="str">
        <f t="shared" si="15"/>
        <v>N/A</v>
      </c>
      <c r="AK61" s="3"/>
      <c r="AL61" s="4">
        <f t="shared" si="16"/>
        <v>25962.32</v>
      </c>
      <c r="AM61" s="4">
        <f t="shared" si="17"/>
        <v>25962.32</v>
      </c>
      <c r="AN61" s="4">
        <f t="shared" si="18"/>
        <v>25962.32</v>
      </c>
      <c r="AO61" s="4">
        <f t="shared" si="19"/>
        <v>25962.32</v>
      </c>
    </row>
    <row r="62" spans="2:41">
      <c r="B62">
        <v>25068</v>
      </c>
      <c r="C62" t="s">
        <v>95</v>
      </c>
      <c r="D62" t="str">
        <f>VLOOKUP($B62, Spa!$B:$P, 15, 0)</f>
        <v>Central</v>
      </c>
      <c r="E62" t="str">
        <f>VLOOKUP($B62, Spa!$B:$P, 14, 0)</f>
        <v>Emily</v>
      </c>
      <c r="F62" t="str">
        <f t="shared" si="20"/>
        <v>NKD25</v>
      </c>
      <c r="G62" t="str">
        <f>VLOOKUP($B62, Spa!$B:$P, 12, 0)</f>
        <v>Yes</v>
      </c>
      <c r="H62">
        <f>VLOOKUP($B62, Spa!$B:$P, 3, 0)</f>
        <v>2025</v>
      </c>
      <c r="I62" s="2">
        <f>SUMIF('2022'!$B:$B,$B62, '2022'!$AI:$AI)</f>
        <v>0</v>
      </c>
      <c r="J62" s="2">
        <f>SUMIF('2023'!$B:$B,$B62,'2023'!$AI:$AI)</f>
        <v>0</v>
      </c>
      <c r="K62" s="2">
        <f>SUMIF('2024'!$B:$B,$B62,'2024'!$AI:$AI)</f>
        <v>0</v>
      </c>
      <c r="L62" s="2">
        <f>SUMIF('2025'!$B:$B,$B62,'2025'!$AI:$AI)</f>
        <v>9538</v>
      </c>
      <c r="M62" s="2">
        <f>SUMIF('2025B'!$B:$B,$B62,'2025B'!$AI:$AI)</f>
        <v>0</v>
      </c>
      <c r="O62" s="3" t="str">
        <f t="shared" si="1"/>
        <v>N/A</v>
      </c>
      <c r="P62" s="3" t="str">
        <f t="shared" si="2"/>
        <v>N/A</v>
      </c>
      <c r="Q62" s="3" t="str">
        <f t="shared" si="3"/>
        <v>N/A</v>
      </c>
      <c r="R62" s="3" t="str">
        <f t="shared" si="4"/>
        <v>N/A</v>
      </c>
      <c r="S62" s="3" t="str">
        <f t="shared" si="5"/>
        <v>N/A</v>
      </c>
      <c r="T62" s="3"/>
      <c r="U62" s="4">
        <f t="shared" si="6"/>
        <v>9538</v>
      </c>
      <c r="V62" s="4">
        <f t="shared" si="7"/>
        <v>9538</v>
      </c>
      <c r="W62" s="4">
        <f t="shared" si="8"/>
        <v>9538</v>
      </c>
      <c r="X62" s="4">
        <f t="shared" si="9"/>
        <v>9538</v>
      </c>
      <c r="Z62" s="2">
        <f>SUMIF('2022'!$B:$B,$B62,'2022'!$AI:$AI)</f>
        <v>0</v>
      </c>
      <c r="AA62" s="2">
        <f>SUMIF('2023'!$B:$B,$B62,'2023'!$AI:$AI)</f>
        <v>0</v>
      </c>
      <c r="AB62" s="2">
        <f>SUMIF('2024'!$B:$B,$B62,'2024'!$AI:$AI)</f>
        <v>0</v>
      </c>
      <c r="AC62" s="4">
        <f t="shared" si="10"/>
        <v>9538</v>
      </c>
      <c r="AD62" s="2">
        <f>SUMIF('2025B'!$B:$B,$B62,'2025B'!$AI:$AI)</f>
        <v>0</v>
      </c>
      <c r="AF62" s="3" t="str">
        <f t="shared" si="11"/>
        <v>N/A</v>
      </c>
      <c r="AG62" s="3" t="str">
        <f t="shared" si="12"/>
        <v>N/A</v>
      </c>
      <c r="AH62" s="3" t="str">
        <f t="shared" si="13"/>
        <v>N/A</v>
      </c>
      <c r="AI62" s="3" t="str">
        <f t="shared" si="14"/>
        <v>N/A</v>
      </c>
      <c r="AJ62" s="3" t="str">
        <f t="shared" si="15"/>
        <v>N/A</v>
      </c>
      <c r="AK62" s="3"/>
      <c r="AL62" s="4">
        <f t="shared" si="16"/>
        <v>9538</v>
      </c>
      <c r="AM62" s="4">
        <f t="shared" si="17"/>
        <v>9538</v>
      </c>
      <c r="AN62" s="4">
        <f t="shared" si="18"/>
        <v>9538</v>
      </c>
      <c r="AO62" s="4">
        <f t="shared" si="19"/>
        <v>9538</v>
      </c>
    </row>
    <row r="63" spans="2:41">
      <c r="B63">
        <v>25069</v>
      </c>
      <c r="C63" t="s">
        <v>132</v>
      </c>
      <c r="D63" t="str">
        <f>VLOOKUP($B63, Spa!$B:$P, 15, 0)</f>
        <v>Southeast</v>
      </c>
      <c r="E63" t="str">
        <f>VLOOKUP($B63, Spa!$B:$P, 14, 0)</f>
        <v>Lisa</v>
      </c>
      <c r="F63" t="str">
        <f t="shared" si="20"/>
        <v>NKD25</v>
      </c>
      <c r="G63" t="str">
        <f>VLOOKUP($B63, Spa!$B:$P, 12, 0)</f>
        <v>Yes</v>
      </c>
      <c r="H63">
        <f>VLOOKUP($B63, Spa!$B:$P, 3, 0)</f>
        <v>2025</v>
      </c>
      <c r="I63" s="2">
        <f>SUMIF('2022'!$B:$B,$B63, '2022'!$AI:$AI)</f>
        <v>0</v>
      </c>
      <c r="J63" s="2">
        <f>SUMIF('2023'!$B:$B,$B63,'2023'!$AI:$AI)</f>
        <v>0</v>
      </c>
      <c r="K63" s="2">
        <f>SUMIF('2024'!$B:$B,$B63,'2024'!$AI:$AI)</f>
        <v>0</v>
      </c>
      <c r="L63" s="2">
        <f>SUMIF('2025'!$B:$B,$B63,'2025'!$AI:$AI)</f>
        <v>343</v>
      </c>
      <c r="M63" s="2">
        <f>SUMIF('2025B'!$B:$B,$B63,'2025B'!$AI:$AI)</f>
        <v>0</v>
      </c>
      <c r="O63" s="3" t="str">
        <f t="shared" si="1"/>
        <v>N/A</v>
      </c>
      <c r="P63" s="3" t="str">
        <f t="shared" si="2"/>
        <v>N/A</v>
      </c>
      <c r="Q63" s="3" t="str">
        <f t="shared" si="3"/>
        <v>N/A</v>
      </c>
      <c r="R63" s="3" t="str">
        <f t="shared" si="4"/>
        <v>N/A</v>
      </c>
      <c r="S63" s="3" t="str">
        <f t="shared" si="5"/>
        <v>N/A</v>
      </c>
      <c r="T63" s="3"/>
      <c r="U63" s="4">
        <f t="shared" si="6"/>
        <v>343</v>
      </c>
      <c r="V63" s="4">
        <f t="shared" si="7"/>
        <v>343</v>
      </c>
      <c r="W63" s="4">
        <f t="shared" si="8"/>
        <v>343</v>
      </c>
      <c r="X63" s="4">
        <f t="shared" si="9"/>
        <v>343</v>
      </c>
      <c r="Z63" s="2">
        <f>SUMIF('2022'!$B:$B,$B63,'2022'!$AI:$AI)</f>
        <v>0</v>
      </c>
      <c r="AA63" s="2">
        <f>SUMIF('2023'!$B:$B,$B63,'2023'!$AI:$AI)</f>
        <v>0</v>
      </c>
      <c r="AB63" s="2">
        <f>SUMIF('2024'!$B:$B,$B63,'2024'!$AI:$AI)</f>
        <v>0</v>
      </c>
      <c r="AC63" s="4">
        <f t="shared" si="10"/>
        <v>343</v>
      </c>
      <c r="AD63" s="2">
        <f>SUMIF('2025B'!$B:$B,$B63,'2025B'!$AI:$AI)</f>
        <v>0</v>
      </c>
      <c r="AF63" s="3" t="str">
        <f t="shared" si="11"/>
        <v>N/A</v>
      </c>
      <c r="AG63" s="3" t="str">
        <f t="shared" si="12"/>
        <v>N/A</v>
      </c>
      <c r="AH63" s="3" t="str">
        <f t="shared" si="13"/>
        <v>N/A</v>
      </c>
      <c r="AI63" s="3" t="str">
        <f t="shared" si="14"/>
        <v>N/A</v>
      </c>
      <c r="AJ63" s="3" t="str">
        <f t="shared" si="15"/>
        <v>N/A</v>
      </c>
      <c r="AK63" s="3"/>
      <c r="AL63" s="4">
        <f t="shared" si="16"/>
        <v>343</v>
      </c>
      <c r="AM63" s="4">
        <f t="shared" si="17"/>
        <v>343</v>
      </c>
      <c r="AN63" s="4">
        <f t="shared" si="18"/>
        <v>343</v>
      </c>
      <c r="AO63" s="4">
        <f t="shared" si="19"/>
        <v>343</v>
      </c>
    </row>
    <row r="64" spans="2:41">
      <c r="B64">
        <v>25070</v>
      </c>
      <c r="C64" t="s">
        <v>82</v>
      </c>
      <c r="D64" t="str">
        <f>VLOOKUP($B64, Spa!$B:$P, 15, 0)</f>
        <v>Northeast</v>
      </c>
      <c r="E64" t="str">
        <f>VLOOKUP($B64, Spa!$B:$P, 14, 0)</f>
        <v>Emily</v>
      </c>
      <c r="F64" t="str">
        <f t="shared" si="20"/>
        <v>NKD25</v>
      </c>
      <c r="G64" t="str">
        <f>VLOOKUP($B64, Spa!$B:$P, 12, 0)</f>
        <v>Yes</v>
      </c>
      <c r="H64">
        <f>VLOOKUP($B64, Spa!$B:$P, 3, 0)</f>
        <v>2025</v>
      </c>
      <c r="I64" s="2">
        <f>SUMIF('2022'!$B:$B,$B64, '2022'!$AI:$AI)</f>
        <v>0</v>
      </c>
      <c r="J64" s="2">
        <f>SUMIF('2023'!$B:$B,$B64,'2023'!$AI:$AI)</f>
        <v>0</v>
      </c>
      <c r="K64" s="2">
        <f>SUMIF('2024'!$B:$B,$B64,'2024'!$AI:$AI)</f>
        <v>0</v>
      </c>
      <c r="L64" s="2">
        <f>SUMIF('2025'!$B:$B,$B64,'2025'!$AI:$AI)</f>
        <v>19760</v>
      </c>
      <c r="M64" s="2">
        <f>SUMIF('2025B'!$B:$B,$B64,'2025B'!$AI:$AI)</f>
        <v>0</v>
      </c>
      <c r="O64" s="3" t="str">
        <f t="shared" si="1"/>
        <v>N/A</v>
      </c>
      <c r="P64" s="3" t="str">
        <f t="shared" si="2"/>
        <v>N/A</v>
      </c>
      <c r="Q64" s="3" t="str">
        <f t="shared" si="3"/>
        <v>N/A</v>
      </c>
      <c r="R64" s="3" t="str">
        <f t="shared" si="4"/>
        <v>N/A</v>
      </c>
      <c r="S64" s="3" t="str">
        <f t="shared" si="5"/>
        <v>N/A</v>
      </c>
      <c r="T64" s="3"/>
      <c r="U64" s="4">
        <f t="shared" si="6"/>
        <v>19760</v>
      </c>
      <c r="V64" s="4">
        <f t="shared" si="7"/>
        <v>19760</v>
      </c>
      <c r="W64" s="4">
        <f t="shared" si="8"/>
        <v>19760</v>
      </c>
      <c r="X64" s="4">
        <f t="shared" si="9"/>
        <v>19760</v>
      </c>
      <c r="Z64" s="2">
        <f>SUMIF('2022'!$B:$B,$B64,'2022'!$AI:$AI)</f>
        <v>0</v>
      </c>
      <c r="AA64" s="2">
        <f>SUMIF('2023'!$B:$B,$B64,'2023'!$AI:$AI)</f>
        <v>0</v>
      </c>
      <c r="AB64" s="2">
        <f>SUMIF('2024'!$B:$B,$B64,'2024'!$AI:$AI)</f>
        <v>0</v>
      </c>
      <c r="AC64" s="4">
        <f t="shared" si="10"/>
        <v>19760</v>
      </c>
      <c r="AD64" s="2">
        <f>SUMIF('2025B'!$B:$B,$B64,'2025B'!$AI:$AI)</f>
        <v>0</v>
      </c>
      <c r="AF64" s="3" t="str">
        <f t="shared" si="11"/>
        <v>N/A</v>
      </c>
      <c r="AG64" s="3" t="str">
        <f t="shared" si="12"/>
        <v>N/A</v>
      </c>
      <c r="AH64" s="3" t="str">
        <f t="shared" si="13"/>
        <v>N/A</v>
      </c>
      <c r="AI64" s="3" t="str">
        <f t="shared" si="14"/>
        <v>N/A</v>
      </c>
      <c r="AJ64" s="3" t="str">
        <f t="shared" si="15"/>
        <v>N/A</v>
      </c>
      <c r="AK64" s="3"/>
      <c r="AL64" s="4">
        <f t="shared" si="16"/>
        <v>19760</v>
      </c>
      <c r="AM64" s="4">
        <f t="shared" si="17"/>
        <v>19760</v>
      </c>
      <c r="AN64" s="4">
        <f t="shared" si="18"/>
        <v>19760</v>
      </c>
      <c r="AO64" s="4">
        <f t="shared" si="19"/>
        <v>19760</v>
      </c>
    </row>
    <row r="65" spans="2:41">
      <c r="B65">
        <v>25071</v>
      </c>
      <c r="C65" t="s">
        <v>96</v>
      </c>
      <c r="D65" t="str">
        <f>VLOOKUP($B65, Spa!$B:$P, 15, 0)</f>
        <v>Central</v>
      </c>
      <c r="E65" t="str">
        <f>VLOOKUP($B65, Spa!$B:$P, 14, 0)</f>
        <v>Emily</v>
      </c>
      <c r="F65" t="str">
        <f t="shared" si="20"/>
        <v>NKD25</v>
      </c>
      <c r="G65" t="str">
        <f>VLOOKUP($B65, Spa!$B:$P, 12, 0)</f>
        <v>Yes</v>
      </c>
      <c r="H65">
        <f>VLOOKUP($B65, Spa!$B:$P, 3, 0)</f>
        <v>2025</v>
      </c>
      <c r="I65" s="2">
        <f>SUMIF('2022'!$B:$B,$B65, '2022'!$AI:$AI)</f>
        <v>0</v>
      </c>
      <c r="J65" s="2">
        <f>SUMIF('2023'!$B:$B,$B65,'2023'!$AI:$AI)</f>
        <v>0</v>
      </c>
      <c r="K65" s="2">
        <f>SUMIF('2024'!$B:$B,$B65,'2024'!$AI:$AI)</f>
        <v>0</v>
      </c>
      <c r="L65" s="2">
        <f>SUMIF('2025'!$B:$B,$B65,'2025'!$AI:$AI)</f>
        <v>5488.99</v>
      </c>
      <c r="M65" s="2">
        <f>SUMIF('2025B'!$B:$B,$B65,'2025B'!$AI:$AI)</f>
        <v>0</v>
      </c>
      <c r="O65" s="3" t="str">
        <f t="shared" si="1"/>
        <v>N/A</v>
      </c>
      <c r="P65" s="3" t="str">
        <f t="shared" si="2"/>
        <v>N/A</v>
      </c>
      <c r="Q65" s="3" t="str">
        <f t="shared" si="3"/>
        <v>N/A</v>
      </c>
      <c r="R65" s="3" t="str">
        <f t="shared" si="4"/>
        <v>N/A</v>
      </c>
      <c r="S65" s="3" t="str">
        <f t="shared" si="5"/>
        <v>N/A</v>
      </c>
      <c r="T65" s="3"/>
      <c r="U65" s="4">
        <f t="shared" si="6"/>
        <v>5488.99</v>
      </c>
      <c r="V65" s="4">
        <f t="shared" si="7"/>
        <v>5488.99</v>
      </c>
      <c r="W65" s="4">
        <f t="shared" si="8"/>
        <v>5488.99</v>
      </c>
      <c r="X65" s="4">
        <f t="shared" si="9"/>
        <v>5488.99</v>
      </c>
      <c r="Z65" s="2">
        <f>SUMIF('2022'!$B:$B,$B65,'2022'!$AI:$AI)</f>
        <v>0</v>
      </c>
      <c r="AA65" s="2">
        <f>SUMIF('2023'!$B:$B,$B65,'2023'!$AI:$AI)</f>
        <v>0</v>
      </c>
      <c r="AB65" s="2">
        <f>SUMIF('2024'!$B:$B,$B65,'2024'!$AI:$AI)</f>
        <v>0</v>
      </c>
      <c r="AC65" s="4">
        <f t="shared" si="10"/>
        <v>5488.99</v>
      </c>
      <c r="AD65" s="2">
        <f>SUMIF('2025B'!$B:$B,$B65,'2025B'!$AI:$AI)</f>
        <v>0</v>
      </c>
      <c r="AF65" s="3" t="str">
        <f t="shared" si="11"/>
        <v>N/A</v>
      </c>
      <c r="AG65" s="3" t="str">
        <f t="shared" si="12"/>
        <v>N/A</v>
      </c>
      <c r="AH65" s="3" t="str">
        <f t="shared" si="13"/>
        <v>N/A</v>
      </c>
      <c r="AI65" s="3" t="str">
        <f t="shared" si="14"/>
        <v>N/A</v>
      </c>
      <c r="AJ65" s="3" t="str">
        <f t="shared" si="15"/>
        <v>N/A</v>
      </c>
      <c r="AK65" s="3"/>
      <c r="AL65" s="4">
        <f t="shared" si="16"/>
        <v>5488.99</v>
      </c>
      <c r="AM65" s="4">
        <f t="shared" si="17"/>
        <v>5488.99</v>
      </c>
      <c r="AN65" s="4">
        <f t="shared" si="18"/>
        <v>5488.99</v>
      </c>
      <c r="AO65" s="4">
        <f t="shared" si="19"/>
        <v>5488.99</v>
      </c>
    </row>
    <row r="66" spans="2:41">
      <c r="B66">
        <v>25072</v>
      </c>
      <c r="C66" t="s">
        <v>118</v>
      </c>
      <c r="D66" t="str">
        <f>VLOOKUP($B66, Spa!$B:$P, 15, 0)</f>
        <v>West</v>
      </c>
      <c r="E66" t="str">
        <f>VLOOKUP($B66, Spa!$B:$P, 14, 0)</f>
        <v>Amy</v>
      </c>
      <c r="F66" t="str">
        <f t="shared" si="20"/>
        <v>NKD25</v>
      </c>
      <c r="G66" t="str">
        <f>VLOOKUP($B66, Spa!$B:$P, 12, 0)</f>
        <v>Yes</v>
      </c>
      <c r="H66">
        <f>VLOOKUP($B66, Spa!$B:$P, 3, 0)</f>
        <v>2025</v>
      </c>
      <c r="I66" s="2">
        <f>SUMIF('2022'!$B:$B,$B66, '2022'!$AI:$AI)</f>
        <v>0</v>
      </c>
      <c r="J66" s="2">
        <f>SUMIF('2023'!$B:$B,$B66,'2023'!$AI:$AI)</f>
        <v>0</v>
      </c>
      <c r="K66" s="2">
        <f>SUMIF('2024'!$B:$B,$B66,'2024'!$AI:$AI)</f>
        <v>0</v>
      </c>
      <c r="L66" s="2">
        <f>SUMIF('2025'!$B:$B,$B66,'2025'!$AI:$AI)</f>
        <v>8683.91</v>
      </c>
      <c r="M66" s="2">
        <f>SUMIF('2025B'!$B:$B,$B66,'2025B'!$AI:$AI)</f>
        <v>0</v>
      </c>
      <c r="O66" s="3" t="str">
        <f t="shared" si="1"/>
        <v>N/A</v>
      </c>
      <c r="P66" s="3" t="str">
        <f t="shared" si="2"/>
        <v>N/A</v>
      </c>
      <c r="Q66" s="3" t="str">
        <f t="shared" si="3"/>
        <v>N/A</v>
      </c>
      <c r="R66" s="3" t="str">
        <f t="shared" si="4"/>
        <v>N/A</v>
      </c>
      <c r="S66" s="3" t="str">
        <f t="shared" si="5"/>
        <v>N/A</v>
      </c>
      <c r="T66" s="3"/>
      <c r="U66" s="4">
        <f t="shared" si="6"/>
        <v>8683.91</v>
      </c>
      <c r="V66" s="4">
        <f t="shared" si="7"/>
        <v>8683.91</v>
      </c>
      <c r="W66" s="4">
        <f t="shared" si="8"/>
        <v>8683.91</v>
      </c>
      <c r="X66" s="4">
        <f t="shared" si="9"/>
        <v>8683.91</v>
      </c>
      <c r="Z66" s="2">
        <f>SUMIF('2022'!$B:$B,$B66,'2022'!$AI:$AI)</f>
        <v>0</v>
      </c>
      <c r="AA66" s="2">
        <f>SUMIF('2023'!$B:$B,$B66,'2023'!$AI:$AI)</f>
        <v>0</v>
      </c>
      <c r="AB66" s="2">
        <f>SUMIF('2024'!$B:$B,$B66,'2024'!$AI:$AI)</f>
        <v>0</v>
      </c>
      <c r="AC66" s="4">
        <f t="shared" si="10"/>
        <v>8683.91</v>
      </c>
      <c r="AD66" s="2">
        <f>SUMIF('2025B'!$B:$B,$B66,'2025B'!$AI:$AI)</f>
        <v>0</v>
      </c>
      <c r="AF66" s="3" t="str">
        <f t="shared" si="11"/>
        <v>N/A</v>
      </c>
      <c r="AG66" s="3" t="str">
        <f t="shared" si="12"/>
        <v>N/A</v>
      </c>
      <c r="AH66" s="3" t="str">
        <f t="shared" si="13"/>
        <v>N/A</v>
      </c>
      <c r="AI66" s="3" t="str">
        <f t="shared" si="14"/>
        <v>N/A</v>
      </c>
      <c r="AJ66" s="3" t="str">
        <f t="shared" si="15"/>
        <v>N/A</v>
      </c>
      <c r="AK66" s="3"/>
      <c r="AL66" s="4">
        <f t="shared" si="16"/>
        <v>8683.91</v>
      </c>
      <c r="AM66" s="4">
        <f t="shared" si="17"/>
        <v>8683.91</v>
      </c>
      <c r="AN66" s="4">
        <f t="shared" si="18"/>
        <v>8683.91</v>
      </c>
      <c r="AO66" s="4">
        <f t="shared" si="19"/>
        <v>8683.91</v>
      </c>
    </row>
    <row r="67" spans="2:41">
      <c r="B67">
        <v>25073</v>
      </c>
      <c r="C67" t="s">
        <v>97</v>
      </c>
      <c r="D67" t="str">
        <f>VLOOKUP($B67, Spa!$B:$P, 15, 0)</f>
        <v>Central</v>
      </c>
      <c r="E67" t="str">
        <f>VLOOKUP($B67, Spa!$B:$P, 14, 0)</f>
        <v>Emily</v>
      </c>
      <c r="F67" t="str">
        <f t="shared" ref="F67:F70" si="21">IF(H67=2024,"NKD24",IF(H67=2025,"NKD25",IF(AB67&gt;50000,"A+",IF(AB67&gt;20000,"A",IF(AB67&gt;10000,"B",IF(AB67=0, "N/A", "C"))))))</f>
        <v>NKD25</v>
      </c>
      <c r="G67" t="str">
        <f>VLOOKUP($B67, Spa!$B:$P, 12, 0)</f>
        <v>Yes</v>
      </c>
      <c r="H67">
        <f>VLOOKUP($B67, Spa!$B:$P, 3, 0)</f>
        <v>2025</v>
      </c>
      <c r="I67" s="2">
        <f>SUMIF('2022'!$B:$B,$B67, '2022'!$AI:$AI)</f>
        <v>0</v>
      </c>
      <c r="J67" s="2">
        <f>SUMIF('2023'!$B:$B,$B67,'2023'!$AI:$AI)</f>
        <v>0</v>
      </c>
      <c r="K67" s="2">
        <f>SUMIF('2024'!$B:$B,$B67,'2024'!$AI:$AI)</f>
        <v>0</v>
      </c>
      <c r="L67" s="2">
        <f>SUMIF('2025'!$B:$B,$B67,'2025'!$AI:$AI)</f>
        <v>8904</v>
      </c>
      <c r="M67" s="2">
        <f>SUMIF('2025B'!$B:$B,$B67,'2025B'!$AI:$AI)</f>
        <v>0</v>
      </c>
      <c r="O67" s="3" t="str">
        <f t="shared" ref="O67:O70" si="22">IFERROR($L67/K67-1, "N/A")</f>
        <v>N/A</v>
      </c>
      <c r="P67" s="3" t="str">
        <f t="shared" ref="P67:P70" si="23">IFERROR($L67/J67-1, "N/A")</f>
        <v>N/A</v>
      </c>
      <c r="Q67" s="3" t="str">
        <f t="shared" ref="Q67:Q70" si="24">IFERROR($L67/I67-1, "N/A")</f>
        <v>N/A</v>
      </c>
      <c r="R67" s="3" t="str">
        <f t="shared" ref="R67:R70" si="25">IFERROR($L67/M67-1, "N/A")</f>
        <v>N/A</v>
      </c>
      <c r="S67" s="3" t="str">
        <f t="shared" ref="S67:S70" si="26">IFERROR(_xlfn.RRI(4,I67,L67), "N/A")</f>
        <v>N/A</v>
      </c>
      <c r="T67" s="3"/>
      <c r="U67" s="4">
        <f t="shared" ref="U67:U70" si="27">$L67-K67</f>
        <v>8904</v>
      </c>
      <c r="V67" s="4">
        <f t="shared" ref="V67:V70" si="28">$L67-J67</f>
        <v>8904</v>
      </c>
      <c r="W67" s="4">
        <f t="shared" ref="W67:W70" si="29">$L67-I67</f>
        <v>8904</v>
      </c>
      <c r="X67" s="4">
        <f t="shared" ref="X67:X70" si="30">$L67-M67</f>
        <v>8904</v>
      </c>
      <c r="Z67" s="2">
        <f>SUMIF('2022'!$B:$B,$B67,'2022'!$AI:$AI)</f>
        <v>0</v>
      </c>
      <c r="AA67" s="2">
        <f>SUMIF('2023'!$B:$B,$B67,'2023'!$AI:$AI)</f>
        <v>0</v>
      </c>
      <c r="AB67" s="2">
        <f>SUMIF('2024'!$B:$B,$B67,'2024'!$AI:$AI)</f>
        <v>0</v>
      </c>
      <c r="AC67" s="4">
        <f t="shared" ref="AC67:AC70" si="31">L67</f>
        <v>8904</v>
      </c>
      <c r="AD67" s="2">
        <f>SUMIF('2025B'!$B:$B,$B67,'2025B'!$AI:$AI)</f>
        <v>0</v>
      </c>
      <c r="AF67" s="3" t="str">
        <f t="shared" ref="AF67:AF70" si="32">IFERROR($AC67/AB67-1, "N/A")</f>
        <v>N/A</v>
      </c>
      <c r="AG67" s="3" t="str">
        <f t="shared" ref="AG67:AG70" si="33">IFERROR($AC67/AA67-1, "N/A")</f>
        <v>N/A</v>
      </c>
      <c r="AH67" s="3" t="str">
        <f t="shared" ref="AH67:AH70" si="34">IFERROR($AC67/Z67-1, "N/A")</f>
        <v>N/A</v>
      </c>
      <c r="AI67" s="3" t="str">
        <f t="shared" ref="AI67:AI70" si="35">IFERROR($AC67/AD67-1, "N/A")</f>
        <v>N/A</v>
      </c>
      <c r="AJ67" s="3" t="str">
        <f t="shared" ref="AJ67:AJ70" si="36">IFERROR(_xlfn.RRI(4,Z67,AC67), "N/A")</f>
        <v>N/A</v>
      </c>
      <c r="AK67" s="3"/>
      <c r="AL67" s="4">
        <f t="shared" ref="AL67:AL70" si="37">$AC67-AB67</f>
        <v>8904</v>
      </c>
      <c r="AM67" s="4">
        <f t="shared" ref="AM67:AM70" si="38">$AC67-AA67</f>
        <v>8904</v>
      </c>
      <c r="AN67" s="4">
        <f t="shared" ref="AN67:AN70" si="39">$AC67-Z67</f>
        <v>8904</v>
      </c>
      <c r="AO67" s="4">
        <f t="shared" ref="AO67:AO70" si="40">$AC67-AD67</f>
        <v>8904</v>
      </c>
    </row>
    <row r="68" spans="2:41">
      <c r="B68">
        <v>25074</v>
      </c>
      <c r="C68" t="s">
        <v>98</v>
      </c>
      <c r="D68" t="str">
        <f>VLOOKUP($B68, Spa!$B:$P, 15, 0)</f>
        <v>Central</v>
      </c>
      <c r="E68" t="str">
        <f>VLOOKUP($B68, Spa!$B:$P, 14, 0)</f>
        <v>Emily</v>
      </c>
      <c r="F68" t="str">
        <f t="shared" si="21"/>
        <v>NKD25</v>
      </c>
      <c r="G68" t="str">
        <f>VLOOKUP($B68, Spa!$B:$P, 12, 0)</f>
        <v>Yes</v>
      </c>
      <c r="H68">
        <f>VLOOKUP($B68, Spa!$B:$P, 3, 0)</f>
        <v>2025</v>
      </c>
      <c r="I68" s="2">
        <f>SUMIF('2022'!$B:$B,$B68, '2022'!$AI:$AI)</f>
        <v>0</v>
      </c>
      <c r="J68" s="2">
        <f>SUMIF('2023'!$B:$B,$B68,'2023'!$AI:$AI)</f>
        <v>0</v>
      </c>
      <c r="K68" s="2">
        <f>SUMIF('2024'!$B:$B,$B68,'2024'!$AI:$AI)</f>
        <v>0</v>
      </c>
      <c r="L68" s="2">
        <f>SUMIF('2025'!$B:$B,$B68,'2025'!$AI:$AI)</f>
        <v>6178.28</v>
      </c>
      <c r="M68" s="2">
        <f>SUMIF('2025B'!$B:$B,$B68,'2025B'!$AI:$AI)</f>
        <v>0</v>
      </c>
      <c r="O68" s="3" t="str">
        <f t="shared" si="22"/>
        <v>N/A</v>
      </c>
      <c r="P68" s="3" t="str">
        <f t="shared" si="23"/>
        <v>N/A</v>
      </c>
      <c r="Q68" s="3" t="str">
        <f t="shared" si="24"/>
        <v>N/A</v>
      </c>
      <c r="R68" s="3" t="str">
        <f t="shared" si="25"/>
        <v>N/A</v>
      </c>
      <c r="S68" s="3" t="str">
        <f t="shared" si="26"/>
        <v>N/A</v>
      </c>
      <c r="T68" s="3"/>
      <c r="U68" s="4">
        <f t="shared" si="27"/>
        <v>6178.28</v>
      </c>
      <c r="V68" s="4">
        <f t="shared" si="28"/>
        <v>6178.28</v>
      </c>
      <c r="W68" s="4">
        <f t="shared" si="29"/>
        <v>6178.28</v>
      </c>
      <c r="X68" s="4">
        <f t="shared" si="30"/>
        <v>6178.28</v>
      </c>
      <c r="Z68" s="2">
        <f>SUMIF('2022'!$B:$B,$B68,'2022'!$AI:$AI)</f>
        <v>0</v>
      </c>
      <c r="AA68" s="2">
        <f>SUMIF('2023'!$B:$B,$B68,'2023'!$AI:$AI)</f>
        <v>0</v>
      </c>
      <c r="AB68" s="2">
        <f>SUMIF('2024'!$B:$B,$B68,'2024'!$AI:$AI)</f>
        <v>0</v>
      </c>
      <c r="AC68" s="4">
        <f t="shared" si="31"/>
        <v>6178.28</v>
      </c>
      <c r="AD68" s="2">
        <f>SUMIF('2025B'!$B:$B,$B68,'2025B'!$AI:$AI)</f>
        <v>0</v>
      </c>
      <c r="AF68" s="3" t="str">
        <f t="shared" si="32"/>
        <v>N/A</v>
      </c>
      <c r="AG68" s="3" t="str">
        <f t="shared" si="33"/>
        <v>N/A</v>
      </c>
      <c r="AH68" s="3" t="str">
        <f t="shared" si="34"/>
        <v>N/A</v>
      </c>
      <c r="AI68" s="3" t="str">
        <f t="shared" si="35"/>
        <v>N/A</v>
      </c>
      <c r="AJ68" s="3" t="str">
        <f t="shared" si="36"/>
        <v>N/A</v>
      </c>
      <c r="AK68" s="3"/>
      <c r="AL68" s="4">
        <f t="shared" si="37"/>
        <v>6178.28</v>
      </c>
      <c r="AM68" s="4">
        <f t="shared" si="38"/>
        <v>6178.28</v>
      </c>
      <c r="AN68" s="4">
        <f t="shared" si="39"/>
        <v>6178.28</v>
      </c>
      <c r="AO68" s="4">
        <f t="shared" si="40"/>
        <v>6178.28</v>
      </c>
    </row>
    <row r="69" spans="2:41">
      <c r="B69">
        <v>25075</v>
      </c>
      <c r="C69" t="s">
        <v>137</v>
      </c>
      <c r="D69" t="str">
        <f>VLOOKUP($B69, Spa!$B:$P, 15, 0)</f>
        <v>Other</v>
      </c>
      <c r="E69" t="str">
        <f>VLOOKUP($B69, Spa!$B:$P, 14, 0)</f>
        <v>Melissa</v>
      </c>
      <c r="F69" t="str">
        <f t="shared" si="21"/>
        <v>NKD25</v>
      </c>
      <c r="G69" t="str">
        <f>VLOOKUP($B69, Spa!$B:$P, 12, 0)</f>
        <v>Yes</v>
      </c>
      <c r="H69">
        <f>VLOOKUP($B69, Spa!$B:$P, 3, 0)</f>
        <v>2025</v>
      </c>
      <c r="I69" s="2">
        <f>SUMIF('2022'!$B:$B,$B69, '2022'!$AI:$AI)</f>
        <v>0</v>
      </c>
      <c r="J69" s="2">
        <f>SUMIF('2023'!$B:$B,$B69,'2023'!$AI:$AI)</f>
        <v>0</v>
      </c>
      <c r="K69" s="2">
        <f>SUMIF('2024'!$B:$B,$B69,'2024'!$AI:$AI)</f>
        <v>0</v>
      </c>
      <c r="L69" s="2">
        <f>SUMIF('2025'!$B:$B,$B69,'2025'!$AI:$AI)</f>
        <v>14403.8</v>
      </c>
      <c r="M69" s="2">
        <f>SUMIF('2025B'!$B:$B,$B69,'2025B'!$AI:$AI)</f>
        <v>0</v>
      </c>
      <c r="O69" s="3" t="str">
        <f t="shared" si="22"/>
        <v>N/A</v>
      </c>
      <c r="P69" s="3" t="str">
        <f t="shared" si="23"/>
        <v>N/A</v>
      </c>
      <c r="Q69" s="3" t="str">
        <f t="shared" si="24"/>
        <v>N/A</v>
      </c>
      <c r="R69" s="3" t="str">
        <f t="shared" si="25"/>
        <v>N/A</v>
      </c>
      <c r="S69" s="3" t="str">
        <f t="shared" si="26"/>
        <v>N/A</v>
      </c>
      <c r="T69" s="3"/>
      <c r="U69" s="4">
        <f t="shared" si="27"/>
        <v>14403.8</v>
      </c>
      <c r="V69" s="4">
        <f t="shared" si="28"/>
        <v>14403.8</v>
      </c>
      <c r="W69" s="4">
        <f t="shared" si="29"/>
        <v>14403.8</v>
      </c>
      <c r="X69" s="4">
        <f t="shared" si="30"/>
        <v>14403.8</v>
      </c>
      <c r="Z69" s="2">
        <f>SUMIF('2022'!$B:$B,$B69,'2022'!$AI:$AI)</f>
        <v>0</v>
      </c>
      <c r="AA69" s="2">
        <f>SUMIF('2023'!$B:$B,$B69,'2023'!$AI:$AI)</f>
        <v>0</v>
      </c>
      <c r="AB69" s="2">
        <f>SUMIF('2024'!$B:$B,$B69,'2024'!$AI:$AI)</f>
        <v>0</v>
      </c>
      <c r="AC69" s="4">
        <f t="shared" si="31"/>
        <v>14403.8</v>
      </c>
      <c r="AD69" s="2">
        <f>SUMIF('2025B'!$B:$B,$B69,'2025B'!$AI:$AI)</f>
        <v>0</v>
      </c>
      <c r="AF69" s="3" t="str">
        <f t="shared" si="32"/>
        <v>N/A</v>
      </c>
      <c r="AG69" s="3" t="str">
        <f t="shared" si="33"/>
        <v>N/A</v>
      </c>
      <c r="AH69" s="3" t="str">
        <f t="shared" si="34"/>
        <v>N/A</v>
      </c>
      <c r="AI69" s="3" t="str">
        <f t="shared" si="35"/>
        <v>N/A</v>
      </c>
      <c r="AJ69" s="3" t="str">
        <f t="shared" si="36"/>
        <v>N/A</v>
      </c>
      <c r="AK69" s="3"/>
      <c r="AL69" s="4">
        <f t="shared" si="37"/>
        <v>14403.8</v>
      </c>
      <c r="AM69" s="4">
        <f t="shared" si="38"/>
        <v>14403.8</v>
      </c>
      <c r="AN69" s="4">
        <f t="shared" si="39"/>
        <v>14403.8</v>
      </c>
      <c r="AO69" s="4">
        <f t="shared" si="40"/>
        <v>14403.8</v>
      </c>
    </row>
    <row r="70" spans="2:41">
      <c r="B70">
        <v>25076</v>
      </c>
      <c r="C70" t="s">
        <v>133</v>
      </c>
      <c r="D70" t="str">
        <f>VLOOKUP($B70, Spa!$B:$P, 15, 0)</f>
        <v>Other</v>
      </c>
      <c r="E70" t="str">
        <f>VLOOKUP($B70, Spa!$B:$P, 14, 0)</f>
        <v>Melissa</v>
      </c>
      <c r="F70" t="str">
        <f t="shared" si="21"/>
        <v>NKD25</v>
      </c>
      <c r="G70" t="str">
        <f>VLOOKUP($B70, Spa!$B:$P, 12, 0)</f>
        <v>Yes</v>
      </c>
      <c r="H70">
        <f>VLOOKUP($B70, Spa!$B:$P, 3, 0)</f>
        <v>2025</v>
      </c>
      <c r="I70" s="2">
        <f>SUMIF('2022'!$B:$B,$B70, '2022'!$AI:$AI)</f>
        <v>0</v>
      </c>
      <c r="J70" s="2">
        <f>SUMIF('2023'!$B:$B,$B70,'2023'!$AI:$AI)</f>
        <v>0</v>
      </c>
      <c r="K70" s="2">
        <f>SUMIF('2024'!$B:$B,$B70,'2024'!$AI:$AI)</f>
        <v>0</v>
      </c>
      <c r="L70" s="2">
        <f>SUMIF('2025'!$B:$B,$B70,'2025'!$AI:$AI)</f>
        <v>3193.01</v>
      </c>
      <c r="M70" s="2">
        <f>SUMIF('2025B'!$B:$B,$B70,'2025B'!$AI:$AI)</f>
        <v>0</v>
      </c>
      <c r="O70" s="3" t="str">
        <f t="shared" si="22"/>
        <v>N/A</v>
      </c>
      <c r="P70" s="3" t="str">
        <f t="shared" si="23"/>
        <v>N/A</v>
      </c>
      <c r="Q70" s="3" t="str">
        <f t="shared" si="24"/>
        <v>N/A</v>
      </c>
      <c r="R70" s="3" t="str">
        <f t="shared" si="25"/>
        <v>N/A</v>
      </c>
      <c r="S70" s="3" t="str">
        <f t="shared" si="26"/>
        <v>N/A</v>
      </c>
      <c r="T70" s="3"/>
      <c r="U70" s="4">
        <f t="shared" si="27"/>
        <v>3193.01</v>
      </c>
      <c r="V70" s="4">
        <f t="shared" si="28"/>
        <v>3193.01</v>
      </c>
      <c r="W70" s="4">
        <f t="shared" si="29"/>
        <v>3193.01</v>
      </c>
      <c r="X70" s="4">
        <f t="shared" si="30"/>
        <v>3193.01</v>
      </c>
      <c r="Z70" s="2">
        <f>SUMIF('2022'!$B:$B,$B70,'2022'!$AI:$AI)</f>
        <v>0</v>
      </c>
      <c r="AA70" s="2">
        <f>SUMIF('2023'!$B:$B,$B70,'2023'!$AI:$AI)</f>
        <v>0</v>
      </c>
      <c r="AB70" s="2">
        <f>SUMIF('2024'!$B:$B,$B70,'2024'!$AI:$AI)</f>
        <v>0</v>
      </c>
      <c r="AC70" s="4">
        <f t="shared" si="31"/>
        <v>3193.01</v>
      </c>
      <c r="AD70" s="2">
        <f>SUMIF('2025B'!$B:$B,$B70,'2025B'!$AI:$AI)</f>
        <v>0</v>
      </c>
      <c r="AF70" s="3" t="str">
        <f t="shared" si="32"/>
        <v>N/A</v>
      </c>
      <c r="AG70" s="3" t="str">
        <f t="shared" si="33"/>
        <v>N/A</v>
      </c>
      <c r="AH70" s="3" t="str">
        <f t="shared" si="34"/>
        <v>N/A</v>
      </c>
      <c r="AI70" s="3" t="str">
        <f t="shared" si="35"/>
        <v>N/A</v>
      </c>
      <c r="AJ70" s="3" t="str">
        <f t="shared" si="36"/>
        <v>N/A</v>
      </c>
      <c r="AK70" s="3"/>
      <c r="AL70" s="4">
        <f t="shared" si="37"/>
        <v>3193.01</v>
      </c>
      <c r="AM70" s="4">
        <f t="shared" si="38"/>
        <v>3193.01</v>
      </c>
      <c r="AN70" s="4">
        <f t="shared" si="39"/>
        <v>3193.01</v>
      </c>
      <c r="AO70" s="4">
        <f t="shared" si="40"/>
        <v>3193.01</v>
      </c>
    </row>
    <row r="71" spans="2:41">
      <c r="I71" s="2"/>
      <c r="J71" s="2"/>
      <c r="K71" s="2"/>
      <c r="L71" s="2"/>
      <c r="M71" s="2"/>
      <c r="O71" s="3"/>
      <c r="P71" s="3"/>
      <c r="Q71" s="3"/>
      <c r="R71" s="3"/>
      <c r="S71" s="3"/>
      <c r="T71" s="3"/>
      <c r="U71" s="4"/>
      <c r="V71" s="4"/>
      <c r="W71" s="4"/>
      <c r="X71" s="4"/>
      <c r="Z71" s="2"/>
      <c r="AA71" s="2"/>
      <c r="AB71" s="2"/>
      <c r="AC71" s="4"/>
      <c r="AD71" s="2"/>
      <c r="AF71" s="3"/>
      <c r="AG71" s="3"/>
      <c r="AH71" s="3"/>
      <c r="AI71" s="3"/>
      <c r="AJ71" s="3"/>
      <c r="AK71" s="3"/>
      <c r="AL71" s="4"/>
      <c r="AM71" s="4"/>
      <c r="AN71" s="4"/>
      <c r="AO71" s="4"/>
    </row>
  </sheetData>
  <autoFilter ref="B2:Z66" xr:uid="{9CA90FE2-DDF2-4CA4-A0B7-D305A55D18B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0FCE-EA27-4FF8-A3DF-822544E37F87}">
  <dimension ref="B1:W71"/>
  <sheetViews>
    <sheetView topLeftCell="B1" zoomScale="70" zoomScaleNormal="70" workbookViewId="0">
      <selection activeCell="U6" sqref="U6"/>
    </sheetView>
  </sheetViews>
  <sheetFormatPr defaultColWidth="9.140625" defaultRowHeight="15"/>
  <cols>
    <col min="1" max="1" width="9.140625" style="5"/>
    <col min="2" max="2" width="13.28515625" style="5" bestFit="1" customWidth="1"/>
    <col min="3" max="3" width="47.85546875" style="5" bestFit="1" customWidth="1"/>
    <col min="4" max="4" width="14.140625" style="5" bestFit="1" customWidth="1"/>
    <col min="5" max="5" width="18.28515625" style="5" bestFit="1" customWidth="1"/>
    <col min="6" max="6" width="13.42578125" style="5" bestFit="1" customWidth="1"/>
    <col min="7" max="7" width="17.7109375" style="5" bestFit="1" customWidth="1"/>
    <col min="8" max="8" width="9.140625" style="5"/>
    <col min="9" max="11" width="14.85546875" style="5" bestFit="1" customWidth="1"/>
    <col min="12" max="12" width="11" style="5" bestFit="1" customWidth="1"/>
    <col min="13" max="13" width="11" style="5" customWidth="1"/>
    <col min="14" max="14" width="9.140625" style="5"/>
    <col min="15" max="15" width="13.42578125" style="5" bestFit="1" customWidth="1"/>
    <col min="16" max="20" width="9.140625" style="5"/>
    <col min="21" max="21" width="12" style="5" bestFit="1" customWidth="1"/>
    <col min="22" max="22" width="9.140625" style="5"/>
    <col min="23" max="23" width="11.7109375" style="5" bestFit="1" customWidth="1"/>
    <col min="24" max="16384" width="9.140625" style="5"/>
  </cols>
  <sheetData>
    <row r="1" spans="2:23">
      <c r="I1" s="5">
        <v>6</v>
      </c>
      <c r="J1" s="5">
        <v>19</v>
      </c>
      <c r="K1" s="5">
        <v>25</v>
      </c>
      <c r="L1" s="5">
        <v>37</v>
      </c>
      <c r="M1" s="5">
        <v>53</v>
      </c>
    </row>
    <row r="2" spans="2:23">
      <c r="B2" s="5" t="s">
        <v>158</v>
      </c>
      <c r="C2" s="5" t="s">
        <v>55</v>
      </c>
      <c r="D2" s="5" t="s">
        <v>58</v>
      </c>
      <c r="E2" s="5" t="s">
        <v>167</v>
      </c>
      <c r="F2" s="5" t="s">
        <v>168</v>
      </c>
      <c r="G2" s="5" t="s">
        <v>169</v>
      </c>
      <c r="I2" s="5" t="s">
        <v>170</v>
      </c>
      <c r="J2" s="5" t="s">
        <v>171</v>
      </c>
      <c r="K2" s="5" t="s">
        <v>172</v>
      </c>
      <c r="L2" s="5" t="s">
        <v>173</v>
      </c>
      <c r="M2" s="5" t="s">
        <v>174</v>
      </c>
      <c r="O2" s="5" t="s">
        <v>175</v>
      </c>
      <c r="P2" s="5" t="s">
        <v>56</v>
      </c>
      <c r="U2" s="5" t="s">
        <v>66</v>
      </c>
      <c r="V2" s="5" t="s">
        <v>65</v>
      </c>
      <c r="W2" s="5" t="s">
        <v>176</v>
      </c>
    </row>
    <row r="3" spans="2:23">
      <c r="B3" s="5">
        <v>25000</v>
      </c>
      <c r="C3" s="5" t="s">
        <v>106</v>
      </c>
      <c r="D3" s="5">
        <v>2021</v>
      </c>
      <c r="E3" s="6">
        <v>44378</v>
      </c>
      <c r="I3" s="5" t="s">
        <v>177</v>
      </c>
      <c r="J3" s="5" t="s">
        <v>177</v>
      </c>
      <c r="K3" s="5" t="s">
        <v>177</v>
      </c>
      <c r="L3" s="5" t="s">
        <v>177</v>
      </c>
      <c r="M3" s="5" t="s">
        <v>177</v>
      </c>
      <c r="O3" s="5" t="s">
        <v>178</v>
      </c>
      <c r="P3" s="5" t="s">
        <v>18</v>
      </c>
      <c r="R3" s="5" t="s">
        <v>178</v>
      </c>
      <c r="S3" s="5" t="s">
        <v>18</v>
      </c>
      <c r="U3" s="5">
        <v>737</v>
      </c>
      <c r="V3" s="5">
        <v>738.52</v>
      </c>
      <c r="W3" s="7">
        <v>-2.0581703948436836E-3</v>
      </c>
    </row>
    <row r="4" spans="2:23">
      <c r="B4" s="5">
        <v>25001</v>
      </c>
      <c r="C4" s="5" t="s">
        <v>72</v>
      </c>
      <c r="D4" s="5">
        <v>2021</v>
      </c>
      <c r="E4" s="6">
        <v>44317</v>
      </c>
      <c r="I4" s="5" t="s">
        <v>177</v>
      </c>
      <c r="J4" s="5" t="s">
        <v>177</v>
      </c>
      <c r="K4" s="5" t="s">
        <v>177</v>
      </c>
      <c r="L4" s="5" t="s">
        <v>177</v>
      </c>
      <c r="M4" s="5" t="s">
        <v>177</v>
      </c>
      <c r="O4" s="5" t="s">
        <v>93</v>
      </c>
      <c r="P4" s="5" t="s">
        <v>16</v>
      </c>
      <c r="R4" s="5" t="s">
        <v>179</v>
      </c>
      <c r="S4" s="5" t="s">
        <v>16</v>
      </c>
      <c r="U4" s="5">
        <v>9033.2000000000007</v>
      </c>
      <c r="V4" s="5">
        <v>17132.379999999997</v>
      </c>
      <c r="W4" s="7">
        <v>-0.47274109026299893</v>
      </c>
    </row>
    <row r="5" spans="2:23">
      <c r="B5" s="5">
        <v>25002</v>
      </c>
      <c r="C5" s="5" t="s">
        <v>121</v>
      </c>
      <c r="D5" s="5">
        <v>2021</v>
      </c>
      <c r="E5" s="6">
        <v>44409</v>
      </c>
      <c r="I5" s="5" t="s">
        <v>177</v>
      </c>
      <c r="J5" s="5" t="s">
        <v>177</v>
      </c>
      <c r="K5" s="5" t="s">
        <v>177</v>
      </c>
      <c r="L5" s="5" t="s">
        <v>177</v>
      </c>
      <c r="M5" s="5" t="s">
        <v>177</v>
      </c>
      <c r="O5" s="5" t="s">
        <v>180</v>
      </c>
      <c r="P5" s="5" t="s">
        <v>19</v>
      </c>
      <c r="R5" s="5" t="s">
        <v>180</v>
      </c>
      <c r="S5" s="5" t="s">
        <v>19</v>
      </c>
      <c r="U5" s="5">
        <v>14467.439999999999</v>
      </c>
      <c r="V5" s="5">
        <v>5127.99</v>
      </c>
      <c r="W5" s="7">
        <v>1.8212691522409363</v>
      </c>
    </row>
    <row r="6" spans="2:23">
      <c r="B6" s="5">
        <v>25003</v>
      </c>
      <c r="C6" s="5" t="s">
        <v>140</v>
      </c>
      <c r="D6" s="5">
        <v>2021</v>
      </c>
      <c r="E6" s="6">
        <v>44440</v>
      </c>
      <c r="F6" s="5">
        <v>2022</v>
      </c>
      <c r="G6" s="6">
        <v>44805</v>
      </c>
      <c r="I6" s="5" t="s">
        <v>177</v>
      </c>
      <c r="J6" s="5" t="s">
        <v>141</v>
      </c>
      <c r="K6" s="5" t="s">
        <v>141</v>
      </c>
      <c r="L6" s="5" t="s">
        <v>141</v>
      </c>
      <c r="M6" s="5" t="s">
        <v>141</v>
      </c>
      <c r="O6" s="5" t="s">
        <v>180</v>
      </c>
      <c r="P6" s="5" t="s">
        <v>19</v>
      </c>
      <c r="R6" s="5" t="s">
        <v>180</v>
      </c>
      <c r="S6" s="5" t="s">
        <v>19</v>
      </c>
      <c r="U6" s="5">
        <v>0</v>
      </c>
      <c r="V6" s="5">
        <v>0</v>
      </c>
      <c r="W6" s="7" t="e">
        <v>#DIV/0!</v>
      </c>
    </row>
    <row r="7" spans="2:23">
      <c r="B7" s="5">
        <v>25004</v>
      </c>
      <c r="C7" s="5" t="s">
        <v>105</v>
      </c>
      <c r="D7" s="5">
        <v>2021</v>
      </c>
      <c r="E7" s="6">
        <v>44440</v>
      </c>
      <c r="I7" s="5" t="s">
        <v>177</v>
      </c>
      <c r="J7" s="5" t="s">
        <v>177</v>
      </c>
      <c r="K7" s="5" t="s">
        <v>177</v>
      </c>
      <c r="L7" s="5" t="s">
        <v>177</v>
      </c>
      <c r="M7" s="5" t="s">
        <v>177</v>
      </c>
      <c r="O7" s="5" t="s">
        <v>178</v>
      </c>
      <c r="P7" s="5" t="s">
        <v>18</v>
      </c>
      <c r="R7" s="5" t="s">
        <v>178</v>
      </c>
      <c r="S7" s="5" t="s">
        <v>18</v>
      </c>
      <c r="U7" s="5">
        <v>3699.8100000000004</v>
      </c>
      <c r="V7" s="5">
        <v>4463.5200000000004</v>
      </c>
      <c r="W7" s="7">
        <v>-0.17110038713840192</v>
      </c>
    </row>
    <row r="8" spans="2:23">
      <c r="B8" s="5">
        <v>25008</v>
      </c>
      <c r="C8" s="5" t="s">
        <v>127</v>
      </c>
      <c r="D8" s="5">
        <v>2021</v>
      </c>
      <c r="E8" s="6">
        <v>44531</v>
      </c>
      <c r="I8" s="5" t="s">
        <v>177</v>
      </c>
      <c r="J8" s="5" t="s">
        <v>177</v>
      </c>
      <c r="K8" s="5" t="s">
        <v>177</v>
      </c>
      <c r="L8" s="5" t="s">
        <v>177</v>
      </c>
      <c r="M8" s="5" t="s">
        <v>177</v>
      </c>
      <c r="O8" s="5" t="s">
        <v>180</v>
      </c>
      <c r="P8" s="5" t="s">
        <v>19</v>
      </c>
      <c r="R8" s="5" t="s">
        <v>180</v>
      </c>
      <c r="S8" s="5" t="s">
        <v>19</v>
      </c>
      <c r="U8" s="5">
        <v>0</v>
      </c>
      <c r="V8" s="5">
        <v>0</v>
      </c>
      <c r="W8" s="7" t="e">
        <v>#DIV/0!</v>
      </c>
    </row>
    <row r="9" spans="2:23">
      <c r="B9" s="5">
        <v>25009</v>
      </c>
      <c r="C9" s="5" t="s">
        <v>142</v>
      </c>
      <c r="D9" s="5">
        <v>2022</v>
      </c>
      <c r="E9" s="6">
        <v>44562</v>
      </c>
      <c r="F9" s="5">
        <v>2023</v>
      </c>
      <c r="G9" s="6">
        <v>45108</v>
      </c>
      <c r="I9" s="5" t="s">
        <v>141</v>
      </c>
      <c r="J9" s="5" t="s">
        <v>177</v>
      </c>
      <c r="K9" s="5" t="s">
        <v>141</v>
      </c>
      <c r="L9" s="5" t="s">
        <v>141</v>
      </c>
      <c r="M9" s="5" t="s">
        <v>141</v>
      </c>
      <c r="O9" s="5" t="s">
        <v>178</v>
      </c>
      <c r="P9" s="5" t="s">
        <v>18</v>
      </c>
      <c r="R9" s="5" t="s">
        <v>178</v>
      </c>
      <c r="S9" s="5" t="s">
        <v>18</v>
      </c>
      <c r="U9" s="5">
        <v>0</v>
      </c>
      <c r="V9" s="5">
        <v>0</v>
      </c>
      <c r="W9" s="7" t="e">
        <v>#DIV/0!</v>
      </c>
    </row>
    <row r="10" spans="2:23">
      <c r="B10" s="5">
        <v>25010</v>
      </c>
      <c r="C10" s="5" t="s">
        <v>119</v>
      </c>
      <c r="D10" s="5">
        <v>2022</v>
      </c>
      <c r="E10" s="6">
        <v>44562</v>
      </c>
      <c r="I10" s="5" t="s">
        <v>141</v>
      </c>
      <c r="J10" s="5" t="s">
        <v>177</v>
      </c>
      <c r="K10" s="5" t="s">
        <v>177</v>
      </c>
      <c r="L10" s="5" t="s">
        <v>177</v>
      </c>
      <c r="M10" s="5" t="s">
        <v>177</v>
      </c>
      <c r="O10" s="5" t="s">
        <v>180</v>
      </c>
      <c r="P10" s="5" t="s">
        <v>19</v>
      </c>
      <c r="R10" s="5" t="s">
        <v>180</v>
      </c>
      <c r="S10" s="5" t="s">
        <v>19</v>
      </c>
      <c r="U10" s="5">
        <v>24795.21</v>
      </c>
      <c r="V10" s="5">
        <v>29239.439999999999</v>
      </c>
      <c r="W10" s="7">
        <v>-0.1519943610411143</v>
      </c>
    </row>
    <row r="11" spans="2:23">
      <c r="B11" s="5">
        <v>25011</v>
      </c>
      <c r="C11" s="5" t="s">
        <v>143</v>
      </c>
      <c r="D11" s="5">
        <v>2022</v>
      </c>
      <c r="E11" s="6">
        <v>44593</v>
      </c>
      <c r="F11" s="5">
        <v>2023</v>
      </c>
      <c r="G11" s="6">
        <v>44986</v>
      </c>
      <c r="I11" s="5" t="s">
        <v>141</v>
      </c>
      <c r="J11" s="5" t="s">
        <v>177</v>
      </c>
      <c r="K11" s="5" t="s">
        <v>141</v>
      </c>
      <c r="L11" s="5" t="s">
        <v>141</v>
      </c>
      <c r="M11" s="5" t="s">
        <v>141</v>
      </c>
      <c r="O11" s="5" t="s">
        <v>178</v>
      </c>
      <c r="P11" s="5" t="s">
        <v>18</v>
      </c>
      <c r="R11" s="5" t="s">
        <v>178</v>
      </c>
      <c r="S11" s="5" t="s">
        <v>18</v>
      </c>
      <c r="U11" s="5">
        <v>0</v>
      </c>
      <c r="V11" s="5">
        <v>0</v>
      </c>
      <c r="W11" s="7" t="e">
        <v>#DIV/0!</v>
      </c>
    </row>
    <row r="12" spans="2:23">
      <c r="B12" s="5">
        <v>25012</v>
      </c>
      <c r="C12" s="5" t="s">
        <v>100</v>
      </c>
      <c r="D12" s="5">
        <v>2022</v>
      </c>
      <c r="E12" s="6">
        <v>44621</v>
      </c>
      <c r="I12" s="5" t="s">
        <v>141</v>
      </c>
      <c r="J12" s="5" t="s">
        <v>177</v>
      </c>
      <c r="K12" s="5" t="s">
        <v>177</v>
      </c>
      <c r="L12" s="5" t="s">
        <v>177</v>
      </c>
      <c r="M12" s="5" t="s">
        <v>177</v>
      </c>
      <c r="O12" s="5" t="s">
        <v>178</v>
      </c>
      <c r="P12" s="5" t="s">
        <v>18</v>
      </c>
      <c r="R12" s="5" t="s">
        <v>178</v>
      </c>
      <c r="S12" s="5" t="s">
        <v>18</v>
      </c>
      <c r="U12" s="5">
        <v>32325.59</v>
      </c>
      <c r="V12" s="5">
        <v>66879.209999999992</v>
      </c>
      <c r="W12" s="7">
        <v>-0.51665711960413407</v>
      </c>
    </row>
    <row r="13" spans="2:23">
      <c r="B13" s="5">
        <v>25013</v>
      </c>
      <c r="C13" s="5" t="s">
        <v>144</v>
      </c>
      <c r="D13" s="5">
        <v>2022</v>
      </c>
      <c r="E13" s="6">
        <v>44621</v>
      </c>
      <c r="F13" s="5">
        <v>2023</v>
      </c>
      <c r="G13" s="6">
        <v>44958</v>
      </c>
      <c r="I13" s="5" t="s">
        <v>141</v>
      </c>
      <c r="J13" s="5" t="s">
        <v>177</v>
      </c>
      <c r="K13" s="5" t="s">
        <v>141</v>
      </c>
      <c r="L13" s="5" t="s">
        <v>141</v>
      </c>
      <c r="M13" s="5" t="s">
        <v>141</v>
      </c>
      <c r="O13" s="5" t="s">
        <v>93</v>
      </c>
      <c r="P13" s="5" t="s">
        <v>17</v>
      </c>
      <c r="R13" s="5" t="s">
        <v>93</v>
      </c>
      <c r="S13" s="5" t="s">
        <v>17</v>
      </c>
      <c r="U13" s="5">
        <v>0</v>
      </c>
      <c r="V13" s="5">
        <v>0</v>
      </c>
      <c r="W13" s="7" t="e">
        <v>#DIV/0!</v>
      </c>
    </row>
    <row r="14" spans="2:23">
      <c r="B14" s="5">
        <v>25015</v>
      </c>
      <c r="C14" s="5" t="s">
        <v>107</v>
      </c>
      <c r="D14" s="5">
        <v>2022</v>
      </c>
      <c r="E14" s="6">
        <v>44621</v>
      </c>
      <c r="I14" s="5" t="s">
        <v>141</v>
      </c>
      <c r="J14" s="5" t="s">
        <v>177</v>
      </c>
      <c r="K14" s="5" t="s">
        <v>177</v>
      </c>
      <c r="L14" s="5" t="s">
        <v>177</v>
      </c>
      <c r="M14" s="5" t="s">
        <v>177</v>
      </c>
      <c r="O14" s="5" t="s">
        <v>178</v>
      </c>
      <c r="P14" s="5" t="s">
        <v>18</v>
      </c>
      <c r="R14" s="5" t="s">
        <v>178</v>
      </c>
      <c r="S14" s="5" t="s">
        <v>18</v>
      </c>
      <c r="U14" s="5">
        <v>1573.68</v>
      </c>
      <c r="V14" s="5">
        <v>1453.98</v>
      </c>
      <c r="W14" s="7">
        <v>8.232575413692067E-2</v>
      </c>
    </row>
    <row r="15" spans="2:23">
      <c r="B15" s="5">
        <v>25016</v>
      </c>
      <c r="C15" s="5" t="s">
        <v>122</v>
      </c>
      <c r="D15" s="5">
        <v>2022</v>
      </c>
      <c r="E15" s="6">
        <v>44652</v>
      </c>
      <c r="I15" s="5" t="s">
        <v>141</v>
      </c>
      <c r="J15" s="5" t="s">
        <v>177</v>
      </c>
      <c r="K15" s="5" t="s">
        <v>177</v>
      </c>
      <c r="L15" s="5" t="s">
        <v>177</v>
      </c>
      <c r="M15" s="5" t="s">
        <v>177</v>
      </c>
      <c r="O15" s="5" t="s">
        <v>180</v>
      </c>
      <c r="P15" s="5" t="s">
        <v>19</v>
      </c>
      <c r="R15" s="5" t="s">
        <v>180</v>
      </c>
      <c r="S15" s="5" t="s">
        <v>19</v>
      </c>
      <c r="U15" s="5">
        <v>1700.92</v>
      </c>
      <c r="V15" s="5">
        <v>5289</v>
      </c>
      <c r="W15" s="7">
        <v>-0.6784042352051427</v>
      </c>
    </row>
    <row r="16" spans="2:23">
      <c r="B16" s="5">
        <v>25018</v>
      </c>
      <c r="C16" s="5" t="s">
        <v>145</v>
      </c>
      <c r="D16" s="5">
        <v>2022</v>
      </c>
      <c r="E16" s="6">
        <v>44743</v>
      </c>
      <c r="F16" s="8">
        <v>2023</v>
      </c>
      <c r="G16" s="9">
        <v>45261</v>
      </c>
      <c r="I16" s="5" t="s">
        <v>141</v>
      </c>
      <c r="J16" s="5" t="s">
        <v>177</v>
      </c>
      <c r="K16" s="5" t="s">
        <v>141</v>
      </c>
      <c r="L16" s="5" t="s">
        <v>141</v>
      </c>
      <c r="M16" s="5" t="s">
        <v>141</v>
      </c>
      <c r="O16" s="5" t="s">
        <v>180</v>
      </c>
      <c r="P16" s="5" t="s">
        <v>19</v>
      </c>
      <c r="R16" s="5" t="s">
        <v>180</v>
      </c>
      <c r="S16" s="5" t="s">
        <v>19</v>
      </c>
      <c r="U16" s="5">
        <v>0</v>
      </c>
      <c r="V16" s="5">
        <v>0</v>
      </c>
      <c r="W16" s="7" t="e">
        <v>#DIV/0!</v>
      </c>
    </row>
    <row r="17" spans="2:23">
      <c r="B17" s="5">
        <v>25019</v>
      </c>
      <c r="C17" s="5" t="s">
        <v>146</v>
      </c>
      <c r="D17" s="5">
        <v>2022</v>
      </c>
      <c r="E17" s="6">
        <v>44713</v>
      </c>
      <c r="F17" s="8">
        <v>2023</v>
      </c>
      <c r="G17" s="9">
        <v>45261</v>
      </c>
      <c r="I17" s="5" t="s">
        <v>141</v>
      </c>
      <c r="J17" s="5" t="s">
        <v>177</v>
      </c>
      <c r="K17" s="5" t="s">
        <v>141</v>
      </c>
      <c r="L17" s="5" t="s">
        <v>141</v>
      </c>
      <c r="M17" s="5" t="s">
        <v>141</v>
      </c>
      <c r="O17" s="5" t="s">
        <v>180</v>
      </c>
      <c r="P17" s="5" t="s">
        <v>19</v>
      </c>
      <c r="R17" s="5" t="s">
        <v>180</v>
      </c>
      <c r="S17" s="5" t="s">
        <v>19</v>
      </c>
      <c r="U17" s="5">
        <v>0</v>
      </c>
      <c r="V17" s="5">
        <v>0</v>
      </c>
      <c r="W17" s="7" t="e">
        <v>#DIV/0!</v>
      </c>
    </row>
    <row r="18" spans="2:23">
      <c r="B18" s="5">
        <v>25020</v>
      </c>
      <c r="C18" s="5" t="s">
        <v>147</v>
      </c>
      <c r="D18" s="5">
        <v>2022</v>
      </c>
      <c r="E18" s="6">
        <v>44743</v>
      </c>
      <c r="F18" s="5">
        <v>2023</v>
      </c>
      <c r="G18" s="6">
        <v>44958</v>
      </c>
      <c r="I18" s="5" t="s">
        <v>141</v>
      </c>
      <c r="J18" s="5" t="s">
        <v>177</v>
      </c>
      <c r="K18" s="5" t="s">
        <v>141</v>
      </c>
      <c r="L18" s="5" t="s">
        <v>141</v>
      </c>
      <c r="M18" s="5" t="s">
        <v>141</v>
      </c>
      <c r="O18" s="5" t="s">
        <v>180</v>
      </c>
      <c r="P18" s="5" t="s">
        <v>19</v>
      </c>
      <c r="R18" s="5" t="s">
        <v>180</v>
      </c>
      <c r="S18" s="5" t="s">
        <v>19</v>
      </c>
      <c r="U18" s="5">
        <v>0</v>
      </c>
      <c r="V18" s="5">
        <v>0</v>
      </c>
      <c r="W18" s="7" t="e">
        <v>#DIV/0!</v>
      </c>
    </row>
    <row r="19" spans="2:23">
      <c r="B19" s="5">
        <v>25021</v>
      </c>
      <c r="C19" s="5" t="s">
        <v>148</v>
      </c>
      <c r="D19" s="5" t="s">
        <v>181</v>
      </c>
      <c r="E19" s="5" t="s">
        <v>181</v>
      </c>
      <c r="F19" s="5" t="s">
        <v>181</v>
      </c>
      <c r="G19" s="5" t="s">
        <v>181</v>
      </c>
      <c r="I19" s="5" t="s">
        <v>141</v>
      </c>
      <c r="J19" s="5" t="s">
        <v>141</v>
      </c>
      <c r="K19" s="5" t="s">
        <v>141</v>
      </c>
      <c r="L19" s="5" t="s">
        <v>141</v>
      </c>
      <c r="M19" s="5" t="s">
        <v>141</v>
      </c>
      <c r="O19" s="5" t="s">
        <v>178</v>
      </c>
      <c r="P19" s="5" t="s">
        <v>17</v>
      </c>
      <c r="R19" s="5" t="s">
        <v>178</v>
      </c>
      <c r="S19" s="5" t="s">
        <v>17</v>
      </c>
      <c r="U19" s="5">
        <v>0</v>
      </c>
      <c r="V19" s="5">
        <v>0</v>
      </c>
      <c r="W19" s="7" t="e">
        <v>#DIV/0!</v>
      </c>
    </row>
    <row r="20" spans="2:23">
      <c r="B20" s="5">
        <v>25022</v>
      </c>
      <c r="C20" s="5" t="s">
        <v>149</v>
      </c>
      <c r="D20" s="5">
        <v>2022</v>
      </c>
      <c r="E20" s="6">
        <v>44774</v>
      </c>
      <c r="F20" s="5">
        <v>2023</v>
      </c>
      <c r="G20" s="6">
        <v>44958</v>
      </c>
      <c r="I20" s="5" t="s">
        <v>141</v>
      </c>
      <c r="J20" s="5" t="s">
        <v>177</v>
      </c>
      <c r="K20" s="5" t="s">
        <v>141</v>
      </c>
      <c r="L20" s="5" t="s">
        <v>141</v>
      </c>
      <c r="M20" s="5" t="s">
        <v>141</v>
      </c>
      <c r="O20" s="5" t="s">
        <v>178</v>
      </c>
      <c r="P20" s="5" t="s">
        <v>17</v>
      </c>
      <c r="R20" s="5" t="s">
        <v>178</v>
      </c>
      <c r="S20" s="5" t="s">
        <v>17</v>
      </c>
      <c r="U20" s="5">
        <v>0</v>
      </c>
      <c r="V20" s="5">
        <v>0</v>
      </c>
      <c r="W20" s="7" t="e">
        <v>#DIV/0!</v>
      </c>
    </row>
    <row r="21" spans="2:23">
      <c r="B21" s="5">
        <v>25023</v>
      </c>
      <c r="C21" s="5" t="s">
        <v>150</v>
      </c>
      <c r="D21" s="5">
        <v>2022</v>
      </c>
      <c r="E21" s="6">
        <v>44805</v>
      </c>
      <c r="F21" s="5">
        <v>2024</v>
      </c>
      <c r="G21" s="6">
        <v>45444</v>
      </c>
      <c r="I21" s="5" t="s">
        <v>141</v>
      </c>
      <c r="J21" s="5" t="s">
        <v>177</v>
      </c>
      <c r="K21" s="5" t="s">
        <v>177</v>
      </c>
      <c r="L21" s="5" t="s">
        <v>141</v>
      </c>
      <c r="M21" s="5" t="s">
        <v>141</v>
      </c>
      <c r="O21" s="5" t="s">
        <v>178</v>
      </c>
      <c r="P21" s="5" t="s">
        <v>17</v>
      </c>
      <c r="R21" s="5" t="s">
        <v>178</v>
      </c>
      <c r="S21" s="5" t="s">
        <v>17</v>
      </c>
      <c r="U21" s="5">
        <v>0</v>
      </c>
      <c r="V21" s="5">
        <v>0</v>
      </c>
      <c r="W21" s="7" t="e">
        <v>#DIV/0!</v>
      </c>
    </row>
    <row r="22" spans="2:23">
      <c r="B22" s="5">
        <v>25024</v>
      </c>
      <c r="C22" s="5" t="s">
        <v>128</v>
      </c>
      <c r="D22" s="5">
        <v>2022</v>
      </c>
      <c r="E22" s="6">
        <v>44835</v>
      </c>
      <c r="I22" s="5" t="s">
        <v>141</v>
      </c>
      <c r="J22" s="5" t="s">
        <v>177</v>
      </c>
      <c r="K22" s="5" t="s">
        <v>177</v>
      </c>
      <c r="L22" s="5" t="s">
        <v>177</v>
      </c>
      <c r="M22" s="5" t="s">
        <v>177</v>
      </c>
      <c r="O22" s="5" t="s">
        <v>180</v>
      </c>
      <c r="P22" s="5" t="s">
        <v>19</v>
      </c>
      <c r="R22" s="5" t="s">
        <v>180</v>
      </c>
      <c r="S22" s="5" t="s">
        <v>19</v>
      </c>
      <c r="U22" s="5">
        <v>0</v>
      </c>
      <c r="V22" s="5">
        <v>0</v>
      </c>
      <c r="W22" s="7" t="e">
        <v>#DIV/0!</v>
      </c>
    </row>
    <row r="23" spans="2:23">
      <c r="B23" s="5">
        <v>25025</v>
      </c>
      <c r="C23" s="5" t="s">
        <v>151</v>
      </c>
      <c r="D23" s="5" t="s">
        <v>181</v>
      </c>
      <c r="E23" s="5" t="s">
        <v>181</v>
      </c>
      <c r="F23" s="5" t="s">
        <v>181</v>
      </c>
      <c r="G23" s="5" t="s">
        <v>181</v>
      </c>
      <c r="I23" s="5" t="s">
        <v>141</v>
      </c>
      <c r="J23" s="5" t="s">
        <v>141</v>
      </c>
      <c r="K23" s="5" t="s">
        <v>141</v>
      </c>
      <c r="L23" s="5" t="s">
        <v>141</v>
      </c>
      <c r="M23" s="5" t="s">
        <v>141</v>
      </c>
      <c r="O23" s="5" t="s">
        <v>180</v>
      </c>
      <c r="P23" s="5" t="s">
        <v>19</v>
      </c>
      <c r="R23" s="5" t="s">
        <v>180</v>
      </c>
      <c r="S23" s="5" t="s">
        <v>19</v>
      </c>
      <c r="U23" s="5">
        <v>0</v>
      </c>
      <c r="V23" s="5">
        <v>0</v>
      </c>
      <c r="W23" s="7" t="e">
        <v>#DIV/0!</v>
      </c>
    </row>
    <row r="24" spans="2:23">
      <c r="B24" s="5">
        <v>25026</v>
      </c>
      <c r="C24" s="5" t="s">
        <v>123</v>
      </c>
      <c r="D24" s="5">
        <v>2023</v>
      </c>
      <c r="E24" s="6">
        <v>44927</v>
      </c>
      <c r="I24" s="5" t="s">
        <v>141</v>
      </c>
      <c r="J24" s="5" t="s">
        <v>141</v>
      </c>
      <c r="K24" s="5" t="s">
        <v>177</v>
      </c>
      <c r="L24" s="5" t="s">
        <v>177</v>
      </c>
      <c r="M24" s="5" t="s">
        <v>177</v>
      </c>
      <c r="O24" s="5" t="s">
        <v>180</v>
      </c>
      <c r="P24" s="5" t="s">
        <v>19</v>
      </c>
      <c r="R24" s="5" t="s">
        <v>180</v>
      </c>
      <c r="S24" s="5" t="s">
        <v>19</v>
      </c>
      <c r="U24" s="5">
        <v>3885.2</v>
      </c>
      <c r="V24" s="5">
        <v>3224.75</v>
      </c>
      <c r="W24" s="7">
        <v>0.20480657415303516</v>
      </c>
    </row>
    <row r="25" spans="2:23">
      <c r="B25" s="5">
        <v>25027</v>
      </c>
      <c r="C25" s="5" t="s">
        <v>102</v>
      </c>
      <c r="D25" s="5">
        <v>2022</v>
      </c>
      <c r="E25" s="6">
        <v>44896</v>
      </c>
      <c r="I25" s="5" t="s">
        <v>141</v>
      </c>
      <c r="J25" s="5" t="s">
        <v>177</v>
      </c>
      <c r="K25" s="5" t="s">
        <v>177</v>
      </c>
      <c r="L25" s="5" t="s">
        <v>177</v>
      </c>
      <c r="M25" s="5" t="s">
        <v>177</v>
      </c>
      <c r="O25" s="5" t="s">
        <v>178</v>
      </c>
      <c r="P25" s="5" t="s">
        <v>18</v>
      </c>
      <c r="R25" s="5" t="s">
        <v>178</v>
      </c>
      <c r="S25" s="5" t="s">
        <v>18</v>
      </c>
      <c r="U25" s="5">
        <v>18856.079999999998</v>
      </c>
      <c r="V25" s="5">
        <v>48635.429999999993</v>
      </c>
      <c r="W25" s="7">
        <v>-0.61229745475674835</v>
      </c>
    </row>
    <row r="26" spans="2:23">
      <c r="B26" s="5">
        <v>25028</v>
      </c>
      <c r="C26" s="5" t="s">
        <v>152</v>
      </c>
      <c r="D26" s="5">
        <v>2023</v>
      </c>
      <c r="E26" s="6">
        <v>44927</v>
      </c>
      <c r="F26" s="5">
        <v>2023</v>
      </c>
      <c r="G26" s="6">
        <v>45047</v>
      </c>
      <c r="I26" s="5" t="s">
        <v>141</v>
      </c>
      <c r="J26" s="5" t="s">
        <v>141</v>
      </c>
      <c r="K26" s="5" t="s">
        <v>141</v>
      </c>
      <c r="L26" s="5" t="s">
        <v>141</v>
      </c>
      <c r="M26" s="5" t="s">
        <v>141</v>
      </c>
      <c r="O26" s="5" t="s">
        <v>93</v>
      </c>
      <c r="P26" s="5" t="s">
        <v>16</v>
      </c>
      <c r="R26" s="5" t="s">
        <v>179</v>
      </c>
      <c r="S26" s="5" t="s">
        <v>16</v>
      </c>
      <c r="U26" s="5">
        <v>0</v>
      </c>
      <c r="V26" s="5">
        <v>0</v>
      </c>
      <c r="W26" s="7" t="e">
        <v>#DIV/0!</v>
      </c>
    </row>
    <row r="27" spans="2:23">
      <c r="B27" s="5">
        <v>25029</v>
      </c>
      <c r="C27" s="5" t="s">
        <v>124</v>
      </c>
      <c r="D27" s="5">
        <v>2023</v>
      </c>
      <c r="E27" s="6">
        <v>44927</v>
      </c>
      <c r="I27" s="5" t="s">
        <v>141</v>
      </c>
      <c r="J27" s="5" t="s">
        <v>141</v>
      </c>
      <c r="K27" s="5" t="s">
        <v>177</v>
      </c>
      <c r="L27" s="5" t="s">
        <v>177</v>
      </c>
      <c r="M27" s="5" t="s">
        <v>177</v>
      </c>
      <c r="O27" s="5" t="s">
        <v>180</v>
      </c>
      <c r="P27" s="5" t="s">
        <v>19</v>
      </c>
      <c r="R27" s="5" t="s">
        <v>180</v>
      </c>
      <c r="S27" s="5" t="s">
        <v>19</v>
      </c>
      <c r="U27" s="5">
        <v>2472.4899999999998</v>
      </c>
      <c r="V27" s="5">
        <v>0</v>
      </c>
      <c r="W27" s="7" t="e">
        <v>#DIV/0!</v>
      </c>
    </row>
    <row r="28" spans="2:23">
      <c r="B28" s="5">
        <v>25032</v>
      </c>
      <c r="C28" s="5" t="s">
        <v>103</v>
      </c>
      <c r="D28" s="5">
        <v>2023</v>
      </c>
      <c r="E28" s="6">
        <v>45017</v>
      </c>
      <c r="I28" s="5" t="s">
        <v>141</v>
      </c>
      <c r="J28" s="5" t="s">
        <v>141</v>
      </c>
      <c r="K28" s="5" t="s">
        <v>177</v>
      </c>
      <c r="L28" s="5" t="s">
        <v>177</v>
      </c>
      <c r="M28" s="5" t="s">
        <v>177</v>
      </c>
      <c r="O28" s="5" t="s">
        <v>178</v>
      </c>
      <c r="P28" s="5" t="s">
        <v>18</v>
      </c>
      <c r="R28" s="5" t="s">
        <v>178</v>
      </c>
      <c r="S28" s="5" t="s">
        <v>18</v>
      </c>
      <c r="U28" s="5">
        <v>22531.31</v>
      </c>
      <c r="V28" s="5">
        <v>22714.129999999997</v>
      </c>
      <c r="W28" s="7">
        <v>-8.0487344221414903E-3</v>
      </c>
    </row>
    <row r="29" spans="2:23">
      <c r="B29" s="5">
        <v>25033</v>
      </c>
      <c r="C29" s="5" t="s">
        <v>153</v>
      </c>
      <c r="D29" s="5">
        <v>2023</v>
      </c>
      <c r="E29" s="6">
        <v>45047</v>
      </c>
      <c r="F29" s="5">
        <v>2024</v>
      </c>
      <c r="G29" s="6">
        <v>45352</v>
      </c>
      <c r="I29" s="5" t="s">
        <v>141</v>
      </c>
      <c r="J29" s="5" t="s">
        <v>141</v>
      </c>
      <c r="K29" s="5" t="s">
        <v>177</v>
      </c>
      <c r="L29" s="5" t="s">
        <v>141</v>
      </c>
      <c r="M29" s="5" t="s">
        <v>141</v>
      </c>
      <c r="O29" s="5" t="s">
        <v>93</v>
      </c>
      <c r="P29" s="5" t="s">
        <v>16</v>
      </c>
      <c r="R29" s="5" t="s">
        <v>179</v>
      </c>
      <c r="S29" s="5" t="s">
        <v>16</v>
      </c>
      <c r="U29" s="5">
        <v>0</v>
      </c>
      <c r="V29" s="5">
        <v>0</v>
      </c>
      <c r="W29" s="7" t="e">
        <v>#DIV/0!</v>
      </c>
    </row>
    <row r="30" spans="2:23">
      <c r="B30" s="5">
        <v>25034</v>
      </c>
      <c r="C30" s="5" t="s">
        <v>154</v>
      </c>
      <c r="D30" s="5">
        <v>2023</v>
      </c>
      <c r="E30" s="6">
        <v>45047</v>
      </c>
      <c r="F30" s="8">
        <v>2025</v>
      </c>
      <c r="G30" s="9">
        <v>45658</v>
      </c>
      <c r="I30" s="5" t="s">
        <v>141</v>
      </c>
      <c r="J30" s="5" t="s">
        <v>141</v>
      </c>
      <c r="K30" s="5" t="s">
        <v>177</v>
      </c>
      <c r="L30" s="5" t="s">
        <v>177</v>
      </c>
      <c r="M30" s="5" t="s">
        <v>141</v>
      </c>
      <c r="O30" s="5" t="s">
        <v>138</v>
      </c>
      <c r="P30" s="5" t="s">
        <v>20</v>
      </c>
      <c r="R30" s="5" t="s">
        <v>138</v>
      </c>
      <c r="S30" s="5" t="s">
        <v>20</v>
      </c>
      <c r="U30" s="5">
        <v>0</v>
      </c>
      <c r="V30" s="5">
        <v>0</v>
      </c>
      <c r="W30" s="7" t="e">
        <v>#DIV/0!</v>
      </c>
    </row>
    <row r="31" spans="2:23">
      <c r="B31" s="5">
        <v>25035</v>
      </c>
      <c r="C31" s="5" t="s">
        <v>135</v>
      </c>
      <c r="D31" s="5">
        <v>2023</v>
      </c>
      <c r="E31" s="6">
        <v>45170</v>
      </c>
      <c r="I31" s="5" t="s">
        <v>141</v>
      </c>
      <c r="J31" s="5" t="s">
        <v>141</v>
      </c>
      <c r="K31" s="5" t="s">
        <v>177</v>
      </c>
      <c r="L31" s="5" t="s">
        <v>177</v>
      </c>
      <c r="M31" s="5" t="s">
        <v>177</v>
      </c>
      <c r="O31" s="5" t="s">
        <v>138</v>
      </c>
      <c r="P31" s="5" t="s">
        <v>20</v>
      </c>
      <c r="R31" s="5" t="s">
        <v>138</v>
      </c>
      <c r="S31" s="5" t="s">
        <v>20</v>
      </c>
      <c r="U31" s="5">
        <v>0</v>
      </c>
      <c r="V31" s="5">
        <v>3417</v>
      </c>
      <c r="W31" s="7">
        <v>-1</v>
      </c>
    </row>
    <row r="32" spans="2:23">
      <c r="B32" s="5">
        <v>25036</v>
      </c>
      <c r="C32" s="5" t="s">
        <v>108</v>
      </c>
      <c r="D32" s="5">
        <v>2023</v>
      </c>
      <c r="E32" s="6">
        <v>45139</v>
      </c>
      <c r="I32" s="5" t="s">
        <v>141</v>
      </c>
      <c r="J32" s="5" t="s">
        <v>141</v>
      </c>
      <c r="K32" s="5" t="s">
        <v>177</v>
      </c>
      <c r="L32" s="5" t="s">
        <v>177</v>
      </c>
      <c r="M32" s="5" t="s">
        <v>177</v>
      </c>
      <c r="O32" s="5" t="s">
        <v>178</v>
      </c>
      <c r="P32" s="5" t="s">
        <v>18</v>
      </c>
      <c r="R32" s="5" t="s">
        <v>178</v>
      </c>
      <c r="S32" s="5" t="s">
        <v>18</v>
      </c>
      <c r="U32" s="5">
        <v>654.34</v>
      </c>
      <c r="V32" s="5">
        <v>267.52</v>
      </c>
      <c r="W32" s="7">
        <v>1.4459479665071773</v>
      </c>
    </row>
    <row r="33" spans="2:23">
      <c r="B33" s="5">
        <v>25037</v>
      </c>
      <c r="C33" s="5" t="s">
        <v>75</v>
      </c>
      <c r="D33" s="5">
        <v>2023</v>
      </c>
      <c r="E33" s="6">
        <v>45139</v>
      </c>
      <c r="I33" s="5" t="s">
        <v>141</v>
      </c>
      <c r="J33" s="5" t="s">
        <v>141</v>
      </c>
      <c r="K33" s="5" t="s">
        <v>177</v>
      </c>
      <c r="L33" s="5" t="s">
        <v>177</v>
      </c>
      <c r="M33" s="5" t="s">
        <v>177</v>
      </c>
      <c r="O33" s="5" t="s">
        <v>93</v>
      </c>
      <c r="P33" s="5" t="s">
        <v>16</v>
      </c>
      <c r="R33" s="5" t="s">
        <v>179</v>
      </c>
      <c r="S33" s="5" t="s">
        <v>16</v>
      </c>
      <c r="U33" s="5">
        <v>4383.2299999999996</v>
      </c>
      <c r="V33" s="5">
        <v>4811.66</v>
      </c>
      <c r="W33" s="7">
        <v>-8.9039957104201095E-2</v>
      </c>
    </row>
    <row r="34" spans="2:23">
      <c r="B34" s="10" t="s">
        <v>182</v>
      </c>
      <c r="C34" s="5" t="s">
        <v>183</v>
      </c>
      <c r="D34" s="5">
        <v>2023</v>
      </c>
      <c r="E34" s="6">
        <v>45139</v>
      </c>
      <c r="I34" s="5" t="s">
        <v>141</v>
      </c>
      <c r="J34" s="5" t="s">
        <v>141</v>
      </c>
      <c r="K34" s="5" t="s">
        <v>177</v>
      </c>
      <c r="L34" s="5" t="s">
        <v>177</v>
      </c>
      <c r="M34" s="5" t="s">
        <v>177</v>
      </c>
      <c r="O34" s="5" t="s">
        <v>93</v>
      </c>
      <c r="P34" s="8" t="s">
        <v>16</v>
      </c>
      <c r="R34" s="5" t="s">
        <v>179</v>
      </c>
      <c r="S34" s="5" t="s">
        <v>16</v>
      </c>
      <c r="U34" s="5">
        <v>0</v>
      </c>
      <c r="V34" s="5">
        <v>0</v>
      </c>
      <c r="W34" s="7" t="e">
        <v>#DIV/0!</v>
      </c>
    </row>
    <row r="35" spans="2:23">
      <c r="B35" s="5">
        <v>25038</v>
      </c>
      <c r="C35" s="5" t="s">
        <v>104</v>
      </c>
      <c r="D35" s="5">
        <v>2023</v>
      </c>
      <c r="E35" s="6">
        <v>45200</v>
      </c>
      <c r="I35" s="5" t="s">
        <v>141</v>
      </c>
      <c r="J35" s="5" t="s">
        <v>141</v>
      </c>
      <c r="K35" s="5" t="s">
        <v>177</v>
      </c>
      <c r="L35" s="5" t="s">
        <v>177</v>
      </c>
      <c r="M35" s="5" t="s">
        <v>177</v>
      </c>
      <c r="O35" s="5" t="s">
        <v>178</v>
      </c>
      <c r="P35" s="5" t="s">
        <v>18</v>
      </c>
      <c r="R35" s="5" t="s">
        <v>178</v>
      </c>
      <c r="S35" s="5" t="s">
        <v>18</v>
      </c>
      <c r="U35" s="5">
        <v>8371.52</v>
      </c>
      <c r="V35" s="5">
        <v>9214.11</v>
      </c>
      <c r="W35" s="7">
        <v>-9.1445619815695767E-2</v>
      </c>
    </row>
    <row r="36" spans="2:23">
      <c r="B36" s="5">
        <v>25039</v>
      </c>
      <c r="C36" s="5" t="s">
        <v>88</v>
      </c>
      <c r="D36" s="5">
        <v>2024</v>
      </c>
      <c r="E36" s="6">
        <v>45352</v>
      </c>
      <c r="I36" s="5" t="s">
        <v>141</v>
      </c>
      <c r="J36" s="5" t="s">
        <v>141</v>
      </c>
      <c r="K36" s="5" t="s">
        <v>141</v>
      </c>
      <c r="L36" s="5" t="s">
        <v>177</v>
      </c>
      <c r="M36" s="5" t="s">
        <v>177</v>
      </c>
      <c r="O36" s="5" t="s">
        <v>93</v>
      </c>
      <c r="P36" s="5" t="s">
        <v>17</v>
      </c>
      <c r="R36" s="5" t="s">
        <v>93</v>
      </c>
      <c r="S36" s="5" t="s">
        <v>17</v>
      </c>
      <c r="U36" s="5">
        <v>555</v>
      </c>
      <c r="V36" s="5">
        <v>7373.27</v>
      </c>
      <c r="W36" s="7">
        <v>-0.92472810571157704</v>
      </c>
    </row>
    <row r="37" spans="2:23">
      <c r="B37" s="5">
        <v>25040</v>
      </c>
      <c r="C37" s="5" t="s">
        <v>166</v>
      </c>
      <c r="D37" s="5">
        <v>2023</v>
      </c>
      <c r="E37" s="6">
        <v>45200</v>
      </c>
      <c r="I37" s="5" t="s">
        <v>141</v>
      </c>
      <c r="J37" s="5" t="s">
        <v>141</v>
      </c>
      <c r="K37" s="5" t="s">
        <v>177</v>
      </c>
      <c r="L37" s="5" t="s">
        <v>177</v>
      </c>
      <c r="M37" s="5" t="s">
        <v>177</v>
      </c>
      <c r="O37" s="5" t="s">
        <v>180</v>
      </c>
      <c r="P37" s="5" t="s">
        <v>19</v>
      </c>
      <c r="R37" s="5" t="s">
        <v>180</v>
      </c>
      <c r="S37" s="5" t="s">
        <v>19</v>
      </c>
      <c r="U37" s="5">
        <v>5533.16</v>
      </c>
      <c r="V37" s="5">
        <v>2374.2999999999997</v>
      </c>
      <c r="W37" s="7">
        <v>1.330438445015373</v>
      </c>
    </row>
    <row r="38" spans="2:23">
      <c r="B38" s="5">
        <v>25041</v>
      </c>
      <c r="C38" s="5" t="s">
        <v>155</v>
      </c>
      <c r="D38" s="5">
        <v>2023</v>
      </c>
      <c r="E38" s="6">
        <v>45231</v>
      </c>
      <c r="F38" s="8">
        <v>2023</v>
      </c>
      <c r="G38" s="9">
        <v>45261</v>
      </c>
      <c r="I38" s="5" t="s">
        <v>141</v>
      </c>
      <c r="J38" s="5" t="s">
        <v>141</v>
      </c>
      <c r="K38" s="5" t="s">
        <v>141</v>
      </c>
      <c r="L38" s="5" t="s">
        <v>141</v>
      </c>
      <c r="M38" s="5" t="s">
        <v>141</v>
      </c>
      <c r="O38" s="5" t="s">
        <v>93</v>
      </c>
      <c r="P38" s="5" t="s">
        <v>17</v>
      </c>
      <c r="R38" s="5" t="s">
        <v>93</v>
      </c>
      <c r="S38" s="5" t="s">
        <v>17</v>
      </c>
      <c r="U38" s="5">
        <v>0</v>
      </c>
      <c r="V38" s="5">
        <v>0</v>
      </c>
      <c r="W38" s="7" t="e">
        <v>#DIV/0!</v>
      </c>
    </row>
    <row r="39" spans="2:23">
      <c r="B39" s="5">
        <v>25042</v>
      </c>
      <c r="C39" s="5" t="s">
        <v>136</v>
      </c>
      <c r="D39" s="5">
        <v>2023</v>
      </c>
      <c r="E39" s="6">
        <v>45261</v>
      </c>
      <c r="I39" s="5" t="s">
        <v>141</v>
      </c>
      <c r="J39" s="5" t="s">
        <v>141</v>
      </c>
      <c r="K39" s="5" t="s">
        <v>177</v>
      </c>
      <c r="L39" s="5" t="s">
        <v>177</v>
      </c>
      <c r="M39" s="5" t="s">
        <v>177</v>
      </c>
      <c r="O39" s="5" t="s">
        <v>180</v>
      </c>
      <c r="P39" s="5" t="s">
        <v>19</v>
      </c>
      <c r="R39" s="5" t="s">
        <v>180</v>
      </c>
      <c r="S39" s="5" t="s">
        <v>19</v>
      </c>
      <c r="U39" s="5">
        <v>39356.29</v>
      </c>
      <c r="V39" s="5">
        <v>8262</v>
      </c>
      <c r="W39" s="7">
        <v>3.7635306221253932</v>
      </c>
    </row>
    <row r="40" spans="2:23">
      <c r="B40" s="5">
        <v>25043</v>
      </c>
      <c r="C40" s="5" t="s">
        <v>126</v>
      </c>
      <c r="D40" s="5">
        <v>2023</v>
      </c>
      <c r="E40" s="6">
        <v>45261</v>
      </c>
      <c r="I40" s="5" t="s">
        <v>141</v>
      </c>
      <c r="J40" s="5" t="s">
        <v>141</v>
      </c>
      <c r="K40" s="5" t="s">
        <v>177</v>
      </c>
      <c r="L40" s="5" t="s">
        <v>177</v>
      </c>
      <c r="M40" s="5" t="s">
        <v>177</v>
      </c>
      <c r="O40" s="5" t="s">
        <v>180</v>
      </c>
      <c r="P40" s="5" t="s">
        <v>19</v>
      </c>
      <c r="R40" s="5" t="s">
        <v>180</v>
      </c>
      <c r="S40" s="5" t="s">
        <v>19</v>
      </c>
      <c r="U40" s="5">
        <v>2570</v>
      </c>
      <c r="V40" s="5">
        <v>0</v>
      </c>
      <c r="W40" s="7" t="e">
        <v>#DIV/0!</v>
      </c>
    </row>
    <row r="41" spans="2:23">
      <c r="B41" s="5">
        <v>25044</v>
      </c>
      <c r="C41" s="5" t="s">
        <v>90</v>
      </c>
      <c r="D41" s="5">
        <v>2024</v>
      </c>
      <c r="E41" s="6">
        <v>45292</v>
      </c>
      <c r="I41" s="5" t="s">
        <v>141</v>
      </c>
      <c r="J41" s="5" t="s">
        <v>141</v>
      </c>
      <c r="K41" s="5" t="s">
        <v>141</v>
      </c>
      <c r="L41" s="5" t="s">
        <v>177</v>
      </c>
      <c r="M41" s="5" t="s">
        <v>177</v>
      </c>
      <c r="O41" s="5" t="s">
        <v>93</v>
      </c>
      <c r="P41" s="5" t="s">
        <v>17</v>
      </c>
      <c r="R41" s="5" t="s">
        <v>93</v>
      </c>
      <c r="S41" s="5" t="s">
        <v>17</v>
      </c>
      <c r="U41" s="5">
        <v>15084.829999999998</v>
      </c>
      <c r="V41" s="5">
        <v>9667.73</v>
      </c>
      <c r="W41" s="7">
        <v>0.56032801909031371</v>
      </c>
    </row>
    <row r="42" spans="2:23">
      <c r="B42" s="5">
        <v>25045</v>
      </c>
      <c r="C42" s="5" t="s">
        <v>77</v>
      </c>
      <c r="D42" s="5">
        <v>2024</v>
      </c>
      <c r="E42" s="6">
        <v>45323</v>
      </c>
      <c r="I42" s="5" t="s">
        <v>141</v>
      </c>
      <c r="J42" s="5" t="s">
        <v>141</v>
      </c>
      <c r="K42" s="5" t="s">
        <v>141</v>
      </c>
      <c r="L42" s="5" t="s">
        <v>177</v>
      </c>
      <c r="M42" s="5" t="s">
        <v>177</v>
      </c>
      <c r="O42" s="5" t="s">
        <v>93</v>
      </c>
      <c r="P42" s="5" t="s">
        <v>16</v>
      </c>
      <c r="R42" s="5" t="s">
        <v>179</v>
      </c>
      <c r="S42" s="5" t="s">
        <v>16</v>
      </c>
      <c r="U42" s="5">
        <v>5838.02</v>
      </c>
      <c r="V42" s="5">
        <v>14437.29</v>
      </c>
      <c r="W42" s="7">
        <v>-0.59562909659638341</v>
      </c>
    </row>
    <row r="43" spans="2:23">
      <c r="B43" s="5">
        <v>25046</v>
      </c>
      <c r="C43" s="5" t="s">
        <v>109</v>
      </c>
      <c r="D43" s="5">
        <v>2024</v>
      </c>
      <c r="E43" s="6">
        <v>45383</v>
      </c>
      <c r="I43" s="5" t="s">
        <v>141</v>
      </c>
      <c r="J43" s="5" t="s">
        <v>141</v>
      </c>
      <c r="K43" s="5" t="s">
        <v>141</v>
      </c>
      <c r="L43" s="5" t="s">
        <v>177</v>
      </c>
      <c r="M43" s="5" t="s">
        <v>177</v>
      </c>
      <c r="O43" s="5" t="s">
        <v>178</v>
      </c>
      <c r="P43" s="5" t="s">
        <v>18</v>
      </c>
      <c r="R43" s="5" t="s">
        <v>178</v>
      </c>
      <c r="S43" s="5" t="s">
        <v>18</v>
      </c>
      <c r="U43" s="5">
        <v>0</v>
      </c>
      <c r="V43" s="5">
        <v>11898.24</v>
      </c>
      <c r="W43" s="7">
        <v>-1</v>
      </c>
    </row>
    <row r="44" spans="2:23">
      <c r="B44" s="5">
        <v>25047</v>
      </c>
      <c r="C44" s="5" t="s">
        <v>129</v>
      </c>
      <c r="D44" s="5">
        <v>2024</v>
      </c>
      <c r="E44" s="6">
        <v>45413</v>
      </c>
      <c r="I44" s="5" t="s">
        <v>141</v>
      </c>
      <c r="J44" s="5" t="s">
        <v>141</v>
      </c>
      <c r="K44" s="5" t="s">
        <v>141</v>
      </c>
      <c r="L44" s="5" t="s">
        <v>177</v>
      </c>
      <c r="M44" s="5" t="s">
        <v>177</v>
      </c>
      <c r="O44" s="5" t="s">
        <v>180</v>
      </c>
      <c r="P44" s="5" t="s">
        <v>19</v>
      </c>
      <c r="R44" s="5" t="s">
        <v>180</v>
      </c>
      <c r="S44" s="5" t="s">
        <v>19</v>
      </c>
      <c r="U44" s="5">
        <v>20149.530000000002</v>
      </c>
      <c r="V44" s="5">
        <v>13311.289999999999</v>
      </c>
      <c r="W44" s="7">
        <v>0.51371730313140218</v>
      </c>
    </row>
    <row r="45" spans="2:23">
      <c r="B45" s="5">
        <v>25049</v>
      </c>
      <c r="C45" s="5" t="s">
        <v>78</v>
      </c>
      <c r="D45" s="5">
        <v>2024</v>
      </c>
      <c r="E45" s="6">
        <v>45413</v>
      </c>
      <c r="I45" s="5" t="s">
        <v>141</v>
      </c>
      <c r="J45" s="5" t="s">
        <v>141</v>
      </c>
      <c r="K45" s="5" t="s">
        <v>141</v>
      </c>
      <c r="L45" s="5" t="s">
        <v>177</v>
      </c>
      <c r="M45" s="5" t="s">
        <v>177</v>
      </c>
      <c r="O45" s="5" t="s">
        <v>93</v>
      </c>
      <c r="P45" s="5" t="s">
        <v>16</v>
      </c>
      <c r="R45" s="5" t="s">
        <v>179</v>
      </c>
      <c r="S45" s="5" t="s">
        <v>16</v>
      </c>
      <c r="U45" s="5">
        <v>3235.52</v>
      </c>
      <c r="V45" s="5">
        <v>5398.5</v>
      </c>
      <c r="W45" s="7">
        <v>-0.40066314717051033</v>
      </c>
    </row>
    <row r="46" spans="2:23">
      <c r="B46" s="5">
        <v>25050</v>
      </c>
      <c r="C46" s="5" t="s">
        <v>91</v>
      </c>
      <c r="D46" s="5">
        <v>2024</v>
      </c>
      <c r="E46" s="6">
        <v>45444</v>
      </c>
      <c r="I46" s="5" t="s">
        <v>141</v>
      </c>
      <c r="J46" s="5" t="s">
        <v>141</v>
      </c>
      <c r="K46" s="5" t="s">
        <v>141</v>
      </c>
      <c r="L46" s="5" t="s">
        <v>177</v>
      </c>
      <c r="M46" s="5" t="s">
        <v>177</v>
      </c>
      <c r="O46" s="5" t="s">
        <v>93</v>
      </c>
      <c r="P46" s="5" t="s">
        <v>17</v>
      </c>
      <c r="R46" s="5" t="s">
        <v>93</v>
      </c>
      <c r="S46" s="5" t="s">
        <v>17</v>
      </c>
      <c r="U46" s="5">
        <v>3455.54</v>
      </c>
      <c r="V46" s="5">
        <v>8986.5499999999993</v>
      </c>
      <c r="W46" s="7">
        <v>-0.61547646204605777</v>
      </c>
    </row>
    <row r="47" spans="2:23">
      <c r="B47" s="5">
        <v>25052</v>
      </c>
      <c r="C47" s="5" t="s">
        <v>110</v>
      </c>
      <c r="D47" s="5">
        <v>2024</v>
      </c>
      <c r="E47" s="6">
        <v>45474</v>
      </c>
      <c r="I47" s="5" t="s">
        <v>141</v>
      </c>
      <c r="J47" s="5" t="s">
        <v>141</v>
      </c>
      <c r="K47" s="5" t="s">
        <v>141</v>
      </c>
      <c r="L47" s="5" t="s">
        <v>177</v>
      </c>
      <c r="M47" s="5" t="s">
        <v>177</v>
      </c>
      <c r="O47" s="5" t="s">
        <v>178</v>
      </c>
      <c r="P47" s="5" t="s">
        <v>18</v>
      </c>
      <c r="R47" s="5" t="s">
        <v>178</v>
      </c>
      <c r="S47" s="5" t="s">
        <v>18</v>
      </c>
      <c r="U47" s="5">
        <v>0</v>
      </c>
      <c r="V47" s="5">
        <v>0</v>
      </c>
      <c r="W47" s="7" t="e">
        <v>#DIV/0!</v>
      </c>
    </row>
    <row r="48" spans="2:23">
      <c r="B48" s="5">
        <v>25053</v>
      </c>
      <c r="C48" s="5" t="s">
        <v>111</v>
      </c>
      <c r="D48" s="5">
        <v>2024</v>
      </c>
      <c r="E48" s="6">
        <v>45505</v>
      </c>
      <c r="I48" s="5" t="s">
        <v>141</v>
      </c>
      <c r="J48" s="5" t="s">
        <v>141</v>
      </c>
      <c r="K48" s="5" t="s">
        <v>141</v>
      </c>
      <c r="L48" s="5" t="s">
        <v>177</v>
      </c>
      <c r="M48" s="5" t="s">
        <v>177</v>
      </c>
      <c r="O48" s="5" t="s">
        <v>178</v>
      </c>
      <c r="P48" s="5" t="s">
        <v>18</v>
      </c>
      <c r="R48" s="5" t="s">
        <v>178</v>
      </c>
      <c r="S48" s="5" t="s">
        <v>18</v>
      </c>
      <c r="U48" s="5">
        <v>1846.6399999999999</v>
      </c>
      <c r="V48" s="5">
        <v>0</v>
      </c>
      <c r="W48" s="7" t="e">
        <v>#DIV/0!</v>
      </c>
    </row>
    <row r="49" spans="2:23">
      <c r="B49" s="5">
        <v>25054</v>
      </c>
      <c r="C49" s="5" t="s">
        <v>92</v>
      </c>
      <c r="D49" s="5">
        <v>2024</v>
      </c>
      <c r="E49" s="6">
        <v>45505</v>
      </c>
      <c r="I49" s="5" t="s">
        <v>141</v>
      </c>
      <c r="J49" s="5" t="s">
        <v>141</v>
      </c>
      <c r="K49" s="5" t="s">
        <v>141</v>
      </c>
      <c r="L49" s="5" t="s">
        <v>177</v>
      </c>
      <c r="M49" s="5" t="s">
        <v>177</v>
      </c>
      <c r="O49" s="5" t="s">
        <v>180</v>
      </c>
      <c r="P49" s="5" t="s">
        <v>19</v>
      </c>
      <c r="R49" s="5" t="s">
        <v>180</v>
      </c>
      <c r="S49" s="5" t="s">
        <v>19</v>
      </c>
      <c r="U49" s="5">
        <v>7264.8</v>
      </c>
      <c r="V49" s="5">
        <v>0</v>
      </c>
      <c r="W49" s="7" t="e">
        <v>#DIV/0!</v>
      </c>
    </row>
    <row r="50" spans="2:23">
      <c r="B50" s="5">
        <v>25055</v>
      </c>
      <c r="C50" s="5" t="s">
        <v>130</v>
      </c>
      <c r="D50" s="5">
        <v>2024</v>
      </c>
      <c r="E50" s="6">
        <v>45536</v>
      </c>
      <c r="I50" s="5" t="s">
        <v>141</v>
      </c>
      <c r="J50" s="5" t="s">
        <v>141</v>
      </c>
      <c r="K50" s="5" t="s">
        <v>141</v>
      </c>
      <c r="L50" s="5" t="s">
        <v>177</v>
      </c>
      <c r="M50" s="5" t="s">
        <v>177</v>
      </c>
      <c r="O50" s="5" t="s">
        <v>180</v>
      </c>
      <c r="P50" s="5" t="s">
        <v>19</v>
      </c>
      <c r="R50" s="5" t="s">
        <v>180</v>
      </c>
      <c r="S50" s="5" t="s">
        <v>19</v>
      </c>
      <c r="U50" s="5">
        <v>2486.5</v>
      </c>
      <c r="V50" s="5">
        <v>0</v>
      </c>
      <c r="W50" s="7" t="e">
        <v>#DIV/0!</v>
      </c>
    </row>
    <row r="51" spans="2:23">
      <c r="B51" s="5">
        <v>25056</v>
      </c>
      <c r="C51" s="5" t="s">
        <v>94</v>
      </c>
      <c r="D51" s="5">
        <v>2024</v>
      </c>
      <c r="E51" s="6">
        <v>45536</v>
      </c>
      <c r="I51" s="5" t="s">
        <v>141</v>
      </c>
      <c r="J51" s="5" t="s">
        <v>141</v>
      </c>
      <c r="K51" s="5" t="s">
        <v>141</v>
      </c>
      <c r="L51" s="5" t="s">
        <v>177</v>
      </c>
      <c r="M51" s="5" t="s">
        <v>177</v>
      </c>
      <c r="O51" s="5" t="s">
        <v>178</v>
      </c>
      <c r="P51" s="5" t="s">
        <v>17</v>
      </c>
      <c r="R51" s="5" t="s">
        <v>178</v>
      </c>
      <c r="S51" s="5" t="s">
        <v>17</v>
      </c>
      <c r="U51" s="5">
        <v>15568.18</v>
      </c>
      <c r="V51" s="5">
        <v>0</v>
      </c>
      <c r="W51" s="7" t="e">
        <v>#DIV/0!</v>
      </c>
    </row>
    <row r="52" spans="2:23">
      <c r="B52" s="11">
        <v>25057</v>
      </c>
      <c r="C52" s="11" t="s">
        <v>156</v>
      </c>
      <c r="D52" s="5">
        <v>2024</v>
      </c>
      <c r="E52" s="6">
        <v>45566</v>
      </c>
      <c r="F52" s="8">
        <v>2024</v>
      </c>
      <c r="G52" s="9">
        <v>45566</v>
      </c>
      <c r="I52" s="5" t="s">
        <v>141</v>
      </c>
      <c r="J52" s="5" t="s">
        <v>141</v>
      </c>
      <c r="K52" s="5" t="s">
        <v>141</v>
      </c>
      <c r="L52" s="5" t="s">
        <v>141</v>
      </c>
      <c r="M52" s="5" t="s">
        <v>141</v>
      </c>
      <c r="O52" s="5" t="s">
        <v>93</v>
      </c>
      <c r="P52" s="5" t="s">
        <v>17</v>
      </c>
      <c r="R52" s="5" t="s">
        <v>93</v>
      </c>
      <c r="S52" s="5" t="s">
        <v>17</v>
      </c>
      <c r="U52" s="5">
        <v>0</v>
      </c>
      <c r="V52" s="5">
        <v>0</v>
      </c>
      <c r="W52" s="7" t="e">
        <v>#DIV/0!</v>
      </c>
    </row>
    <row r="53" spans="2:23">
      <c r="B53" s="12">
        <v>25058</v>
      </c>
      <c r="C53" s="12" t="s">
        <v>112</v>
      </c>
      <c r="D53" s="5">
        <v>2024</v>
      </c>
      <c r="E53" s="6">
        <v>45566</v>
      </c>
      <c r="I53" s="5" t="s">
        <v>141</v>
      </c>
      <c r="J53" s="5" t="s">
        <v>141</v>
      </c>
      <c r="K53" s="5" t="s">
        <v>141</v>
      </c>
      <c r="L53" s="5" t="s">
        <v>177</v>
      </c>
      <c r="M53" s="5" t="s">
        <v>177</v>
      </c>
      <c r="O53" s="5" t="s">
        <v>178</v>
      </c>
      <c r="P53" s="5" t="s">
        <v>18</v>
      </c>
      <c r="R53" s="5" t="s">
        <v>178</v>
      </c>
      <c r="S53" s="5" t="s">
        <v>18</v>
      </c>
      <c r="U53" s="5">
        <v>2594.2799999999997</v>
      </c>
      <c r="V53" s="5">
        <v>0</v>
      </c>
      <c r="W53" s="7" t="e">
        <v>#DIV/0!</v>
      </c>
    </row>
    <row r="54" spans="2:23">
      <c r="B54" s="5">
        <v>25059</v>
      </c>
      <c r="C54" s="5" t="s">
        <v>113</v>
      </c>
      <c r="D54" s="5">
        <v>2024</v>
      </c>
      <c r="E54" s="6">
        <v>45627</v>
      </c>
      <c r="I54" s="5" t="s">
        <v>141</v>
      </c>
      <c r="J54" s="5" t="s">
        <v>141</v>
      </c>
      <c r="K54" s="5" t="s">
        <v>141</v>
      </c>
      <c r="L54" s="5" t="s">
        <v>177</v>
      </c>
      <c r="M54" s="5" t="s">
        <v>177</v>
      </c>
      <c r="O54" s="5" t="s">
        <v>178</v>
      </c>
      <c r="P54" s="5" t="s">
        <v>18</v>
      </c>
      <c r="R54" s="5" t="s">
        <v>178</v>
      </c>
      <c r="S54" s="5" t="s">
        <v>18</v>
      </c>
      <c r="U54" s="5">
        <v>4006.8</v>
      </c>
      <c r="V54" s="5">
        <v>0</v>
      </c>
      <c r="W54" s="7" t="e">
        <v>#DIV/0!</v>
      </c>
    </row>
    <row r="55" spans="2:23">
      <c r="B55" s="13">
        <v>25060</v>
      </c>
      <c r="C55" s="13" t="s">
        <v>99</v>
      </c>
      <c r="D55" s="5">
        <v>2025</v>
      </c>
      <c r="E55" s="6">
        <v>45658</v>
      </c>
      <c r="L55" s="5" t="s">
        <v>141</v>
      </c>
      <c r="M55" s="5" t="s">
        <v>177</v>
      </c>
      <c r="O55" s="5" t="s">
        <v>180</v>
      </c>
      <c r="P55" s="5" t="s">
        <v>19</v>
      </c>
      <c r="R55" s="5" t="s">
        <v>180</v>
      </c>
      <c r="S55" s="5" t="s">
        <v>19</v>
      </c>
      <c r="U55" s="5">
        <v>10086.14</v>
      </c>
      <c r="V55" s="5">
        <v>0</v>
      </c>
      <c r="W55" s="7" t="e">
        <v>#DIV/0!</v>
      </c>
    </row>
    <row r="56" spans="2:23">
      <c r="B56" s="13">
        <v>25061</v>
      </c>
      <c r="C56" s="13" t="s">
        <v>80</v>
      </c>
      <c r="D56" s="5">
        <v>2025</v>
      </c>
      <c r="E56" s="6">
        <v>45689</v>
      </c>
      <c r="L56" s="5" t="s">
        <v>141</v>
      </c>
      <c r="M56" s="5" t="s">
        <v>177</v>
      </c>
      <c r="O56" s="5" t="s">
        <v>93</v>
      </c>
      <c r="P56" s="8" t="s">
        <v>16</v>
      </c>
      <c r="R56" s="5" t="s">
        <v>179</v>
      </c>
      <c r="S56" s="5" t="s">
        <v>16</v>
      </c>
      <c r="U56" s="5">
        <v>5166.17</v>
      </c>
      <c r="V56" s="5">
        <v>0</v>
      </c>
      <c r="W56" s="7" t="e">
        <v>#DIV/0!</v>
      </c>
    </row>
    <row r="57" spans="2:23">
      <c r="B57" s="13">
        <v>25063</v>
      </c>
      <c r="C57" s="13" t="s">
        <v>131</v>
      </c>
      <c r="D57" s="5">
        <v>2025</v>
      </c>
      <c r="E57" s="6">
        <v>45689</v>
      </c>
      <c r="L57" s="5" t="s">
        <v>141</v>
      </c>
      <c r="M57" s="5" t="s">
        <v>177</v>
      </c>
      <c r="O57" s="5" t="s">
        <v>180</v>
      </c>
      <c r="P57" s="5" t="s">
        <v>19</v>
      </c>
      <c r="R57" s="5" t="s">
        <v>180</v>
      </c>
      <c r="S57" s="5" t="s">
        <v>19</v>
      </c>
      <c r="U57" s="5">
        <v>4285.38</v>
      </c>
      <c r="V57" s="5">
        <v>0</v>
      </c>
      <c r="W57" s="7" t="e">
        <v>#DIV/0!</v>
      </c>
    </row>
    <row r="58" spans="2:23">
      <c r="B58" s="5">
        <v>25062</v>
      </c>
      <c r="C58" s="5" t="s">
        <v>81</v>
      </c>
      <c r="D58" s="5">
        <v>2025</v>
      </c>
      <c r="E58" s="6">
        <v>45717</v>
      </c>
      <c r="L58" s="5" t="s">
        <v>141</v>
      </c>
      <c r="M58" s="5" t="s">
        <v>177</v>
      </c>
      <c r="O58" s="5" t="s">
        <v>93</v>
      </c>
      <c r="P58" s="5" t="s">
        <v>16</v>
      </c>
      <c r="R58" s="5" t="s">
        <v>179</v>
      </c>
      <c r="S58" s="5" t="s">
        <v>16</v>
      </c>
      <c r="U58" s="5">
        <v>1843.8799999999999</v>
      </c>
      <c r="V58" s="5">
        <v>0</v>
      </c>
      <c r="W58" s="7" t="e">
        <v>#DIV/0!</v>
      </c>
    </row>
    <row r="59" spans="2:23">
      <c r="B59" s="5">
        <v>25064</v>
      </c>
      <c r="C59" s="5" t="s">
        <v>114</v>
      </c>
      <c r="D59" s="5">
        <v>2025</v>
      </c>
      <c r="E59" s="6">
        <v>45717</v>
      </c>
      <c r="L59" s="5" t="s">
        <v>141</v>
      </c>
      <c r="M59" s="5" t="s">
        <v>177</v>
      </c>
      <c r="O59" s="5" t="s">
        <v>178</v>
      </c>
      <c r="P59" s="5" t="s">
        <v>18</v>
      </c>
      <c r="R59" s="5" t="s">
        <v>178</v>
      </c>
      <c r="S59" s="5" t="s">
        <v>18</v>
      </c>
      <c r="U59" s="5">
        <v>1640.9</v>
      </c>
      <c r="V59" s="5">
        <v>0</v>
      </c>
      <c r="W59" s="7" t="e">
        <v>#DIV/0!</v>
      </c>
    </row>
    <row r="60" spans="2:23">
      <c r="B60" s="5">
        <v>25065</v>
      </c>
      <c r="C60" s="5" t="s">
        <v>115</v>
      </c>
      <c r="D60" s="5">
        <v>2025</v>
      </c>
      <c r="E60" s="6">
        <v>45748</v>
      </c>
      <c r="L60" s="5" t="s">
        <v>141</v>
      </c>
      <c r="M60" s="5" t="s">
        <v>177</v>
      </c>
      <c r="O60" s="5" t="s">
        <v>178</v>
      </c>
      <c r="P60" s="5" t="s">
        <v>18</v>
      </c>
      <c r="R60" s="5" t="s">
        <v>178</v>
      </c>
      <c r="S60" s="5" t="s">
        <v>18</v>
      </c>
      <c r="U60" s="5">
        <v>4155</v>
      </c>
      <c r="V60" s="5">
        <v>0</v>
      </c>
      <c r="W60" s="7" t="e">
        <v>#DIV/0!</v>
      </c>
    </row>
    <row r="61" spans="2:23">
      <c r="B61">
        <v>25066</v>
      </c>
      <c r="C61" t="s">
        <v>116</v>
      </c>
      <c r="D61" s="5">
        <v>2025</v>
      </c>
      <c r="E61" s="6">
        <v>45778</v>
      </c>
      <c r="M61" s="5" t="s">
        <v>177</v>
      </c>
      <c r="O61" s="5" t="s">
        <v>178</v>
      </c>
      <c r="P61" s="5" t="s">
        <v>18</v>
      </c>
      <c r="R61" s="5" t="s">
        <v>178</v>
      </c>
      <c r="S61" s="5" t="s">
        <v>18</v>
      </c>
      <c r="U61" s="5">
        <v>16619.72</v>
      </c>
      <c r="V61" s="5">
        <v>0</v>
      </c>
      <c r="W61" s="7" t="e">
        <v>#DIV/0!</v>
      </c>
    </row>
    <row r="62" spans="2:23">
      <c r="B62">
        <v>25067</v>
      </c>
      <c r="C62" t="s">
        <v>117</v>
      </c>
      <c r="D62" s="5">
        <v>2025</v>
      </c>
      <c r="E62" s="6">
        <v>45778</v>
      </c>
      <c r="M62" s="5" t="s">
        <v>177</v>
      </c>
      <c r="O62" s="5" t="s">
        <v>178</v>
      </c>
      <c r="P62" s="5" t="s">
        <v>18</v>
      </c>
      <c r="R62" s="5" t="s">
        <v>178</v>
      </c>
      <c r="S62" s="5" t="s">
        <v>18</v>
      </c>
      <c r="U62" s="5">
        <v>19698.060000000001</v>
      </c>
      <c r="V62" s="5">
        <v>0</v>
      </c>
      <c r="W62" s="7" t="e">
        <v>#DIV/0!</v>
      </c>
    </row>
    <row r="63" spans="2:23">
      <c r="B63" s="5">
        <v>25068</v>
      </c>
      <c r="C63" s="5" t="s">
        <v>95</v>
      </c>
      <c r="D63" s="5">
        <v>2025</v>
      </c>
      <c r="E63" s="6">
        <v>45809</v>
      </c>
      <c r="M63" s="5" t="s">
        <v>177</v>
      </c>
      <c r="O63" s="5" t="s">
        <v>93</v>
      </c>
      <c r="P63" s="5" t="s">
        <v>17</v>
      </c>
      <c r="R63" s="5" t="s">
        <v>93</v>
      </c>
      <c r="S63" s="5" t="s">
        <v>17</v>
      </c>
      <c r="U63" s="5">
        <v>9538</v>
      </c>
      <c r="V63" s="5">
        <v>0</v>
      </c>
      <c r="W63" s="7" t="e">
        <v>#DIV/0!</v>
      </c>
    </row>
    <row r="64" spans="2:23">
      <c r="B64" s="5">
        <v>25069</v>
      </c>
      <c r="C64" s="5" t="s">
        <v>132</v>
      </c>
      <c r="D64" s="5">
        <v>2025</v>
      </c>
      <c r="E64" s="6">
        <v>45809</v>
      </c>
      <c r="M64" s="5" t="s">
        <v>177</v>
      </c>
      <c r="O64" s="5" t="s">
        <v>180</v>
      </c>
      <c r="P64" s="5" t="s">
        <v>19</v>
      </c>
      <c r="R64" s="5" t="s">
        <v>180</v>
      </c>
      <c r="S64" s="5" t="s">
        <v>19</v>
      </c>
      <c r="U64" s="5">
        <v>343</v>
      </c>
      <c r="V64" s="5">
        <v>0</v>
      </c>
      <c r="W64" s="7" t="e">
        <v>#DIV/0!</v>
      </c>
    </row>
    <row r="65" spans="2:23">
      <c r="B65" s="5">
        <v>25070</v>
      </c>
      <c r="C65" s="5" t="s">
        <v>82</v>
      </c>
      <c r="D65" s="5">
        <v>2025</v>
      </c>
      <c r="E65" s="6">
        <v>45839</v>
      </c>
      <c r="M65" s="5" t="s">
        <v>177</v>
      </c>
      <c r="O65" s="5" t="s">
        <v>93</v>
      </c>
      <c r="P65" s="5" t="s">
        <v>16</v>
      </c>
      <c r="R65" s="5" t="s">
        <v>93</v>
      </c>
      <c r="S65" s="5" t="s">
        <v>16</v>
      </c>
      <c r="U65" s="5">
        <v>0</v>
      </c>
      <c r="V65" s="5">
        <v>0</v>
      </c>
      <c r="W65" s="5" t="e">
        <v>#DIV/0!</v>
      </c>
    </row>
    <row r="66" spans="2:23">
      <c r="B66" s="5">
        <v>25071</v>
      </c>
      <c r="C66" s="5" t="s">
        <v>96</v>
      </c>
      <c r="D66" s="5">
        <v>2025</v>
      </c>
      <c r="E66" s="6">
        <v>45839</v>
      </c>
      <c r="M66" s="5" t="s">
        <v>177</v>
      </c>
      <c r="O66" s="5" t="s">
        <v>93</v>
      </c>
      <c r="P66" s="5" t="s">
        <v>17</v>
      </c>
      <c r="R66" s="5" t="s">
        <v>93</v>
      </c>
      <c r="S66" s="5" t="s">
        <v>17</v>
      </c>
      <c r="U66" s="5">
        <v>0</v>
      </c>
      <c r="V66" s="5">
        <v>0</v>
      </c>
      <c r="W66" s="5" t="e">
        <v>#DIV/0!</v>
      </c>
    </row>
    <row r="67" spans="2:23">
      <c r="B67" s="5">
        <v>25072</v>
      </c>
      <c r="C67" s="5" t="s">
        <v>118</v>
      </c>
      <c r="D67" s="5">
        <v>2025</v>
      </c>
      <c r="E67" s="6">
        <v>45839</v>
      </c>
      <c r="M67" s="5" t="s">
        <v>177</v>
      </c>
      <c r="O67" s="5" t="s">
        <v>178</v>
      </c>
      <c r="P67" s="5" t="s">
        <v>18</v>
      </c>
      <c r="R67" s="5" t="s">
        <v>178</v>
      </c>
      <c r="S67" s="5" t="s">
        <v>18</v>
      </c>
      <c r="U67" s="5">
        <v>0</v>
      </c>
      <c r="V67" s="5">
        <v>0</v>
      </c>
      <c r="W67" s="5" t="e">
        <v>#DIV/0!</v>
      </c>
    </row>
    <row r="68" spans="2:23">
      <c r="B68" s="5">
        <v>25073</v>
      </c>
      <c r="C68" s="5" t="s">
        <v>97</v>
      </c>
      <c r="D68" s="5">
        <v>2025</v>
      </c>
      <c r="E68" s="5">
        <v>45931</v>
      </c>
      <c r="M68" s="5" t="s">
        <v>177</v>
      </c>
      <c r="O68" s="5" t="s">
        <v>93</v>
      </c>
      <c r="P68" s="5" t="s">
        <v>17</v>
      </c>
      <c r="U68" s="5">
        <v>0</v>
      </c>
      <c r="V68" s="5">
        <v>0</v>
      </c>
      <c r="W68" s="5" t="e">
        <v>#DIV/0!</v>
      </c>
    </row>
    <row r="69" spans="2:23">
      <c r="B69" s="5">
        <v>25074</v>
      </c>
      <c r="C69" s="5" t="s">
        <v>98</v>
      </c>
      <c r="D69" s="5">
        <v>2025</v>
      </c>
      <c r="E69" s="5">
        <v>45931</v>
      </c>
      <c r="M69" s="5" t="s">
        <v>177</v>
      </c>
      <c r="O69" s="5" t="s">
        <v>93</v>
      </c>
      <c r="P69" s="5" t="s">
        <v>17</v>
      </c>
      <c r="U69" s="5">
        <v>0</v>
      </c>
      <c r="V69" s="5">
        <v>0</v>
      </c>
      <c r="W69" s="5" t="e">
        <v>#DIV/0!</v>
      </c>
    </row>
    <row r="70" spans="2:23">
      <c r="B70" s="5">
        <v>25075</v>
      </c>
      <c r="C70" s="5" t="s">
        <v>137</v>
      </c>
      <c r="D70" s="5">
        <v>2025</v>
      </c>
      <c r="E70" s="5">
        <v>45931</v>
      </c>
      <c r="M70" s="5" t="s">
        <v>177</v>
      </c>
      <c r="O70" s="5" t="s">
        <v>138</v>
      </c>
      <c r="P70" s="5" t="s">
        <v>20</v>
      </c>
      <c r="U70" s="5">
        <v>0</v>
      </c>
      <c r="V70" s="5">
        <v>0</v>
      </c>
      <c r="W70" s="5" t="e">
        <v>#DIV/0!</v>
      </c>
    </row>
    <row r="71" spans="2:23">
      <c r="B71" s="5">
        <v>25076</v>
      </c>
      <c r="C71" s="5" t="s">
        <v>133</v>
      </c>
      <c r="D71" s="5">
        <v>2025</v>
      </c>
      <c r="E71" s="5">
        <v>45992</v>
      </c>
      <c r="M71" s="5" t="s">
        <v>177</v>
      </c>
      <c r="O71" s="5" t="s">
        <v>138</v>
      </c>
      <c r="P71" s="5" t="s">
        <v>20</v>
      </c>
    </row>
  </sheetData>
  <autoFilter ref="B2:P64" xr:uid="{E197A969-9C0D-490A-AC4B-A128F7D5694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33A0-05C0-4EAE-90CD-D0EE23A28B2E}">
  <dimension ref="A1:AI62"/>
  <sheetViews>
    <sheetView topLeftCell="A10" workbookViewId="0">
      <selection activeCell="F33" sqref="F33"/>
    </sheetView>
  </sheetViews>
  <sheetFormatPr defaultColWidth="9.140625" defaultRowHeight="15"/>
  <cols>
    <col min="1" max="2" width="9.140625" style="5"/>
    <col min="3" max="3" width="47.85546875" style="5" bestFit="1" customWidth="1"/>
    <col min="4" max="5" width="19.140625" style="5" customWidth="1"/>
    <col min="6" max="6" width="15.42578125" style="5" customWidth="1"/>
    <col min="7" max="9" width="27.7109375" style="5" customWidth="1"/>
    <col min="10" max="10" width="16.42578125" style="5" bestFit="1" customWidth="1"/>
    <col min="11" max="22" width="13.140625" style="5" customWidth="1"/>
    <col min="23" max="23" width="9.140625" style="5"/>
    <col min="24" max="32" width="10.42578125" style="5" bestFit="1" customWidth="1"/>
    <col min="33" max="35" width="11.42578125" style="5" bestFit="1" customWidth="1"/>
    <col min="36" max="16384" width="9.140625" style="5"/>
  </cols>
  <sheetData>
    <row r="1" spans="1:35">
      <c r="J1" s="5" t="s">
        <v>184</v>
      </c>
      <c r="K1" s="14">
        <f t="shared" ref="K1:V1" si="0">SUM(K12:K67)</f>
        <v>29213.97</v>
      </c>
      <c r="L1" s="14">
        <f t="shared" si="0"/>
        <v>21211.13</v>
      </c>
      <c r="M1" s="14">
        <f t="shared" si="0"/>
        <v>55999.899999999994</v>
      </c>
      <c r="N1" s="14">
        <f t="shared" si="0"/>
        <v>30163.11</v>
      </c>
      <c r="O1" s="14">
        <f t="shared" si="0"/>
        <v>26131.58</v>
      </c>
      <c r="P1" s="14">
        <f t="shared" si="0"/>
        <v>21311.8</v>
      </c>
      <c r="Q1" s="14">
        <f t="shared" si="0"/>
        <v>26984.05</v>
      </c>
      <c r="R1" s="14">
        <f t="shared" si="0"/>
        <v>52122.35</v>
      </c>
      <c r="S1" s="14">
        <f t="shared" si="0"/>
        <v>40135.599999999999</v>
      </c>
      <c r="T1" s="14">
        <f t="shared" si="0"/>
        <v>24735.049999999996</v>
      </c>
      <c r="U1" s="14">
        <f t="shared" si="0"/>
        <v>17195.650000000001</v>
      </c>
      <c r="V1" s="14">
        <f t="shared" si="0"/>
        <v>54787.43</v>
      </c>
    </row>
    <row r="2" spans="1:35">
      <c r="J2" s="5" t="s">
        <v>185</v>
      </c>
      <c r="K2" s="14">
        <f>SUM($K1:K1)</f>
        <v>29213.97</v>
      </c>
      <c r="L2" s="14">
        <f>SUM($K1:L1)</f>
        <v>50425.100000000006</v>
      </c>
      <c r="M2" s="14">
        <f>SUM($K1:M1)</f>
        <v>106425</v>
      </c>
      <c r="N2" s="14">
        <f>SUM($K1:N1)</f>
        <v>136588.10999999999</v>
      </c>
      <c r="O2" s="14">
        <f>SUM($K1:O1)</f>
        <v>162719.69</v>
      </c>
      <c r="P2" s="14">
        <f>SUM($K1:P1)</f>
        <v>184031.49</v>
      </c>
      <c r="Q2" s="14">
        <f>SUM($K1:Q1)</f>
        <v>211015.53999999998</v>
      </c>
      <c r="R2" s="14">
        <f>SUM($K1:R1)</f>
        <v>263137.88999999996</v>
      </c>
      <c r="S2" s="14">
        <f>SUM($K1:S1)</f>
        <v>303273.48999999993</v>
      </c>
      <c r="T2" s="14">
        <f>SUM($K1:T1)</f>
        <v>328008.53999999992</v>
      </c>
      <c r="U2" s="14">
        <f>SUM($K1:U1)</f>
        <v>345204.18999999994</v>
      </c>
      <c r="V2" s="14">
        <f>SUM($K1:V1)</f>
        <v>399991.61999999994</v>
      </c>
    </row>
    <row r="3" spans="1:35">
      <c r="J3" s="5" t="s">
        <v>186</v>
      </c>
      <c r="K3" s="15">
        <f>COUNTIF(K12:K55, "&gt;0")+IF(K42&gt;0, 1, 0)</f>
        <v>5</v>
      </c>
      <c r="L3" s="15">
        <f t="shared" ref="L3:V3" si="1">COUNTIF(L12:L55, "&gt;0")+IF(L42&gt;0, 1, 0)</f>
        <v>5</v>
      </c>
      <c r="M3" s="15">
        <f t="shared" si="1"/>
        <v>9</v>
      </c>
      <c r="N3" s="15">
        <f t="shared" si="1"/>
        <v>6</v>
      </c>
      <c r="O3" s="15">
        <f t="shared" si="1"/>
        <v>9</v>
      </c>
      <c r="P3" s="15">
        <f t="shared" si="1"/>
        <v>9</v>
      </c>
      <c r="Q3" s="15">
        <f t="shared" si="1"/>
        <v>8</v>
      </c>
      <c r="R3" s="15">
        <f t="shared" si="1"/>
        <v>10</v>
      </c>
      <c r="S3" s="15">
        <f t="shared" si="1"/>
        <v>7</v>
      </c>
      <c r="T3" s="15">
        <f t="shared" si="1"/>
        <v>7</v>
      </c>
      <c r="U3" s="15">
        <f t="shared" si="1"/>
        <v>5</v>
      </c>
      <c r="V3" s="15">
        <f t="shared" si="1"/>
        <v>9</v>
      </c>
    </row>
    <row r="4" spans="1:35">
      <c r="J4" s="5" t="s">
        <v>187</v>
      </c>
      <c r="K4" s="15">
        <f>COUNTIF(X$12:X$62, "&gt;0")+IF(X42&gt;0, 1, 0)</f>
        <v>5</v>
      </c>
      <c r="L4" s="15">
        <f t="shared" ref="L4:V4" si="2">COUNTIF(Y$12:Y$62, "&gt;0")+IF(Y42&gt;0, 1, 0)</f>
        <v>7</v>
      </c>
      <c r="M4" s="15">
        <f t="shared" si="2"/>
        <v>11</v>
      </c>
      <c r="N4" s="15">
        <f t="shared" si="2"/>
        <v>12</v>
      </c>
      <c r="O4" s="15">
        <f t="shared" si="2"/>
        <v>12</v>
      </c>
      <c r="P4" s="15">
        <f t="shared" si="2"/>
        <v>13</v>
      </c>
      <c r="Q4" s="15">
        <f t="shared" si="2"/>
        <v>15</v>
      </c>
      <c r="R4" s="15">
        <f t="shared" si="2"/>
        <v>16</v>
      </c>
      <c r="S4" s="15">
        <f t="shared" si="2"/>
        <v>18</v>
      </c>
      <c r="T4" s="15">
        <f t="shared" si="2"/>
        <v>19</v>
      </c>
      <c r="U4" s="15">
        <f t="shared" si="2"/>
        <v>19</v>
      </c>
      <c r="V4" s="15">
        <f t="shared" si="2"/>
        <v>20</v>
      </c>
    </row>
    <row r="5" spans="1:35">
      <c r="J5" s="5" t="s">
        <v>188</v>
      </c>
      <c r="K5" s="5">
        <f t="shared" ref="K5:V5" si="3">SUMIF($H:$H, YEAR(K11)&amp;MONTH(K11), K:K)</f>
        <v>22386.949999999997</v>
      </c>
      <c r="L5" s="5">
        <f t="shared" si="3"/>
        <v>13099.35</v>
      </c>
      <c r="M5" s="5">
        <f t="shared" si="3"/>
        <v>44625.399999999994</v>
      </c>
      <c r="N5" s="5">
        <f t="shared" si="3"/>
        <v>5813.7</v>
      </c>
      <c r="O5" s="5">
        <f t="shared" si="3"/>
        <v>0</v>
      </c>
      <c r="P5" s="5">
        <f t="shared" si="3"/>
        <v>3203.8</v>
      </c>
      <c r="Q5" s="5">
        <f t="shared" si="3"/>
        <v>16208.3</v>
      </c>
      <c r="R5" s="5">
        <f t="shared" si="3"/>
        <v>2997.3</v>
      </c>
      <c r="S5" s="5">
        <f t="shared" si="3"/>
        <v>7539.8</v>
      </c>
      <c r="T5" s="5">
        <f t="shared" si="3"/>
        <v>7009.6</v>
      </c>
      <c r="U5" s="5">
        <f t="shared" si="3"/>
        <v>0</v>
      </c>
      <c r="V5" s="5">
        <f t="shared" si="3"/>
        <v>19362.580000000002</v>
      </c>
    </row>
    <row r="6" spans="1:35">
      <c r="J6" s="5" t="s">
        <v>189</v>
      </c>
      <c r="K6" s="5">
        <f t="shared" ref="K6:V6" si="4">SUMIF($F:$F, YEAR(K11), K:K)</f>
        <v>22386.949999999997</v>
      </c>
      <c r="L6" s="5">
        <f t="shared" si="4"/>
        <v>15711.75</v>
      </c>
      <c r="M6" s="5">
        <f t="shared" si="4"/>
        <v>50925.899999999994</v>
      </c>
      <c r="N6" s="5">
        <f t="shared" si="4"/>
        <v>24084.81</v>
      </c>
      <c r="O6" s="5">
        <f t="shared" si="4"/>
        <v>21311.7</v>
      </c>
      <c r="P6" s="5">
        <f t="shared" si="4"/>
        <v>18177.75</v>
      </c>
      <c r="Q6" s="5">
        <f t="shared" si="4"/>
        <v>21355.15</v>
      </c>
      <c r="R6" s="5">
        <f t="shared" si="4"/>
        <v>48123.05</v>
      </c>
      <c r="S6" s="5">
        <f t="shared" si="4"/>
        <v>34357.35</v>
      </c>
      <c r="T6" s="5">
        <f t="shared" si="4"/>
        <v>20156.150000000001</v>
      </c>
      <c r="U6" s="5">
        <f t="shared" si="4"/>
        <v>10959.85</v>
      </c>
      <c r="V6" s="5">
        <f t="shared" si="4"/>
        <v>49696.03</v>
      </c>
    </row>
    <row r="7" spans="1:35">
      <c r="J7" s="5" t="s">
        <v>190</v>
      </c>
      <c r="K7" s="14">
        <f>SUM($K6:K6)</f>
        <v>22386.949999999997</v>
      </c>
      <c r="L7" s="14">
        <f>SUM($K6:L6)</f>
        <v>38098.699999999997</v>
      </c>
      <c r="M7" s="14">
        <f>SUM($K6:M6)</f>
        <v>89024.599999999991</v>
      </c>
      <c r="N7" s="14">
        <f>SUM($K6:N6)</f>
        <v>113109.40999999999</v>
      </c>
      <c r="O7" s="14">
        <f>SUM($K6:O6)</f>
        <v>134421.10999999999</v>
      </c>
      <c r="P7" s="14">
        <f>SUM($K6:P6)</f>
        <v>152598.85999999999</v>
      </c>
      <c r="Q7" s="14">
        <f>SUM($K6:Q6)</f>
        <v>173954.00999999998</v>
      </c>
      <c r="R7" s="14">
        <f>SUM($K6:R6)</f>
        <v>222077.06</v>
      </c>
      <c r="S7" s="14">
        <f>SUM($K6:S6)</f>
        <v>256434.41</v>
      </c>
      <c r="T7" s="14">
        <f>SUM($K6:T6)</f>
        <v>276590.56</v>
      </c>
      <c r="U7" s="14">
        <f>SUM($K6:U6)</f>
        <v>287550.40999999997</v>
      </c>
      <c r="V7" s="14">
        <f>SUM($K6:V6)</f>
        <v>337246.43999999994</v>
      </c>
    </row>
    <row r="8" spans="1:35">
      <c r="J8" s="5" t="s">
        <v>191</v>
      </c>
      <c r="K8" s="15">
        <f t="shared" ref="K8:V8" si="5">COUNTIF($G:$G, K11)</f>
        <v>2</v>
      </c>
      <c r="L8" s="15">
        <f t="shared" si="5"/>
        <v>1</v>
      </c>
      <c r="M8" s="15">
        <f t="shared" si="5"/>
        <v>3</v>
      </c>
      <c r="N8" s="15">
        <f t="shared" si="5"/>
        <v>1</v>
      </c>
      <c r="O8" s="15">
        <f t="shared" si="5"/>
        <v>0</v>
      </c>
      <c r="P8" s="15">
        <f t="shared" si="5"/>
        <v>1</v>
      </c>
      <c r="Q8" s="15">
        <f t="shared" si="5"/>
        <v>2</v>
      </c>
      <c r="R8" s="15">
        <f t="shared" si="5"/>
        <v>1</v>
      </c>
      <c r="S8" s="15">
        <f t="shared" si="5"/>
        <v>1</v>
      </c>
      <c r="T8" s="15">
        <f t="shared" si="5"/>
        <v>1</v>
      </c>
      <c r="U8" s="15">
        <f t="shared" si="5"/>
        <v>0</v>
      </c>
      <c r="V8" s="15">
        <f t="shared" si="5"/>
        <v>1</v>
      </c>
    </row>
    <row r="9" spans="1:35">
      <c r="J9" s="5" t="s">
        <v>190</v>
      </c>
      <c r="K9" s="15">
        <f>SUM($K8:K8)</f>
        <v>2</v>
      </c>
      <c r="L9" s="15">
        <f>SUM($K8:L8)</f>
        <v>3</v>
      </c>
      <c r="M9" s="15">
        <f>SUM($K8:M8)</f>
        <v>6</v>
      </c>
      <c r="N9" s="15">
        <f>SUM($K8:N8)</f>
        <v>7</v>
      </c>
      <c r="O9" s="15">
        <f>SUM($K8:O8)</f>
        <v>7</v>
      </c>
      <c r="P9" s="15">
        <f>SUM($K8:P8)</f>
        <v>8</v>
      </c>
      <c r="Q9" s="15">
        <f>SUM($K8:Q8)</f>
        <v>10</v>
      </c>
      <c r="R9" s="15">
        <f>SUM($K8:R8)</f>
        <v>11</v>
      </c>
      <c r="S9" s="15">
        <f>SUM($K8:S8)</f>
        <v>12</v>
      </c>
      <c r="T9" s="15">
        <f>SUM($K8:T8)</f>
        <v>13</v>
      </c>
      <c r="U9" s="15">
        <f>SUM($K8:U8)</f>
        <v>13</v>
      </c>
      <c r="V9" s="15">
        <f>SUM($K8:V8)</f>
        <v>14</v>
      </c>
    </row>
    <row r="11" spans="1:35">
      <c r="A11" s="5" t="s">
        <v>192</v>
      </c>
      <c r="B11" s="5" t="s">
        <v>54</v>
      </c>
      <c r="C11" s="5" t="s">
        <v>55</v>
      </c>
      <c r="D11" s="5" t="s">
        <v>57</v>
      </c>
      <c r="E11" s="5" t="s">
        <v>56</v>
      </c>
      <c r="F11" s="5" t="s">
        <v>58</v>
      </c>
      <c r="G11" s="5" t="s">
        <v>193</v>
      </c>
      <c r="H11" s="5" t="s">
        <v>194</v>
      </c>
      <c r="I11" s="5" t="s">
        <v>59</v>
      </c>
      <c r="J11" s="5" t="s">
        <v>195</v>
      </c>
      <c r="K11" s="6">
        <v>44562</v>
      </c>
      <c r="L11" s="6">
        <v>44593</v>
      </c>
      <c r="M11" s="6">
        <v>44621</v>
      </c>
      <c r="N11" s="6">
        <v>44652</v>
      </c>
      <c r="O11" s="6">
        <v>44682</v>
      </c>
      <c r="P11" s="6">
        <v>44713</v>
      </c>
      <c r="Q11" s="6">
        <v>44743</v>
      </c>
      <c r="R11" s="6">
        <v>44774</v>
      </c>
      <c r="S11" s="6">
        <v>44805</v>
      </c>
      <c r="T11" s="6">
        <v>44835</v>
      </c>
      <c r="U11" s="6">
        <v>44866</v>
      </c>
      <c r="V11" s="6">
        <v>44896</v>
      </c>
      <c r="X11" s="6">
        <v>44562</v>
      </c>
      <c r="Y11" s="6">
        <v>44593</v>
      </c>
      <c r="Z11" s="6">
        <v>44621</v>
      </c>
      <c r="AA11" s="6">
        <v>44652</v>
      </c>
      <c r="AB11" s="6">
        <v>44682</v>
      </c>
      <c r="AC11" s="6">
        <v>44713</v>
      </c>
      <c r="AD11" s="6">
        <v>44743</v>
      </c>
      <c r="AE11" s="6">
        <v>44774</v>
      </c>
      <c r="AF11" s="6">
        <v>44805</v>
      </c>
      <c r="AG11" s="6">
        <v>44835</v>
      </c>
      <c r="AH11" s="6">
        <v>44866</v>
      </c>
      <c r="AI11" s="6">
        <v>44896</v>
      </c>
    </row>
    <row r="12" spans="1:35">
      <c r="A12" s="5">
        <v>2</v>
      </c>
      <c r="B12" s="5">
        <v>25000</v>
      </c>
      <c r="C12" s="5" t="s">
        <v>106</v>
      </c>
      <c r="D12" s="5" t="str">
        <f>VLOOKUP($B12, Spa!$B:$P, 14, 0)</f>
        <v>Amy</v>
      </c>
      <c r="E12" s="5" t="str">
        <f>VLOOKUP($B12, Spa!$B:$P, 15, 0)</f>
        <v>West</v>
      </c>
      <c r="F12" s="5">
        <f>VLOOKUP(B12, Spa!$B:$E, 3, 0)</f>
        <v>2021</v>
      </c>
      <c r="G12" s="6">
        <f>VLOOKUP(B12, Spa!$B:$E, 4, 0)</f>
        <v>44378</v>
      </c>
      <c r="H12" s="5" t="str">
        <f>F12&amp;MONTH(G12)</f>
        <v>20217</v>
      </c>
      <c r="I12" s="5" t="str">
        <f>VLOOKUP(B12, Spa!$B:$L, 9, 0)</f>
        <v>Yes</v>
      </c>
      <c r="J12" s="16">
        <v>12766.93</v>
      </c>
      <c r="K12" s="16">
        <v>179.25</v>
      </c>
      <c r="L12" s="16"/>
      <c r="M12" s="16">
        <v>1280</v>
      </c>
      <c r="N12" s="16"/>
      <c r="O12" s="16">
        <v>901</v>
      </c>
      <c r="P12" s="16">
        <v>759.5</v>
      </c>
      <c r="Q12" s="16"/>
      <c r="R12" s="16">
        <v>89</v>
      </c>
      <c r="S12" s="16">
        <v>1118.8</v>
      </c>
      <c r="T12" s="16">
        <v>561</v>
      </c>
      <c r="U12" s="16">
        <v>611.1</v>
      </c>
      <c r="V12" s="16">
        <v>250</v>
      </c>
      <c r="X12" s="14">
        <f>SUM($K12:K12)</f>
        <v>179.25</v>
      </c>
      <c r="Y12" s="14">
        <f>SUM($K12:L12)</f>
        <v>179.25</v>
      </c>
      <c r="Z12" s="14">
        <f>SUM($K12:M12)</f>
        <v>1459.25</v>
      </c>
      <c r="AA12" s="14">
        <f>SUM($K12:N12)</f>
        <v>1459.25</v>
      </c>
      <c r="AB12" s="14">
        <f>SUM($K12:O12)</f>
        <v>2360.25</v>
      </c>
      <c r="AC12" s="14">
        <f>SUM($K12:P12)</f>
        <v>3119.75</v>
      </c>
      <c r="AD12" s="14">
        <f>SUM($K12:Q12)</f>
        <v>3119.75</v>
      </c>
      <c r="AE12" s="14">
        <f>SUM($K12:R12)</f>
        <v>3208.75</v>
      </c>
      <c r="AF12" s="14">
        <f>SUM($K12:S12)</f>
        <v>4327.55</v>
      </c>
      <c r="AG12" s="14">
        <f>SUM($K12:T12)</f>
        <v>4888.55</v>
      </c>
      <c r="AH12" s="14">
        <f>SUM($K12:U12)</f>
        <v>5499.6500000000005</v>
      </c>
      <c r="AI12" s="14">
        <f>SUM($K12:V12)</f>
        <v>5749.6500000000005</v>
      </c>
    </row>
    <row r="13" spans="1:35">
      <c r="A13" s="5">
        <v>3</v>
      </c>
      <c r="B13" s="5">
        <v>25001</v>
      </c>
      <c r="C13" s="5" t="s">
        <v>196</v>
      </c>
      <c r="D13" s="5" t="str">
        <f>VLOOKUP($B13, Spa!$B:$P, 14, 0)</f>
        <v>Emily</v>
      </c>
      <c r="E13" s="5" t="str">
        <f>VLOOKUP($B13, Spa!$B:$P, 15, 0)</f>
        <v>Northeast</v>
      </c>
      <c r="F13" s="5">
        <f>VLOOKUP(B13, Spa!$B:$E, 3, 0)</f>
        <v>2021</v>
      </c>
      <c r="G13" s="6">
        <f>VLOOKUP(B13, Spa!$B:$E, 4, 0)</f>
        <v>44317</v>
      </c>
      <c r="H13" s="5" t="str">
        <f t="shared" ref="H13:H62" si="6">F13&amp;MONTH(G13)</f>
        <v>20215</v>
      </c>
      <c r="I13" s="5" t="str">
        <f>VLOOKUP(B13, Spa!$B:$L, 9, 0)</f>
        <v>Yes</v>
      </c>
      <c r="J13" s="16">
        <v>57102.76</v>
      </c>
      <c r="K13" s="16">
        <v>1315.75</v>
      </c>
      <c r="L13" s="16">
        <v>656.48</v>
      </c>
      <c r="M13" s="16">
        <v>2264.5</v>
      </c>
      <c r="N13" s="16">
        <v>4158.93</v>
      </c>
      <c r="O13" s="16">
        <v>2035.13</v>
      </c>
      <c r="P13" s="16">
        <v>2374.5500000000002</v>
      </c>
      <c r="Q13" s="16">
        <v>2259.0500000000002</v>
      </c>
      <c r="R13" s="16">
        <v>2999.35</v>
      </c>
      <c r="S13" s="16">
        <v>2742.2</v>
      </c>
      <c r="T13" s="16">
        <v>4017.9</v>
      </c>
      <c r="U13" s="16">
        <v>4694.2</v>
      </c>
      <c r="V13" s="16">
        <v>2839.15</v>
      </c>
      <c r="X13" s="14">
        <f>SUM($K13:K13)</f>
        <v>1315.75</v>
      </c>
      <c r="Y13" s="14">
        <f>SUM($K13:L13)</f>
        <v>1972.23</v>
      </c>
      <c r="Z13" s="14">
        <f>SUM($K13:M13)</f>
        <v>4236.7299999999996</v>
      </c>
      <c r="AA13" s="14">
        <f>SUM($K13:N13)</f>
        <v>8395.66</v>
      </c>
      <c r="AB13" s="14">
        <f>SUM($K13:O13)</f>
        <v>10430.790000000001</v>
      </c>
      <c r="AC13" s="14">
        <f>SUM($K13:P13)</f>
        <v>12805.34</v>
      </c>
      <c r="AD13" s="14">
        <f>SUM($K13:Q13)</f>
        <v>15064.39</v>
      </c>
      <c r="AE13" s="14">
        <f>SUM($K13:R13)</f>
        <v>18063.739999999998</v>
      </c>
      <c r="AF13" s="14">
        <f>SUM($K13:S13)</f>
        <v>20805.939999999999</v>
      </c>
      <c r="AG13" s="14">
        <f>SUM($K13:T13)</f>
        <v>24823.84</v>
      </c>
      <c r="AH13" s="14">
        <f>SUM($K13:U13)</f>
        <v>29518.04</v>
      </c>
      <c r="AI13" s="14">
        <f>SUM($K13:V13)</f>
        <v>32357.190000000002</v>
      </c>
    </row>
    <row r="14" spans="1:35">
      <c r="A14" s="5">
        <v>4</v>
      </c>
      <c r="B14" s="5">
        <v>25002</v>
      </c>
      <c r="C14" s="5" t="s">
        <v>121</v>
      </c>
      <c r="D14" s="5" t="str">
        <f>VLOOKUP($B14, Spa!$B:$P, 14, 0)</f>
        <v>Lisa</v>
      </c>
      <c r="E14" s="5" t="str">
        <f>VLOOKUP($B14, Spa!$B:$P, 15, 0)</f>
        <v>Southeast</v>
      </c>
      <c r="F14" s="5">
        <f>VLOOKUP(B14, Spa!$B:$E, 3, 0)</f>
        <v>2021</v>
      </c>
      <c r="G14" s="6">
        <f>VLOOKUP(B14, Spa!$B:$E, 4, 0)</f>
        <v>44409</v>
      </c>
      <c r="H14" s="5" t="str">
        <f t="shared" si="6"/>
        <v>20218</v>
      </c>
      <c r="I14" s="5" t="str">
        <f>VLOOKUP(B14, Spa!$B:$L, 9, 0)</f>
        <v>Yes</v>
      </c>
      <c r="J14" s="16">
        <v>24911.8</v>
      </c>
      <c r="K14" s="16">
        <v>5332.02</v>
      </c>
      <c r="L14" s="16">
        <v>3759.9</v>
      </c>
      <c r="M14" s="16"/>
      <c r="N14" s="16">
        <v>1919.37</v>
      </c>
      <c r="O14" s="16">
        <v>1883.75</v>
      </c>
      <c r="P14" s="16"/>
      <c r="Q14" s="16">
        <v>1267.5999999999999</v>
      </c>
      <c r="R14" s="16">
        <v>910.95</v>
      </c>
      <c r="S14" s="16"/>
      <c r="T14" s="16"/>
      <c r="U14" s="16">
        <v>930.5</v>
      </c>
      <c r="V14" s="16"/>
      <c r="X14" s="14">
        <f>SUM($K14:K14)</f>
        <v>5332.02</v>
      </c>
      <c r="Y14" s="14">
        <f>SUM($K14:L14)</f>
        <v>9091.92</v>
      </c>
      <c r="Z14" s="14">
        <f>SUM($K14:M14)</f>
        <v>9091.92</v>
      </c>
      <c r="AA14" s="14">
        <f>SUM($K14:N14)</f>
        <v>11011.29</v>
      </c>
      <c r="AB14" s="14">
        <f>SUM($K14:O14)</f>
        <v>12895.04</v>
      </c>
      <c r="AC14" s="14">
        <f>SUM($K14:P14)</f>
        <v>12895.04</v>
      </c>
      <c r="AD14" s="14">
        <f>SUM($K14:Q14)</f>
        <v>14162.640000000001</v>
      </c>
      <c r="AE14" s="14">
        <f>SUM($K14:R14)</f>
        <v>15073.590000000002</v>
      </c>
      <c r="AF14" s="14">
        <f>SUM($K14:S14)</f>
        <v>15073.590000000002</v>
      </c>
      <c r="AG14" s="14">
        <f>SUM($K14:T14)</f>
        <v>15073.590000000002</v>
      </c>
      <c r="AH14" s="14">
        <f>SUM($K14:U14)</f>
        <v>16004.090000000002</v>
      </c>
      <c r="AI14" s="14">
        <f>SUM($K14:V14)</f>
        <v>16004.090000000002</v>
      </c>
    </row>
    <row r="15" spans="1:35">
      <c r="A15" s="5">
        <v>5</v>
      </c>
      <c r="B15" s="5">
        <v>25003</v>
      </c>
      <c r="C15" s="5" t="s">
        <v>140</v>
      </c>
      <c r="D15" s="5" t="str">
        <f>VLOOKUP($B15, Spa!$B:$P, 14, 0)</f>
        <v>Lisa</v>
      </c>
      <c r="E15" s="5" t="str">
        <f>VLOOKUP($B15, Spa!$B:$P, 15, 0)</f>
        <v>Southeast</v>
      </c>
      <c r="F15" s="5">
        <f>VLOOKUP(B15, Spa!$B:$E, 3, 0)</f>
        <v>2021</v>
      </c>
      <c r="G15" s="6">
        <f>VLOOKUP(B15, Spa!$B:$E, 4, 0)</f>
        <v>44440</v>
      </c>
      <c r="H15" s="5" t="str">
        <f t="shared" si="6"/>
        <v>20219</v>
      </c>
      <c r="I15" s="5" t="str">
        <f>VLOOKUP(B15, Spa!$B:$L, 9, 0)</f>
        <v>No</v>
      </c>
      <c r="J15" s="16">
        <v>1917.25</v>
      </c>
      <c r="K15" s="16"/>
      <c r="L15" s="16"/>
      <c r="M15" s="16"/>
      <c r="N15" s="16"/>
      <c r="O15" s="16"/>
      <c r="P15" s="16"/>
      <c r="Q15" s="16"/>
      <c r="R15" s="16"/>
      <c r="S15" s="16">
        <v>1917.25</v>
      </c>
      <c r="T15" s="16"/>
      <c r="U15" s="16"/>
      <c r="V15" s="16"/>
      <c r="X15" s="14">
        <f>SUM($K15:K15)</f>
        <v>0</v>
      </c>
      <c r="Y15" s="14">
        <f>SUM($K15:L15)</f>
        <v>0</v>
      </c>
      <c r="Z15" s="14">
        <f>SUM($K15:M15)</f>
        <v>0</v>
      </c>
      <c r="AA15" s="14">
        <f>SUM($K15:N15)</f>
        <v>0</v>
      </c>
      <c r="AB15" s="14">
        <f>SUM($K15:O15)</f>
        <v>0</v>
      </c>
      <c r="AC15" s="14">
        <f>SUM($K15:P15)</f>
        <v>0</v>
      </c>
      <c r="AD15" s="14">
        <f>SUM($K15:Q15)</f>
        <v>0</v>
      </c>
      <c r="AE15" s="14">
        <f>SUM($K15:R15)</f>
        <v>0</v>
      </c>
      <c r="AF15" s="14">
        <f>SUM($K15:S15)</f>
        <v>1917.25</v>
      </c>
      <c r="AG15" s="14">
        <f>SUM($K15:T15)</f>
        <v>1917.25</v>
      </c>
      <c r="AH15" s="14">
        <f>SUM($K15:U15)</f>
        <v>1917.25</v>
      </c>
      <c r="AI15" s="14">
        <f>SUM($K15:V15)</f>
        <v>1917.25</v>
      </c>
    </row>
    <row r="16" spans="1:35">
      <c r="A16" s="5">
        <v>6</v>
      </c>
      <c r="B16" s="5">
        <v>25004</v>
      </c>
      <c r="C16" s="5" t="s">
        <v>105</v>
      </c>
      <c r="D16" s="5" t="str">
        <f>VLOOKUP($B16, Spa!$B:$P, 14, 0)</f>
        <v>Amy</v>
      </c>
      <c r="E16" s="5" t="str">
        <f>VLOOKUP($B16, Spa!$B:$P, 15, 0)</f>
        <v>West</v>
      </c>
      <c r="F16" s="5">
        <f>VLOOKUP(B16, Spa!$B:$E, 3, 0)</f>
        <v>2021</v>
      </c>
      <c r="G16" s="6">
        <f>VLOOKUP(B16, Spa!$B:$E, 4, 0)</f>
        <v>44440</v>
      </c>
      <c r="H16" s="5" t="str">
        <f t="shared" si="6"/>
        <v>20219</v>
      </c>
      <c r="I16" s="5" t="str">
        <f>VLOOKUP(B16, Spa!$B:$L, 9, 0)</f>
        <v>Yes</v>
      </c>
      <c r="J16" s="16">
        <v>15904.31</v>
      </c>
      <c r="K16" s="16"/>
      <c r="L16" s="16"/>
      <c r="M16" s="16">
        <v>1529.5</v>
      </c>
      <c r="N16" s="16"/>
      <c r="O16" s="16"/>
      <c r="P16" s="16"/>
      <c r="Q16" s="16">
        <v>2102.25</v>
      </c>
      <c r="R16" s="16"/>
      <c r="S16" s="16"/>
      <c r="T16" s="16"/>
      <c r="U16" s="16"/>
      <c r="V16" s="16">
        <v>2002.25</v>
      </c>
      <c r="X16" s="14">
        <f>SUM($K16:K16)</f>
        <v>0</v>
      </c>
      <c r="Y16" s="14">
        <f>SUM($K16:L16)</f>
        <v>0</v>
      </c>
      <c r="Z16" s="14">
        <f>SUM($K16:M16)</f>
        <v>1529.5</v>
      </c>
      <c r="AA16" s="14">
        <f>SUM($K16:N16)</f>
        <v>1529.5</v>
      </c>
      <c r="AB16" s="14">
        <f>SUM($K16:O16)</f>
        <v>1529.5</v>
      </c>
      <c r="AC16" s="14">
        <f>SUM($K16:P16)</f>
        <v>1529.5</v>
      </c>
      <c r="AD16" s="14">
        <f>SUM($K16:Q16)</f>
        <v>3631.75</v>
      </c>
      <c r="AE16" s="14">
        <f>SUM($K16:R16)</f>
        <v>3631.75</v>
      </c>
      <c r="AF16" s="14">
        <f>SUM($K16:S16)</f>
        <v>3631.75</v>
      </c>
      <c r="AG16" s="14">
        <f>SUM($K16:T16)</f>
        <v>3631.75</v>
      </c>
      <c r="AH16" s="14">
        <f>SUM($K16:U16)</f>
        <v>3631.75</v>
      </c>
      <c r="AI16" s="14">
        <f>SUM($K16:V16)</f>
        <v>5634</v>
      </c>
    </row>
    <row r="17" spans="1:35">
      <c r="A17" s="5">
        <v>10</v>
      </c>
      <c r="B17" s="5">
        <v>25008</v>
      </c>
      <c r="C17" s="5" t="s">
        <v>127</v>
      </c>
      <c r="D17" s="5" t="str">
        <f>VLOOKUP($B17, Spa!$B:$P, 14, 0)</f>
        <v>Lisa</v>
      </c>
      <c r="E17" s="5" t="str">
        <f>VLOOKUP($B17, Spa!$B:$P, 15, 0)</f>
        <v>Southeast</v>
      </c>
      <c r="F17" s="5">
        <f>VLOOKUP(B17, Spa!$B:$E, 3, 0)</f>
        <v>2021</v>
      </c>
      <c r="G17" s="6">
        <f>VLOOKUP(B17, Spa!$B:$E, 4, 0)</f>
        <v>44531</v>
      </c>
      <c r="H17" s="5" t="str">
        <f t="shared" si="6"/>
        <v>202112</v>
      </c>
      <c r="I17" s="5" t="str">
        <f>VLOOKUP(B17, Spa!$B:$L, 9, 0)</f>
        <v>Yes</v>
      </c>
      <c r="J17" s="16">
        <v>2212.5</v>
      </c>
      <c r="K17" s="16"/>
      <c r="L17" s="16">
        <v>1083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X17" s="14">
        <f>SUM($K17:K17)</f>
        <v>0</v>
      </c>
      <c r="Y17" s="14">
        <f>SUM($K17:L17)</f>
        <v>1083</v>
      </c>
      <c r="Z17" s="14">
        <f>SUM($K17:M17)</f>
        <v>1083</v>
      </c>
      <c r="AA17" s="14">
        <f>SUM($K17:N17)</f>
        <v>1083</v>
      </c>
      <c r="AB17" s="14">
        <f>SUM($K17:O17)</f>
        <v>1083</v>
      </c>
      <c r="AC17" s="14">
        <f>SUM($K17:P17)</f>
        <v>1083</v>
      </c>
      <c r="AD17" s="14">
        <f>SUM($K17:Q17)</f>
        <v>1083</v>
      </c>
      <c r="AE17" s="14">
        <f>SUM($K17:R17)</f>
        <v>1083</v>
      </c>
      <c r="AF17" s="14">
        <f>SUM($K17:S17)</f>
        <v>1083</v>
      </c>
      <c r="AG17" s="14">
        <f>SUM($K17:T17)</f>
        <v>1083</v>
      </c>
      <c r="AH17" s="14">
        <f>SUM($K17:U17)</f>
        <v>1083</v>
      </c>
      <c r="AI17" s="14">
        <f>SUM($K17:V17)</f>
        <v>1083</v>
      </c>
    </row>
    <row r="18" spans="1:35">
      <c r="A18" s="5">
        <v>11</v>
      </c>
      <c r="B18" s="5">
        <v>25009</v>
      </c>
      <c r="C18" s="5" t="s">
        <v>142</v>
      </c>
      <c r="D18" s="5" t="str">
        <f>VLOOKUP($B18, Spa!$B:$P, 14, 0)</f>
        <v>Amy</v>
      </c>
      <c r="E18" s="5" t="str">
        <f>VLOOKUP($B18, Spa!$B:$P, 15, 0)</f>
        <v>West</v>
      </c>
      <c r="F18" s="5">
        <f>VLOOKUP(B18, Spa!$B:$E, 3, 0)</f>
        <v>2022</v>
      </c>
      <c r="G18" s="6">
        <f>VLOOKUP(B18, Spa!$B:$E, 4, 0)</f>
        <v>44562</v>
      </c>
      <c r="H18" s="5" t="str">
        <f t="shared" si="6"/>
        <v>20221</v>
      </c>
      <c r="I18" s="5" t="str">
        <f>VLOOKUP(B18, Spa!$B:$L, 9, 0)</f>
        <v>Yes</v>
      </c>
      <c r="J18" s="16">
        <v>32836.49</v>
      </c>
      <c r="K18" s="16">
        <v>6791.99</v>
      </c>
      <c r="L18" s="16">
        <v>2612.4</v>
      </c>
      <c r="M18" s="16">
        <v>1156</v>
      </c>
      <c r="N18" s="16">
        <v>1690.95</v>
      </c>
      <c r="O18" s="16">
        <v>2351.1</v>
      </c>
      <c r="P18" s="16">
        <v>2456.5500000000002</v>
      </c>
      <c r="Q18" s="16"/>
      <c r="R18" s="16">
        <v>4783.8500000000004</v>
      </c>
      <c r="S18" s="16">
        <v>177</v>
      </c>
      <c r="T18" s="16">
        <v>940</v>
      </c>
      <c r="U18" s="16"/>
      <c r="V18" s="16"/>
      <c r="X18" s="14">
        <f>SUM($K18:K18)</f>
        <v>6791.99</v>
      </c>
      <c r="Y18" s="14">
        <f>SUM($K18:L18)</f>
        <v>9404.39</v>
      </c>
      <c r="Z18" s="14">
        <f>SUM($K18:M18)</f>
        <v>10560.39</v>
      </c>
      <c r="AA18" s="14">
        <f>SUM($K18:N18)</f>
        <v>12251.34</v>
      </c>
      <c r="AB18" s="14">
        <f>SUM($K18:O18)</f>
        <v>14602.44</v>
      </c>
      <c r="AC18" s="14">
        <f>SUM($K18:P18)</f>
        <v>17058.990000000002</v>
      </c>
      <c r="AD18" s="14">
        <f>SUM($K18:Q18)</f>
        <v>17058.990000000002</v>
      </c>
      <c r="AE18" s="14">
        <f>SUM($K18:R18)</f>
        <v>21842.840000000004</v>
      </c>
      <c r="AF18" s="14">
        <f>SUM($K18:S18)</f>
        <v>22019.840000000004</v>
      </c>
      <c r="AG18" s="14">
        <f>SUM($K18:T18)</f>
        <v>22959.840000000004</v>
      </c>
      <c r="AH18" s="14">
        <f>SUM($K18:U18)</f>
        <v>22959.840000000004</v>
      </c>
      <c r="AI18" s="14">
        <f>SUM($K18:V18)</f>
        <v>22959.840000000004</v>
      </c>
    </row>
    <row r="19" spans="1:35">
      <c r="A19" s="5">
        <v>12</v>
      </c>
      <c r="B19" s="5">
        <v>25010</v>
      </c>
      <c r="C19" s="5" t="s">
        <v>119</v>
      </c>
      <c r="D19" s="5" t="str">
        <f>VLOOKUP($B19, Spa!$B:$P, 14, 0)</f>
        <v>Lisa</v>
      </c>
      <c r="E19" s="5" t="str">
        <f>VLOOKUP($B19, Spa!$B:$P, 15, 0)</f>
        <v>Southeast</v>
      </c>
      <c r="F19" s="5">
        <f>VLOOKUP(B19, Spa!$B:$E, 3, 0)</f>
        <v>2022</v>
      </c>
      <c r="G19" s="6">
        <f>VLOOKUP(B19, Spa!$B:$E, 4, 0)</f>
        <v>44562</v>
      </c>
      <c r="H19" s="5" t="str">
        <f t="shared" si="6"/>
        <v>20221</v>
      </c>
      <c r="I19" s="5" t="str">
        <f>VLOOKUP(B19, Spa!$B:$L, 9, 0)</f>
        <v>Yes</v>
      </c>
      <c r="J19" s="16">
        <v>108983.17</v>
      </c>
      <c r="K19" s="16">
        <v>15594.96</v>
      </c>
      <c r="L19" s="16"/>
      <c r="M19" s="16">
        <v>2750.2</v>
      </c>
      <c r="N19" s="16">
        <v>2894</v>
      </c>
      <c r="O19" s="16">
        <v>4996.6000000000004</v>
      </c>
      <c r="P19" s="16">
        <v>1046.4000000000001</v>
      </c>
      <c r="Q19" s="16"/>
      <c r="R19" s="16">
        <v>4501.5</v>
      </c>
      <c r="S19" s="16">
        <v>8382.5</v>
      </c>
      <c r="T19" s="16"/>
      <c r="U19" s="16">
        <v>7206.85</v>
      </c>
      <c r="V19" s="16">
        <v>7254.8</v>
      </c>
      <c r="X19" s="14">
        <f>SUM($K19:K19)</f>
        <v>15594.96</v>
      </c>
      <c r="Y19" s="14">
        <f>SUM($K19:L19)</f>
        <v>15594.96</v>
      </c>
      <c r="Z19" s="14">
        <f>SUM($K19:M19)</f>
        <v>18345.16</v>
      </c>
      <c r="AA19" s="14">
        <f>SUM($K19:N19)</f>
        <v>21239.16</v>
      </c>
      <c r="AB19" s="14">
        <f>SUM($K19:O19)</f>
        <v>26235.760000000002</v>
      </c>
      <c r="AC19" s="14">
        <f>SUM($K19:P19)</f>
        <v>27282.160000000003</v>
      </c>
      <c r="AD19" s="14">
        <f>SUM($K19:Q19)</f>
        <v>27282.160000000003</v>
      </c>
      <c r="AE19" s="14">
        <f>SUM($K19:R19)</f>
        <v>31783.660000000003</v>
      </c>
      <c r="AF19" s="14">
        <f>SUM($K19:S19)</f>
        <v>40166.160000000003</v>
      </c>
      <c r="AG19" s="14">
        <f>SUM($K19:T19)</f>
        <v>40166.160000000003</v>
      </c>
      <c r="AH19" s="14">
        <f>SUM($K19:U19)</f>
        <v>47373.01</v>
      </c>
      <c r="AI19" s="14">
        <f>SUM($K19:V19)</f>
        <v>54627.810000000005</v>
      </c>
    </row>
    <row r="20" spans="1:35">
      <c r="A20" s="5">
        <v>13</v>
      </c>
      <c r="B20" s="5">
        <v>25011</v>
      </c>
      <c r="C20" s="5" t="s">
        <v>143</v>
      </c>
      <c r="D20" s="5" t="str">
        <f>VLOOKUP($B20, Spa!$B:$P, 14, 0)</f>
        <v>Amy</v>
      </c>
      <c r="E20" s="5" t="str">
        <f>VLOOKUP($B20, Spa!$B:$P, 15, 0)</f>
        <v>West</v>
      </c>
      <c r="F20" s="5">
        <f>VLOOKUP(B20, Spa!$B:$E, 3, 0)</f>
        <v>2022</v>
      </c>
      <c r="G20" s="6">
        <f>VLOOKUP(B20, Spa!$B:$E, 4, 0)</f>
        <v>44593</v>
      </c>
      <c r="H20" s="5" t="str">
        <f t="shared" si="6"/>
        <v>20222</v>
      </c>
      <c r="I20" s="5" t="str">
        <f>VLOOKUP(B20, Spa!$B:$L, 9, 0)</f>
        <v>Yes</v>
      </c>
      <c r="J20" s="16">
        <v>25713.4</v>
      </c>
      <c r="K20" s="16"/>
      <c r="L20" s="16">
        <v>13099.35</v>
      </c>
      <c r="M20" s="16">
        <v>2394.3000000000002</v>
      </c>
      <c r="N20" s="16"/>
      <c r="O20" s="16">
        <v>2326.4</v>
      </c>
      <c r="P20" s="16">
        <v>2170</v>
      </c>
      <c r="Q20" s="16">
        <v>1073.5999999999999</v>
      </c>
      <c r="R20" s="16">
        <v>4125.55</v>
      </c>
      <c r="S20" s="16"/>
      <c r="T20" s="16"/>
      <c r="U20" s="16"/>
      <c r="V20" s="16"/>
      <c r="X20" s="14">
        <f>SUM($K20:K20)</f>
        <v>0</v>
      </c>
      <c r="Y20" s="14">
        <f>SUM($K20:L20)</f>
        <v>13099.35</v>
      </c>
      <c r="Z20" s="14">
        <f>SUM($K20:M20)</f>
        <v>15493.650000000001</v>
      </c>
      <c r="AA20" s="14">
        <f>SUM($K20:N20)</f>
        <v>15493.650000000001</v>
      </c>
      <c r="AB20" s="14">
        <f>SUM($K20:O20)</f>
        <v>17820.050000000003</v>
      </c>
      <c r="AC20" s="14">
        <f>SUM($K20:P20)</f>
        <v>19990.050000000003</v>
      </c>
      <c r="AD20" s="14">
        <f>SUM($K20:Q20)</f>
        <v>21063.65</v>
      </c>
      <c r="AE20" s="14">
        <f>SUM($K20:R20)</f>
        <v>25189.200000000001</v>
      </c>
      <c r="AF20" s="14">
        <f>SUM($K20:S20)</f>
        <v>25189.200000000001</v>
      </c>
      <c r="AG20" s="14">
        <f>SUM($K20:T20)</f>
        <v>25189.200000000001</v>
      </c>
      <c r="AH20" s="14">
        <f>SUM($K20:U20)</f>
        <v>25189.200000000001</v>
      </c>
      <c r="AI20" s="14">
        <f>SUM($K20:V20)</f>
        <v>25189.200000000001</v>
      </c>
    </row>
    <row r="21" spans="1:35">
      <c r="A21" s="5">
        <v>14</v>
      </c>
      <c r="B21" s="5">
        <v>25012</v>
      </c>
      <c r="C21" s="5" t="s">
        <v>100</v>
      </c>
      <c r="D21" s="5" t="str">
        <f>VLOOKUP($B21, Spa!$B:$P, 14, 0)</f>
        <v>Amy</v>
      </c>
      <c r="E21" s="5" t="str">
        <f>VLOOKUP($B21, Spa!$B:$P, 15, 0)</f>
        <v>West</v>
      </c>
      <c r="F21" s="5">
        <f>VLOOKUP(B21, Spa!$B:$E, 3, 0)</f>
        <v>2022</v>
      </c>
      <c r="G21" s="6">
        <f>VLOOKUP(B21, Spa!$B:$E, 4, 0)</f>
        <v>44621</v>
      </c>
      <c r="H21" s="5" t="str">
        <f t="shared" si="6"/>
        <v>20223</v>
      </c>
      <c r="I21" s="5" t="str">
        <f>VLOOKUP(B21, Spa!$B:$L, 9, 0)</f>
        <v>Yes</v>
      </c>
      <c r="J21" s="16">
        <v>268312.63</v>
      </c>
      <c r="K21" s="16"/>
      <c r="L21" s="16">
        <v>0</v>
      </c>
      <c r="M21" s="16">
        <v>13598.45</v>
      </c>
      <c r="N21" s="16">
        <v>13686.16</v>
      </c>
      <c r="O21" s="16">
        <v>8825.1</v>
      </c>
      <c r="P21" s="16">
        <v>8815.9</v>
      </c>
      <c r="Q21" s="16">
        <v>3507</v>
      </c>
      <c r="R21" s="16">
        <v>29517.7</v>
      </c>
      <c r="S21" s="16">
        <v>18258.05</v>
      </c>
      <c r="T21" s="16">
        <v>8394.2999999999993</v>
      </c>
      <c r="U21" s="16">
        <v>3753</v>
      </c>
      <c r="V21" s="16">
        <v>19445</v>
      </c>
      <c r="X21" s="14">
        <f>SUM($K21:K21)</f>
        <v>0</v>
      </c>
      <c r="Y21" s="14">
        <f>SUM($K21:L21)</f>
        <v>0</v>
      </c>
      <c r="Z21" s="14">
        <f>SUM($K21:M21)</f>
        <v>13598.45</v>
      </c>
      <c r="AA21" s="14">
        <f>SUM($K21:N21)</f>
        <v>27284.61</v>
      </c>
      <c r="AB21" s="14">
        <f>SUM($K21:O21)</f>
        <v>36109.71</v>
      </c>
      <c r="AC21" s="14">
        <f>SUM($K21:P21)</f>
        <v>44925.61</v>
      </c>
      <c r="AD21" s="14">
        <f>SUM($K21:Q21)</f>
        <v>48432.61</v>
      </c>
      <c r="AE21" s="14">
        <f>SUM($K21:R21)</f>
        <v>77950.31</v>
      </c>
      <c r="AF21" s="14">
        <f>SUM($K21:S21)</f>
        <v>96208.36</v>
      </c>
      <c r="AG21" s="14">
        <f>SUM($K21:T21)</f>
        <v>104602.66</v>
      </c>
      <c r="AH21" s="14">
        <f>SUM($K21:U21)</f>
        <v>108355.66</v>
      </c>
      <c r="AI21" s="14">
        <f>SUM($K21:V21)</f>
        <v>127800.66</v>
      </c>
    </row>
    <row r="22" spans="1:35">
      <c r="A22" s="5">
        <v>15</v>
      </c>
      <c r="B22" s="5">
        <v>25013</v>
      </c>
      <c r="C22" s="5" t="s">
        <v>144</v>
      </c>
      <c r="D22" s="5" t="str">
        <f>VLOOKUP($B22, Spa!$B:$P, 14, 0)</f>
        <v>Emily</v>
      </c>
      <c r="E22" s="5" t="str">
        <f>VLOOKUP($B22, Spa!$B:$P, 15, 0)</f>
        <v>Central</v>
      </c>
      <c r="F22" s="5">
        <f>VLOOKUP(B22, Spa!$B:$E, 3, 0)</f>
        <v>2022</v>
      </c>
      <c r="G22" s="6">
        <f>VLOOKUP(B22, Spa!$B:$E, 4, 0)</f>
        <v>44621</v>
      </c>
      <c r="H22" s="5" t="str">
        <f t="shared" si="6"/>
        <v>20223</v>
      </c>
      <c r="I22" s="5" t="str">
        <f>VLOOKUP(B22, Spa!$B:$L, 9, 0)</f>
        <v>Yes</v>
      </c>
      <c r="J22" s="16">
        <v>28353.3</v>
      </c>
      <c r="K22" s="16"/>
      <c r="L22" s="16"/>
      <c r="M22" s="16">
        <v>26813.5</v>
      </c>
      <c r="N22" s="16"/>
      <c r="O22" s="16">
        <v>1539.8</v>
      </c>
      <c r="P22" s="16"/>
      <c r="Q22" s="16"/>
      <c r="R22" s="16"/>
      <c r="S22" s="16"/>
      <c r="T22" s="16"/>
      <c r="U22" s="16"/>
      <c r="V22" s="16"/>
      <c r="X22" s="14">
        <f>SUM($K22:K22)</f>
        <v>0</v>
      </c>
      <c r="Y22" s="14">
        <f>SUM($K22:L22)</f>
        <v>0</v>
      </c>
      <c r="Z22" s="14">
        <f>SUM($K22:M22)</f>
        <v>26813.5</v>
      </c>
      <c r="AA22" s="14">
        <f>SUM($K22:N22)</f>
        <v>26813.5</v>
      </c>
      <c r="AB22" s="14">
        <f>SUM($K22:O22)</f>
        <v>28353.3</v>
      </c>
      <c r="AC22" s="14">
        <f>SUM($K22:P22)</f>
        <v>28353.3</v>
      </c>
      <c r="AD22" s="14">
        <f>SUM($K22:Q22)</f>
        <v>28353.3</v>
      </c>
      <c r="AE22" s="14">
        <f>SUM($K22:R22)</f>
        <v>28353.3</v>
      </c>
      <c r="AF22" s="14">
        <f>SUM($K22:S22)</f>
        <v>28353.3</v>
      </c>
      <c r="AG22" s="14">
        <f>SUM($K22:T22)</f>
        <v>28353.3</v>
      </c>
      <c r="AH22" s="14">
        <f>SUM($K22:U22)</f>
        <v>28353.3</v>
      </c>
      <c r="AI22" s="14">
        <f>SUM($K22:V22)</f>
        <v>28353.3</v>
      </c>
    </row>
    <row r="23" spans="1:35">
      <c r="A23" s="5">
        <v>16</v>
      </c>
      <c r="B23" s="5">
        <v>25015</v>
      </c>
      <c r="C23" s="5" t="s">
        <v>107</v>
      </c>
      <c r="D23" s="5" t="str">
        <f>VLOOKUP($B23, Spa!$B:$P, 14, 0)</f>
        <v>Amy</v>
      </c>
      <c r="E23" s="5" t="str">
        <f>VLOOKUP($B23, Spa!$B:$P, 15, 0)</f>
        <v>West</v>
      </c>
      <c r="F23" s="5">
        <f>VLOOKUP(B23, Spa!$B:$E, 3, 0)</f>
        <v>2022</v>
      </c>
      <c r="G23" s="6">
        <f>VLOOKUP(B23, Spa!$B:$E, 4, 0)</f>
        <v>44621</v>
      </c>
      <c r="H23" s="5" t="str">
        <f t="shared" si="6"/>
        <v>20223</v>
      </c>
      <c r="I23" s="5" t="str">
        <f>VLOOKUP(B23, Spa!$B:$L, 9, 0)</f>
        <v>Yes</v>
      </c>
      <c r="J23" s="16">
        <v>16589.580000000002</v>
      </c>
      <c r="K23" s="16"/>
      <c r="L23" s="16"/>
      <c r="M23" s="16">
        <v>4213.45</v>
      </c>
      <c r="N23" s="16"/>
      <c r="O23" s="16">
        <v>1272.7</v>
      </c>
      <c r="P23" s="16">
        <v>162</v>
      </c>
      <c r="Q23" s="16">
        <v>566.25</v>
      </c>
      <c r="R23" s="16">
        <v>650.45000000000005</v>
      </c>
      <c r="S23" s="16"/>
      <c r="T23" s="16">
        <v>2162.9</v>
      </c>
      <c r="U23" s="16"/>
      <c r="V23" s="16">
        <v>603.35</v>
      </c>
      <c r="X23" s="14">
        <f>SUM($K23:K23)</f>
        <v>0</v>
      </c>
      <c r="Y23" s="14">
        <f>SUM($K23:L23)</f>
        <v>0</v>
      </c>
      <c r="Z23" s="14">
        <f>SUM($K23:M23)</f>
        <v>4213.45</v>
      </c>
      <c r="AA23" s="14">
        <f>SUM($K23:N23)</f>
        <v>4213.45</v>
      </c>
      <c r="AB23" s="14">
        <f>SUM($K23:O23)</f>
        <v>5486.15</v>
      </c>
      <c r="AC23" s="14">
        <f>SUM($K23:P23)</f>
        <v>5648.15</v>
      </c>
      <c r="AD23" s="14">
        <f>SUM($K23:Q23)</f>
        <v>6214.4</v>
      </c>
      <c r="AE23" s="14">
        <f>SUM($K23:R23)</f>
        <v>6864.8499999999995</v>
      </c>
      <c r="AF23" s="14">
        <f>SUM($K23:S23)</f>
        <v>6864.8499999999995</v>
      </c>
      <c r="AG23" s="14">
        <f>SUM($K23:T23)</f>
        <v>9027.75</v>
      </c>
      <c r="AH23" s="14">
        <f>SUM($K23:U23)</f>
        <v>9027.75</v>
      </c>
      <c r="AI23" s="14">
        <f>SUM($K23:V23)</f>
        <v>9631.1</v>
      </c>
    </row>
    <row r="24" spans="1:35">
      <c r="A24" s="5">
        <v>17</v>
      </c>
      <c r="B24" s="5">
        <v>25016</v>
      </c>
      <c r="C24" s="5" t="s">
        <v>122</v>
      </c>
      <c r="D24" s="5" t="str">
        <f>VLOOKUP($B24, Spa!$B:$P, 14, 0)</f>
        <v>Lisa</v>
      </c>
      <c r="E24" s="5" t="str">
        <f>VLOOKUP($B24, Spa!$B:$P, 15, 0)</f>
        <v>Southeast</v>
      </c>
      <c r="F24" s="5">
        <f>VLOOKUP(B24, Spa!$B:$E, 3, 0)</f>
        <v>2022</v>
      </c>
      <c r="G24" s="6">
        <f>VLOOKUP(B24, Spa!$B:$E, 4, 0)</f>
        <v>44652</v>
      </c>
      <c r="H24" s="5" t="str">
        <f t="shared" si="6"/>
        <v>20224</v>
      </c>
      <c r="I24" s="5" t="str">
        <f>VLOOKUP(B24, Spa!$B:$L, 9, 0)</f>
        <v>Yes</v>
      </c>
      <c r="J24" s="16">
        <v>21196.78</v>
      </c>
      <c r="K24" s="16"/>
      <c r="L24" s="16"/>
      <c r="M24" s="16"/>
      <c r="N24" s="16">
        <v>5813.7</v>
      </c>
      <c r="O24" s="16"/>
      <c r="P24" s="16">
        <v>323.10000000000002</v>
      </c>
      <c r="Q24" s="16"/>
      <c r="R24" s="16">
        <v>1546.7</v>
      </c>
      <c r="S24" s="16"/>
      <c r="T24" s="16">
        <v>1649.35</v>
      </c>
      <c r="U24" s="16"/>
      <c r="V24" s="16">
        <v>1773.3</v>
      </c>
      <c r="X24" s="14">
        <f>SUM($K24:K24)</f>
        <v>0</v>
      </c>
      <c r="Y24" s="14">
        <f>SUM($K24:L24)</f>
        <v>0</v>
      </c>
      <c r="Z24" s="14">
        <f>SUM($K24:M24)</f>
        <v>0</v>
      </c>
      <c r="AA24" s="14">
        <f>SUM($K24:N24)</f>
        <v>5813.7</v>
      </c>
      <c r="AB24" s="14">
        <f>SUM($K24:O24)</f>
        <v>5813.7</v>
      </c>
      <c r="AC24" s="14">
        <f>SUM($K24:P24)</f>
        <v>6136.8</v>
      </c>
      <c r="AD24" s="14">
        <f>SUM($K24:Q24)</f>
        <v>6136.8</v>
      </c>
      <c r="AE24" s="14">
        <f>SUM($K24:R24)</f>
        <v>7683.5</v>
      </c>
      <c r="AF24" s="14">
        <f>SUM($K24:S24)</f>
        <v>7683.5</v>
      </c>
      <c r="AG24" s="14">
        <f>SUM($K24:T24)</f>
        <v>9332.85</v>
      </c>
      <c r="AH24" s="14">
        <f>SUM($K24:U24)</f>
        <v>9332.85</v>
      </c>
      <c r="AI24" s="14">
        <f>SUM($K24:V24)</f>
        <v>11106.15</v>
      </c>
    </row>
    <row r="25" spans="1:35">
      <c r="A25" s="5">
        <v>18</v>
      </c>
      <c r="B25" s="5">
        <v>25018</v>
      </c>
      <c r="C25" s="5" t="s">
        <v>145</v>
      </c>
      <c r="D25" s="5" t="str">
        <f>VLOOKUP($B25, Spa!$B:$P, 14, 0)</f>
        <v>Lisa</v>
      </c>
      <c r="E25" s="5" t="str">
        <f>VLOOKUP($B25, Spa!$B:$P, 15, 0)</f>
        <v>Southeast</v>
      </c>
      <c r="F25" s="5">
        <f>VLOOKUP(B25, Spa!$B:$E, 3, 0)</f>
        <v>2022</v>
      </c>
      <c r="G25" s="6">
        <f>VLOOKUP(B25, Spa!$B:$E, 4, 0)</f>
        <v>44743</v>
      </c>
      <c r="H25" s="5" t="str">
        <f t="shared" si="6"/>
        <v>20227</v>
      </c>
      <c r="I25" s="5" t="str">
        <f>VLOOKUP(B25, Spa!$B:$L, 9, 0)</f>
        <v>Yes</v>
      </c>
      <c r="J25" s="16">
        <v>8694</v>
      </c>
      <c r="K25" s="16"/>
      <c r="L25" s="16"/>
      <c r="M25" s="16"/>
      <c r="N25" s="16"/>
      <c r="O25" s="16"/>
      <c r="P25" s="16"/>
      <c r="Q25" s="16">
        <v>8694</v>
      </c>
      <c r="R25" s="16"/>
      <c r="S25" s="16"/>
      <c r="T25" s="16"/>
      <c r="U25" s="16"/>
      <c r="V25" s="16"/>
      <c r="X25" s="14">
        <f>SUM($K25:K25)</f>
        <v>0</v>
      </c>
      <c r="Y25" s="14">
        <f>SUM($K25:L25)</f>
        <v>0</v>
      </c>
      <c r="Z25" s="14">
        <f>SUM($K25:M25)</f>
        <v>0</v>
      </c>
      <c r="AA25" s="14">
        <f>SUM($K25:N25)</f>
        <v>0</v>
      </c>
      <c r="AB25" s="14">
        <f>SUM($K25:O25)</f>
        <v>0</v>
      </c>
      <c r="AC25" s="14">
        <f>SUM($K25:P25)</f>
        <v>0</v>
      </c>
      <c r="AD25" s="14">
        <f>SUM($K25:Q25)</f>
        <v>8694</v>
      </c>
      <c r="AE25" s="14">
        <f>SUM($K25:R25)</f>
        <v>8694</v>
      </c>
      <c r="AF25" s="14">
        <f>SUM($K25:S25)</f>
        <v>8694</v>
      </c>
      <c r="AG25" s="14">
        <f>SUM($K25:T25)</f>
        <v>8694</v>
      </c>
      <c r="AH25" s="14">
        <f>SUM($K25:U25)</f>
        <v>8694</v>
      </c>
      <c r="AI25" s="14">
        <f>SUM($K25:V25)</f>
        <v>8694</v>
      </c>
    </row>
    <row r="26" spans="1:35">
      <c r="A26" s="5">
        <v>19</v>
      </c>
      <c r="B26" s="5">
        <v>25019</v>
      </c>
      <c r="C26" s="5" t="s">
        <v>146</v>
      </c>
      <c r="D26" s="5" t="str">
        <f>VLOOKUP($B26, Spa!$B:$P, 14, 0)</f>
        <v>Lisa</v>
      </c>
      <c r="E26" s="5" t="str">
        <f>VLOOKUP($B26, Spa!$B:$P, 15, 0)</f>
        <v>Southeast</v>
      </c>
      <c r="F26" s="5">
        <f>VLOOKUP(B26, Spa!$B:$E, 3, 0)</f>
        <v>2022</v>
      </c>
      <c r="G26" s="6">
        <f>VLOOKUP(B26, Spa!$B:$E, 4, 0)</f>
        <v>44713</v>
      </c>
      <c r="H26" s="5" t="str">
        <f t="shared" si="6"/>
        <v>20226</v>
      </c>
      <c r="I26" s="5" t="str">
        <f>VLOOKUP(B26, Spa!$B:$L, 9, 0)</f>
        <v>Yes</v>
      </c>
      <c r="J26" s="16">
        <v>3203.8</v>
      </c>
      <c r="K26" s="16"/>
      <c r="L26" s="16"/>
      <c r="M26" s="16"/>
      <c r="N26" s="16"/>
      <c r="O26" s="16"/>
      <c r="P26" s="16">
        <v>3203.8</v>
      </c>
      <c r="Q26" s="16"/>
      <c r="R26" s="16">
        <v>0</v>
      </c>
      <c r="S26" s="16"/>
      <c r="T26" s="16"/>
      <c r="U26" s="16"/>
      <c r="V26" s="16"/>
      <c r="X26" s="14">
        <f>SUM($K26:K26)</f>
        <v>0</v>
      </c>
      <c r="Y26" s="14">
        <f>SUM($K26:L26)</f>
        <v>0</v>
      </c>
      <c r="Z26" s="14">
        <f>SUM($K26:M26)</f>
        <v>0</v>
      </c>
      <c r="AA26" s="14">
        <f>SUM($K26:N26)</f>
        <v>0</v>
      </c>
      <c r="AB26" s="14">
        <f>SUM($K26:O26)</f>
        <v>0</v>
      </c>
      <c r="AC26" s="14">
        <f>SUM($K26:P26)</f>
        <v>3203.8</v>
      </c>
      <c r="AD26" s="14">
        <f>SUM($K26:Q26)</f>
        <v>3203.8</v>
      </c>
      <c r="AE26" s="14">
        <f>SUM($K26:R26)</f>
        <v>3203.8</v>
      </c>
      <c r="AF26" s="14">
        <f>SUM($K26:S26)</f>
        <v>3203.8</v>
      </c>
      <c r="AG26" s="14">
        <f>SUM($K26:T26)</f>
        <v>3203.8</v>
      </c>
      <c r="AH26" s="14">
        <f>SUM($K26:U26)</f>
        <v>3203.8</v>
      </c>
      <c r="AI26" s="14">
        <f>SUM($K26:V26)</f>
        <v>3203.8</v>
      </c>
    </row>
    <row r="27" spans="1:35">
      <c r="A27" s="5">
        <v>20</v>
      </c>
      <c r="B27" s="5">
        <v>25020</v>
      </c>
      <c r="C27" s="5" t="s">
        <v>147</v>
      </c>
      <c r="D27" s="5" t="str">
        <f>VLOOKUP($B27, Spa!$B:$P, 14, 0)</f>
        <v>Lisa</v>
      </c>
      <c r="E27" s="5" t="str">
        <f>VLOOKUP($B27, Spa!$B:$P, 15, 0)</f>
        <v>Southeast</v>
      </c>
      <c r="F27" s="5">
        <f>VLOOKUP(B27, Spa!$B:$E, 3, 0)</f>
        <v>2022</v>
      </c>
      <c r="G27" s="6">
        <f>VLOOKUP(B27, Spa!$B:$E, 4, 0)</f>
        <v>44743</v>
      </c>
      <c r="H27" s="5" t="str">
        <f t="shared" si="6"/>
        <v>20227</v>
      </c>
      <c r="I27" s="5" t="str">
        <f>VLOOKUP(B27, Spa!$B:$L, 9, 0)</f>
        <v>Yes</v>
      </c>
      <c r="J27" s="16">
        <v>7514.3</v>
      </c>
      <c r="K27" s="16"/>
      <c r="L27" s="16"/>
      <c r="M27" s="16"/>
      <c r="N27" s="16"/>
      <c r="O27" s="16"/>
      <c r="P27" s="16"/>
      <c r="Q27" s="16">
        <v>7514.3</v>
      </c>
      <c r="R27" s="16"/>
      <c r="S27" s="16"/>
      <c r="T27" s="16"/>
      <c r="U27" s="16">
        <v>0</v>
      </c>
      <c r="V27" s="16"/>
      <c r="X27" s="14">
        <f>SUM($K27:K27)</f>
        <v>0</v>
      </c>
      <c r="Y27" s="14">
        <f>SUM($K27:L27)</f>
        <v>0</v>
      </c>
      <c r="Z27" s="14">
        <f>SUM($K27:M27)</f>
        <v>0</v>
      </c>
      <c r="AA27" s="14">
        <f>SUM($K27:N27)</f>
        <v>0</v>
      </c>
      <c r="AB27" s="14">
        <f>SUM($K27:O27)</f>
        <v>0</v>
      </c>
      <c r="AC27" s="14">
        <f>SUM($K27:P27)</f>
        <v>0</v>
      </c>
      <c r="AD27" s="14">
        <f>SUM($K27:Q27)</f>
        <v>7514.3</v>
      </c>
      <c r="AE27" s="14">
        <f>SUM($K27:R27)</f>
        <v>7514.3</v>
      </c>
      <c r="AF27" s="14">
        <f>SUM($K27:S27)</f>
        <v>7514.3</v>
      </c>
      <c r="AG27" s="14">
        <f>SUM($K27:T27)</f>
        <v>7514.3</v>
      </c>
      <c r="AH27" s="14">
        <f>SUM($K27:U27)</f>
        <v>7514.3</v>
      </c>
      <c r="AI27" s="14">
        <f>SUM($K27:V27)</f>
        <v>7514.3</v>
      </c>
    </row>
    <row r="28" spans="1:35">
      <c r="A28" s="5">
        <v>21</v>
      </c>
      <c r="B28" s="5">
        <v>25021</v>
      </c>
      <c r="C28" s="5" t="s">
        <v>148</v>
      </c>
      <c r="D28" s="5" t="str">
        <f>VLOOKUP($B28, Spa!$B:$P, 14, 0)</f>
        <v>Amy</v>
      </c>
      <c r="E28" s="5" t="str">
        <f>VLOOKUP($B28, Spa!$B:$P, 15, 0)</f>
        <v>Central</v>
      </c>
      <c r="F28" s="5" t="str">
        <f>VLOOKUP(B28, Spa!$B:$E, 3, 0)</f>
        <v>N/A</v>
      </c>
      <c r="G28" s="6" t="str">
        <f>VLOOKUP(B28, Spa!$B:$E, 4, 0)</f>
        <v>N/A</v>
      </c>
      <c r="H28" s="5" t="e">
        <f t="shared" si="6"/>
        <v>#VALUE!</v>
      </c>
      <c r="I28" s="5" t="str">
        <f>VLOOKUP(B28, Spa!$B:$L, 9, 0)</f>
        <v>No</v>
      </c>
      <c r="J28" s="16">
        <v>0</v>
      </c>
      <c r="K28" s="16"/>
      <c r="L28" s="16"/>
      <c r="M28" s="16"/>
      <c r="N28" s="16"/>
      <c r="O28" s="16"/>
      <c r="P28" s="16"/>
      <c r="Q28" s="16"/>
      <c r="R28" s="16">
        <v>0</v>
      </c>
      <c r="S28" s="16"/>
      <c r="T28" s="16"/>
      <c r="U28" s="16"/>
      <c r="V28" s="16"/>
      <c r="X28" s="14">
        <f>SUM($K28:K28)</f>
        <v>0</v>
      </c>
      <c r="Y28" s="14">
        <f>SUM($K28:L28)</f>
        <v>0</v>
      </c>
      <c r="Z28" s="14">
        <f>SUM($K28:M28)</f>
        <v>0</v>
      </c>
      <c r="AA28" s="14">
        <f>SUM($K28:N28)</f>
        <v>0</v>
      </c>
      <c r="AB28" s="14">
        <f>SUM($K28:O28)</f>
        <v>0</v>
      </c>
      <c r="AC28" s="14">
        <f>SUM($K28:P28)</f>
        <v>0</v>
      </c>
      <c r="AD28" s="14">
        <f>SUM($K28:Q28)</f>
        <v>0</v>
      </c>
      <c r="AE28" s="14">
        <f>SUM($K28:R28)</f>
        <v>0</v>
      </c>
      <c r="AF28" s="14">
        <f>SUM($K28:S28)</f>
        <v>0</v>
      </c>
      <c r="AG28" s="14">
        <f>SUM($K28:T28)</f>
        <v>0</v>
      </c>
      <c r="AH28" s="14">
        <f>SUM($K28:U28)</f>
        <v>0</v>
      </c>
      <c r="AI28" s="14">
        <f>SUM($K28:V28)</f>
        <v>0</v>
      </c>
    </row>
    <row r="29" spans="1:35">
      <c r="A29" s="5">
        <v>22</v>
      </c>
      <c r="B29" s="5">
        <v>25022</v>
      </c>
      <c r="C29" s="5" t="s">
        <v>149</v>
      </c>
      <c r="D29" s="5" t="str">
        <f>VLOOKUP($B29, Spa!$B:$P, 14, 0)</f>
        <v>Amy</v>
      </c>
      <c r="E29" s="5" t="str">
        <f>VLOOKUP($B29, Spa!$B:$P, 15, 0)</f>
        <v>Central</v>
      </c>
      <c r="F29" s="5">
        <f>VLOOKUP(B29, Spa!$B:$E, 3, 0)</f>
        <v>2022</v>
      </c>
      <c r="G29" s="6">
        <f>VLOOKUP(B29, Spa!$B:$E, 4, 0)</f>
        <v>44774</v>
      </c>
      <c r="H29" s="5" t="str">
        <f t="shared" si="6"/>
        <v>20228</v>
      </c>
      <c r="I29" s="5" t="str">
        <f>VLOOKUP(B29, Spa!$B:$L, 9, 0)</f>
        <v>Yes</v>
      </c>
      <c r="J29" s="16">
        <v>2997.3</v>
      </c>
      <c r="K29" s="16"/>
      <c r="L29" s="16"/>
      <c r="M29" s="16"/>
      <c r="N29" s="16"/>
      <c r="O29" s="16"/>
      <c r="P29" s="16"/>
      <c r="Q29" s="16"/>
      <c r="R29" s="16">
        <v>2997.3</v>
      </c>
      <c r="S29" s="16"/>
      <c r="T29" s="16"/>
      <c r="U29" s="16">
        <v>0</v>
      </c>
      <c r="V29" s="16"/>
      <c r="X29" s="14">
        <f>SUM($K29:K29)</f>
        <v>0</v>
      </c>
      <c r="Y29" s="14">
        <f>SUM($K29:L29)</f>
        <v>0</v>
      </c>
      <c r="Z29" s="14">
        <f>SUM($K29:M29)</f>
        <v>0</v>
      </c>
      <c r="AA29" s="14">
        <f>SUM($K29:N29)</f>
        <v>0</v>
      </c>
      <c r="AB29" s="14">
        <f>SUM($K29:O29)</f>
        <v>0</v>
      </c>
      <c r="AC29" s="14">
        <f>SUM($K29:P29)</f>
        <v>0</v>
      </c>
      <c r="AD29" s="14">
        <f>SUM($K29:Q29)</f>
        <v>0</v>
      </c>
      <c r="AE29" s="14">
        <f>SUM($K29:R29)</f>
        <v>2997.3</v>
      </c>
      <c r="AF29" s="14">
        <f>SUM($K29:S29)</f>
        <v>2997.3</v>
      </c>
      <c r="AG29" s="14">
        <f>SUM($K29:T29)</f>
        <v>2997.3</v>
      </c>
      <c r="AH29" s="14">
        <f>SUM($K29:U29)</f>
        <v>2997.3</v>
      </c>
      <c r="AI29" s="14">
        <f>SUM($K29:V29)</f>
        <v>2997.3</v>
      </c>
    </row>
    <row r="30" spans="1:35">
      <c r="A30" s="5">
        <v>23</v>
      </c>
      <c r="B30" s="5">
        <v>25023</v>
      </c>
      <c r="C30" s="5" t="s">
        <v>150</v>
      </c>
      <c r="D30" s="5" t="str">
        <f>VLOOKUP($B30, Spa!$B:$P, 14, 0)</f>
        <v>Amy</v>
      </c>
      <c r="E30" s="5" t="str">
        <f>VLOOKUP($B30, Spa!$B:$P, 15, 0)</f>
        <v>Central</v>
      </c>
      <c r="F30" s="5">
        <f>VLOOKUP(B30, Spa!$B:$E, 3, 0)</f>
        <v>2022</v>
      </c>
      <c r="G30" s="6">
        <f>VLOOKUP(B30, Spa!$B:$E, 4, 0)</f>
        <v>44805</v>
      </c>
      <c r="H30" s="5" t="str">
        <f t="shared" si="6"/>
        <v>20229</v>
      </c>
      <c r="I30" s="5" t="str">
        <f>VLOOKUP(B30, Spa!$B:$L, 9, 0)</f>
        <v>Yes</v>
      </c>
      <c r="J30" s="16">
        <v>15579.78</v>
      </c>
      <c r="K30" s="16"/>
      <c r="L30" s="16"/>
      <c r="M30" s="16"/>
      <c r="N30" s="16"/>
      <c r="O30" s="16"/>
      <c r="P30" s="16"/>
      <c r="Q30" s="16"/>
      <c r="R30" s="16"/>
      <c r="S30" s="16">
        <v>7539.8</v>
      </c>
      <c r="T30" s="16">
        <v>0</v>
      </c>
      <c r="U30" s="16"/>
      <c r="V30" s="16">
        <v>1257</v>
      </c>
      <c r="X30" s="14">
        <f>SUM($K30:K30)</f>
        <v>0</v>
      </c>
      <c r="Y30" s="14">
        <f>SUM($K30:L30)</f>
        <v>0</v>
      </c>
      <c r="Z30" s="14">
        <f>SUM($K30:M30)</f>
        <v>0</v>
      </c>
      <c r="AA30" s="14">
        <f>SUM($K30:N30)</f>
        <v>0</v>
      </c>
      <c r="AB30" s="14">
        <f>SUM($K30:O30)</f>
        <v>0</v>
      </c>
      <c r="AC30" s="14">
        <f>SUM($K30:P30)</f>
        <v>0</v>
      </c>
      <c r="AD30" s="14">
        <f>SUM($K30:Q30)</f>
        <v>0</v>
      </c>
      <c r="AE30" s="14">
        <f>SUM($K30:R30)</f>
        <v>0</v>
      </c>
      <c r="AF30" s="14">
        <f>SUM($K30:S30)</f>
        <v>7539.8</v>
      </c>
      <c r="AG30" s="14">
        <f>SUM($K30:T30)</f>
        <v>7539.8</v>
      </c>
      <c r="AH30" s="14">
        <f>SUM($K30:U30)</f>
        <v>7539.8</v>
      </c>
      <c r="AI30" s="14">
        <f>SUM($K30:V30)</f>
        <v>8796.7999999999993</v>
      </c>
    </row>
    <row r="31" spans="1:35">
      <c r="A31" s="5">
        <v>24</v>
      </c>
      <c r="B31" s="5">
        <v>25024</v>
      </c>
      <c r="C31" s="5" t="s">
        <v>128</v>
      </c>
      <c r="D31" s="5" t="str">
        <f>VLOOKUP($B31, Spa!$B:$P, 14, 0)</f>
        <v>Lisa</v>
      </c>
      <c r="E31" s="5" t="str">
        <f>VLOOKUP($B31, Spa!$B:$P, 15, 0)</f>
        <v>Southeast</v>
      </c>
      <c r="F31" s="5">
        <f>VLOOKUP(B31, Spa!$B:$E, 3, 0)</f>
        <v>2022</v>
      </c>
      <c r="G31" s="6">
        <f>VLOOKUP(B31, Spa!$B:$E, 4, 0)</f>
        <v>44835</v>
      </c>
      <c r="H31" s="5" t="str">
        <f t="shared" si="6"/>
        <v>202210</v>
      </c>
      <c r="I31" s="5" t="str">
        <f>VLOOKUP(B31, Spa!$B:$L, 9, 0)</f>
        <v>Yes</v>
      </c>
      <c r="J31" s="16">
        <v>9553.84</v>
      </c>
      <c r="K31" s="16"/>
      <c r="L31" s="16"/>
      <c r="M31" s="16"/>
      <c r="N31" s="16"/>
      <c r="O31" s="16"/>
      <c r="P31" s="16"/>
      <c r="Q31" s="16"/>
      <c r="R31" s="16"/>
      <c r="S31" s="16"/>
      <c r="T31" s="16">
        <v>7009.6</v>
      </c>
      <c r="U31" s="16"/>
      <c r="V31" s="16"/>
      <c r="X31" s="14">
        <f>SUM($K31:K31)</f>
        <v>0</v>
      </c>
      <c r="Y31" s="14">
        <f>SUM($K31:L31)</f>
        <v>0</v>
      </c>
      <c r="Z31" s="14">
        <f>SUM($K31:M31)</f>
        <v>0</v>
      </c>
      <c r="AA31" s="14">
        <f>SUM($K31:N31)</f>
        <v>0</v>
      </c>
      <c r="AB31" s="14">
        <f>SUM($K31:O31)</f>
        <v>0</v>
      </c>
      <c r="AC31" s="14">
        <f>SUM($K31:P31)</f>
        <v>0</v>
      </c>
      <c r="AD31" s="14">
        <f>SUM($K31:Q31)</f>
        <v>0</v>
      </c>
      <c r="AE31" s="14">
        <f>SUM($K31:R31)</f>
        <v>0</v>
      </c>
      <c r="AF31" s="14">
        <f>SUM($K31:S31)</f>
        <v>0</v>
      </c>
      <c r="AG31" s="14">
        <f>SUM($K31:T31)</f>
        <v>7009.6</v>
      </c>
      <c r="AH31" s="14">
        <f>SUM($K31:U31)</f>
        <v>7009.6</v>
      </c>
      <c r="AI31" s="14">
        <f>SUM($K31:V31)</f>
        <v>7009.6</v>
      </c>
    </row>
    <row r="32" spans="1:35">
      <c r="A32" s="5">
        <v>25</v>
      </c>
      <c r="B32" s="5">
        <v>25025</v>
      </c>
      <c r="C32" s="5" t="s">
        <v>151</v>
      </c>
      <c r="D32" s="5" t="str">
        <f>VLOOKUP($B32, Spa!$B:$P, 14, 0)</f>
        <v>Lisa</v>
      </c>
      <c r="E32" s="5" t="str">
        <f>VLOOKUP($B32, Spa!$B:$P, 15, 0)</f>
        <v>Southeast</v>
      </c>
      <c r="F32" s="5" t="str">
        <f>VLOOKUP(B32, Spa!$B:$E, 3, 0)</f>
        <v>N/A</v>
      </c>
      <c r="G32" s="6" t="str">
        <f>VLOOKUP(B32, Spa!$B:$E, 4, 0)</f>
        <v>N/A</v>
      </c>
      <c r="H32" s="5" t="e">
        <f t="shared" si="6"/>
        <v>#VALUE!</v>
      </c>
      <c r="I32" s="5" t="str">
        <f>VLOOKUP(B32, Spa!$B:$L, 9, 0)</f>
        <v>No</v>
      </c>
      <c r="J32" s="16">
        <v>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0</v>
      </c>
      <c r="V32" s="16"/>
      <c r="X32" s="14">
        <f>SUM($K32:K32)</f>
        <v>0</v>
      </c>
      <c r="Y32" s="14">
        <f>SUM($K32:L32)</f>
        <v>0</v>
      </c>
      <c r="Z32" s="14">
        <f>SUM($K32:M32)</f>
        <v>0</v>
      </c>
      <c r="AA32" s="14">
        <f>SUM($K32:N32)</f>
        <v>0</v>
      </c>
      <c r="AB32" s="14">
        <f>SUM($K32:O32)</f>
        <v>0</v>
      </c>
      <c r="AC32" s="14">
        <f>SUM($K32:P32)</f>
        <v>0</v>
      </c>
      <c r="AD32" s="14">
        <f>SUM($K32:Q32)</f>
        <v>0</v>
      </c>
      <c r="AE32" s="14">
        <f>SUM($K32:R32)</f>
        <v>0</v>
      </c>
      <c r="AF32" s="14">
        <f>SUM($K32:S32)</f>
        <v>0</v>
      </c>
      <c r="AG32" s="14">
        <f>SUM($K32:T32)</f>
        <v>0</v>
      </c>
      <c r="AH32" s="14">
        <f>SUM($K32:U32)</f>
        <v>0</v>
      </c>
      <c r="AI32" s="14">
        <f>SUM($K32:V32)</f>
        <v>0</v>
      </c>
    </row>
    <row r="33" spans="1:35">
      <c r="A33" s="5">
        <v>26</v>
      </c>
      <c r="B33" s="5">
        <v>25026</v>
      </c>
      <c r="C33" s="5" t="s">
        <v>123</v>
      </c>
      <c r="D33" s="5" t="str">
        <f>VLOOKUP($B33, Spa!$B:$P, 14, 0)</f>
        <v>Lisa</v>
      </c>
      <c r="E33" s="5" t="str">
        <f>VLOOKUP($B33, Spa!$B:$P, 15, 0)</f>
        <v>Southeast</v>
      </c>
      <c r="F33" s="5">
        <f>VLOOKUP(B33, Spa!$B:$E, 3, 0)</f>
        <v>2023</v>
      </c>
      <c r="G33" s="6">
        <f>VLOOKUP(B33, Spa!$B:$E, 4, 0)</f>
        <v>44927</v>
      </c>
      <c r="H33" s="5" t="str">
        <f t="shared" si="6"/>
        <v>20231</v>
      </c>
      <c r="I33" s="5" t="str">
        <f>VLOOKUP(B33, Spa!$B:$L, 9, 0)</f>
        <v>No</v>
      </c>
      <c r="J33" s="16">
        <v>10735.11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X33" s="14">
        <f>SUM($K33:K33)</f>
        <v>0</v>
      </c>
      <c r="Y33" s="14">
        <f>SUM($K33:L33)</f>
        <v>0</v>
      </c>
      <c r="Z33" s="14">
        <f>SUM($K33:M33)</f>
        <v>0</v>
      </c>
      <c r="AA33" s="14">
        <f>SUM($K33:N33)</f>
        <v>0</v>
      </c>
      <c r="AB33" s="14">
        <f>SUM($K33:O33)</f>
        <v>0</v>
      </c>
      <c r="AC33" s="14">
        <f>SUM($K33:P33)</f>
        <v>0</v>
      </c>
      <c r="AD33" s="14">
        <f>SUM($K33:Q33)</f>
        <v>0</v>
      </c>
      <c r="AE33" s="14">
        <f>SUM($K33:R33)</f>
        <v>0</v>
      </c>
      <c r="AF33" s="14">
        <f>SUM($K33:S33)</f>
        <v>0</v>
      </c>
      <c r="AG33" s="14">
        <f>SUM($K33:T33)</f>
        <v>0</v>
      </c>
      <c r="AH33" s="14">
        <f>SUM($K33:U33)</f>
        <v>0</v>
      </c>
      <c r="AI33" s="14">
        <f>SUM($K33:V33)</f>
        <v>0</v>
      </c>
    </row>
    <row r="34" spans="1:35">
      <c r="A34" s="5">
        <v>27</v>
      </c>
      <c r="B34" s="5">
        <v>25027</v>
      </c>
      <c r="C34" s="5" t="s">
        <v>102</v>
      </c>
      <c r="D34" s="5" t="str">
        <f>VLOOKUP($B34, Spa!$B:$P, 14, 0)</f>
        <v>Amy</v>
      </c>
      <c r="E34" s="5" t="str">
        <f>VLOOKUP($B34, Spa!$B:$P, 15, 0)</f>
        <v>West</v>
      </c>
      <c r="F34" s="5">
        <f>VLOOKUP(B34, Spa!$B:$E, 3, 0)</f>
        <v>2022</v>
      </c>
      <c r="G34" s="6">
        <f>VLOOKUP(B34, Spa!$B:$E, 4, 0)</f>
        <v>44896</v>
      </c>
      <c r="H34" s="5" t="str">
        <f t="shared" si="6"/>
        <v>202212</v>
      </c>
      <c r="I34" s="5" t="str">
        <f>VLOOKUP(B34, Spa!$B:$L, 9, 0)</f>
        <v>Yes</v>
      </c>
      <c r="J34" s="16">
        <v>76587.88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>
        <v>19362.580000000002</v>
      </c>
      <c r="X34" s="14">
        <f>SUM($K34:K34)</f>
        <v>0</v>
      </c>
      <c r="Y34" s="14">
        <f>SUM($K34:L34)</f>
        <v>0</v>
      </c>
      <c r="Z34" s="14">
        <f>SUM($K34:M34)</f>
        <v>0</v>
      </c>
      <c r="AA34" s="14">
        <f>SUM($K34:N34)</f>
        <v>0</v>
      </c>
      <c r="AB34" s="14">
        <f>SUM($K34:O34)</f>
        <v>0</v>
      </c>
      <c r="AC34" s="14">
        <f>SUM($K34:P34)</f>
        <v>0</v>
      </c>
      <c r="AD34" s="14">
        <f>SUM($K34:Q34)</f>
        <v>0</v>
      </c>
      <c r="AE34" s="14">
        <f>SUM($K34:R34)</f>
        <v>0</v>
      </c>
      <c r="AF34" s="14">
        <f>SUM($K34:S34)</f>
        <v>0</v>
      </c>
      <c r="AG34" s="14">
        <f>SUM($K34:T34)</f>
        <v>0</v>
      </c>
      <c r="AH34" s="14">
        <f>SUM($K34:U34)</f>
        <v>0</v>
      </c>
      <c r="AI34" s="14">
        <f>SUM($K34:V34)</f>
        <v>19362.580000000002</v>
      </c>
    </row>
    <row r="35" spans="1:35">
      <c r="A35" s="5">
        <v>28</v>
      </c>
      <c r="B35" s="5">
        <v>25028</v>
      </c>
      <c r="C35" s="5" t="s">
        <v>152</v>
      </c>
      <c r="D35" s="5" t="str">
        <f>VLOOKUP($B35, Spa!$B:$P, 14, 0)</f>
        <v>Emily</v>
      </c>
      <c r="E35" s="5" t="str">
        <f>VLOOKUP($B35, Spa!$B:$P, 15, 0)</f>
        <v>Northeast</v>
      </c>
      <c r="F35" s="5">
        <f>VLOOKUP(B35, Spa!$B:$E, 3, 0)</f>
        <v>2023</v>
      </c>
      <c r="G35" s="6">
        <f>VLOOKUP(B35, Spa!$B:$E, 4, 0)</f>
        <v>44927</v>
      </c>
      <c r="H35" s="5" t="str">
        <f t="shared" si="6"/>
        <v>20231</v>
      </c>
      <c r="I35" s="5" t="str">
        <f>VLOOKUP(B35, Spa!$B:$L, 9, 0)</f>
        <v>No</v>
      </c>
      <c r="J35" s="16">
        <v>2978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X35" s="14">
        <f>SUM($K35:K35)</f>
        <v>0</v>
      </c>
      <c r="Y35" s="14">
        <f>SUM($K35:L35)</f>
        <v>0</v>
      </c>
      <c r="Z35" s="14">
        <f>SUM($K35:M35)</f>
        <v>0</v>
      </c>
      <c r="AA35" s="14">
        <f>SUM($K35:N35)</f>
        <v>0</v>
      </c>
      <c r="AB35" s="14">
        <f>SUM($K35:O35)</f>
        <v>0</v>
      </c>
      <c r="AC35" s="14">
        <f>SUM($K35:P35)</f>
        <v>0</v>
      </c>
      <c r="AD35" s="14">
        <f>SUM($K35:Q35)</f>
        <v>0</v>
      </c>
      <c r="AE35" s="14">
        <f>SUM($K35:R35)</f>
        <v>0</v>
      </c>
      <c r="AF35" s="14">
        <f>SUM($K35:S35)</f>
        <v>0</v>
      </c>
      <c r="AG35" s="14">
        <f>SUM($K35:T35)</f>
        <v>0</v>
      </c>
      <c r="AH35" s="14">
        <f>SUM($K35:U35)</f>
        <v>0</v>
      </c>
      <c r="AI35" s="14">
        <f>SUM($K35:V35)</f>
        <v>0</v>
      </c>
    </row>
    <row r="36" spans="1:35">
      <c r="A36" s="5">
        <v>29</v>
      </c>
      <c r="B36" s="5">
        <v>25029</v>
      </c>
      <c r="C36" s="5" t="s">
        <v>124</v>
      </c>
      <c r="D36" s="5" t="str">
        <f>VLOOKUP($B36, Spa!$B:$P, 14, 0)</f>
        <v>Lisa</v>
      </c>
      <c r="E36" s="5" t="str">
        <f>VLOOKUP($B36, Spa!$B:$P, 15, 0)</f>
        <v>Southeast</v>
      </c>
      <c r="F36" s="5">
        <f>VLOOKUP(B36, Spa!$B:$E, 3, 0)</f>
        <v>2023</v>
      </c>
      <c r="G36" s="6">
        <f>VLOOKUP(B36, Spa!$B:$E, 4, 0)</f>
        <v>44927</v>
      </c>
      <c r="H36" s="5" t="str">
        <f t="shared" si="6"/>
        <v>20231</v>
      </c>
      <c r="I36" s="5" t="str">
        <f>VLOOKUP(B36, Spa!$B:$L, 9, 0)</f>
        <v>No</v>
      </c>
      <c r="J36" s="16">
        <v>3872.89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X36" s="14">
        <f>SUM($K36:K36)</f>
        <v>0</v>
      </c>
      <c r="Y36" s="14">
        <f>SUM($K36:L36)</f>
        <v>0</v>
      </c>
      <c r="Z36" s="14">
        <f>SUM($K36:M36)</f>
        <v>0</v>
      </c>
      <c r="AA36" s="14">
        <f>SUM($K36:N36)</f>
        <v>0</v>
      </c>
      <c r="AB36" s="14">
        <f>SUM($K36:O36)</f>
        <v>0</v>
      </c>
      <c r="AC36" s="14">
        <f>SUM($K36:P36)</f>
        <v>0</v>
      </c>
      <c r="AD36" s="14">
        <f>SUM($K36:Q36)</f>
        <v>0</v>
      </c>
      <c r="AE36" s="14">
        <f>SUM($K36:R36)</f>
        <v>0</v>
      </c>
      <c r="AF36" s="14">
        <f>SUM($K36:S36)</f>
        <v>0</v>
      </c>
      <c r="AG36" s="14">
        <f>SUM($K36:T36)</f>
        <v>0</v>
      </c>
      <c r="AH36" s="14">
        <f>SUM($K36:U36)</f>
        <v>0</v>
      </c>
      <c r="AI36" s="14">
        <f>SUM($K36:V36)</f>
        <v>0</v>
      </c>
    </row>
    <row r="37" spans="1:35">
      <c r="A37" s="5">
        <v>32</v>
      </c>
      <c r="B37" s="5">
        <v>25032</v>
      </c>
      <c r="C37" s="5" t="s">
        <v>103</v>
      </c>
      <c r="D37" s="5" t="str">
        <f>VLOOKUP($B37, Spa!$B:$P, 14, 0)</f>
        <v>Amy</v>
      </c>
      <c r="E37" s="5" t="str">
        <f>VLOOKUP($B37, Spa!$B:$P, 15, 0)</f>
        <v>West</v>
      </c>
      <c r="F37" s="5">
        <f>VLOOKUP(B37, Spa!$B:$E, 3, 0)</f>
        <v>2023</v>
      </c>
      <c r="G37" s="6">
        <f>VLOOKUP(B37, Spa!$B:$E, 4, 0)</f>
        <v>45017</v>
      </c>
      <c r="H37" s="5" t="str">
        <f t="shared" si="6"/>
        <v>20234</v>
      </c>
      <c r="I37" s="5" t="str">
        <f>VLOOKUP(B37, Spa!$B:$L, 9, 0)</f>
        <v>No</v>
      </c>
      <c r="J37" s="16">
        <v>43029.09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X37" s="14">
        <f>SUM($K37:K37)</f>
        <v>0</v>
      </c>
      <c r="Y37" s="14">
        <f>SUM($K37:L37)</f>
        <v>0</v>
      </c>
      <c r="Z37" s="14">
        <f>SUM($K37:M37)</f>
        <v>0</v>
      </c>
      <c r="AA37" s="14">
        <f>SUM($K37:N37)</f>
        <v>0</v>
      </c>
      <c r="AB37" s="14">
        <f>SUM($K37:O37)</f>
        <v>0</v>
      </c>
      <c r="AC37" s="14">
        <f>SUM($K37:P37)</f>
        <v>0</v>
      </c>
      <c r="AD37" s="14">
        <f>SUM($K37:Q37)</f>
        <v>0</v>
      </c>
      <c r="AE37" s="14">
        <f>SUM($K37:R37)</f>
        <v>0</v>
      </c>
      <c r="AF37" s="14">
        <f>SUM($K37:S37)</f>
        <v>0</v>
      </c>
      <c r="AG37" s="14">
        <f>SUM($K37:T37)</f>
        <v>0</v>
      </c>
      <c r="AH37" s="14">
        <f>SUM($K37:U37)</f>
        <v>0</v>
      </c>
      <c r="AI37" s="14">
        <f>SUM($K37:V37)</f>
        <v>0</v>
      </c>
    </row>
    <row r="38" spans="1:35">
      <c r="A38" s="5">
        <v>33</v>
      </c>
      <c r="B38" s="5">
        <v>25033</v>
      </c>
      <c r="C38" s="5" t="s">
        <v>153</v>
      </c>
      <c r="D38" s="5" t="str">
        <f>VLOOKUP($B38, Spa!$B:$P, 14, 0)</f>
        <v>Emily</v>
      </c>
      <c r="E38" s="5" t="str">
        <f>VLOOKUP($B38, Spa!$B:$P, 15, 0)</f>
        <v>Northeast</v>
      </c>
      <c r="F38" s="5">
        <f>VLOOKUP(B38, Spa!$B:$E, 3, 0)</f>
        <v>2023</v>
      </c>
      <c r="G38" s="6">
        <f>VLOOKUP(B38, Spa!$B:$E, 4, 0)</f>
        <v>45047</v>
      </c>
      <c r="H38" s="5" t="str">
        <f t="shared" si="6"/>
        <v>20235</v>
      </c>
      <c r="I38" s="5" t="str">
        <f>VLOOKUP(B38, Spa!$B:$L, 9, 0)</f>
        <v>No</v>
      </c>
      <c r="J38" s="16">
        <v>5424.13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X38" s="14">
        <f>SUM($K38:K38)</f>
        <v>0</v>
      </c>
      <c r="Y38" s="14">
        <f>SUM($K38:L38)</f>
        <v>0</v>
      </c>
      <c r="Z38" s="14">
        <f>SUM($K38:M38)</f>
        <v>0</v>
      </c>
      <c r="AA38" s="14">
        <f>SUM($K38:N38)</f>
        <v>0</v>
      </c>
      <c r="AB38" s="14">
        <f>SUM($K38:O38)</f>
        <v>0</v>
      </c>
      <c r="AC38" s="14">
        <f>SUM($K38:P38)</f>
        <v>0</v>
      </c>
      <c r="AD38" s="14">
        <f>SUM($K38:Q38)</f>
        <v>0</v>
      </c>
      <c r="AE38" s="14">
        <f>SUM($K38:R38)</f>
        <v>0</v>
      </c>
      <c r="AF38" s="14">
        <f>SUM($K38:S38)</f>
        <v>0</v>
      </c>
      <c r="AG38" s="14">
        <f>SUM($K38:T38)</f>
        <v>0</v>
      </c>
      <c r="AH38" s="14">
        <f>SUM($K38:U38)</f>
        <v>0</v>
      </c>
      <c r="AI38" s="14">
        <f>SUM($K38:V38)</f>
        <v>0</v>
      </c>
    </row>
    <row r="39" spans="1:35">
      <c r="A39" s="5">
        <v>34</v>
      </c>
      <c r="B39" s="5">
        <v>25034</v>
      </c>
      <c r="C39" s="5" t="s">
        <v>154</v>
      </c>
      <c r="D39" s="5" t="str">
        <f>VLOOKUP($B39, Spa!$B:$P, 14, 0)</f>
        <v>Melissa</v>
      </c>
      <c r="E39" s="5" t="str">
        <f>VLOOKUP($B39, Spa!$B:$P, 15, 0)</f>
        <v>Other</v>
      </c>
      <c r="F39" s="5">
        <f>VLOOKUP(B39, Spa!$B:$E, 3, 0)</f>
        <v>2023</v>
      </c>
      <c r="G39" s="6">
        <f>VLOOKUP(B39, Spa!$B:$E, 4, 0)</f>
        <v>45047</v>
      </c>
      <c r="H39" s="5" t="str">
        <f t="shared" si="6"/>
        <v>20235</v>
      </c>
      <c r="I39" s="5" t="str">
        <f>VLOOKUP(B39, Spa!$B:$L, 9, 0)</f>
        <v>No</v>
      </c>
      <c r="J39" s="16">
        <v>494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X39" s="14">
        <f>SUM($K39:K39)</f>
        <v>0</v>
      </c>
      <c r="Y39" s="14">
        <f>SUM($K39:L39)</f>
        <v>0</v>
      </c>
      <c r="Z39" s="14">
        <f>SUM($K39:M39)</f>
        <v>0</v>
      </c>
      <c r="AA39" s="14">
        <f>SUM($K39:N39)</f>
        <v>0</v>
      </c>
      <c r="AB39" s="14">
        <f>SUM($K39:O39)</f>
        <v>0</v>
      </c>
      <c r="AC39" s="14">
        <f>SUM($K39:P39)</f>
        <v>0</v>
      </c>
      <c r="AD39" s="14">
        <f>SUM($K39:Q39)</f>
        <v>0</v>
      </c>
      <c r="AE39" s="14">
        <f>SUM($K39:R39)</f>
        <v>0</v>
      </c>
      <c r="AF39" s="14">
        <f>SUM($K39:S39)</f>
        <v>0</v>
      </c>
      <c r="AG39" s="14">
        <f>SUM($K39:T39)</f>
        <v>0</v>
      </c>
      <c r="AH39" s="14">
        <f>SUM($K39:U39)</f>
        <v>0</v>
      </c>
      <c r="AI39" s="14">
        <f>SUM($K39:V39)</f>
        <v>0</v>
      </c>
    </row>
    <row r="40" spans="1:35">
      <c r="A40" s="5">
        <v>35</v>
      </c>
      <c r="B40" s="5">
        <v>25035</v>
      </c>
      <c r="C40" s="5" t="s">
        <v>135</v>
      </c>
      <c r="D40" s="5" t="str">
        <f>VLOOKUP($B40, Spa!$B:$P, 14, 0)</f>
        <v>Melissa</v>
      </c>
      <c r="E40" s="5" t="str">
        <f>VLOOKUP($B40, Spa!$B:$P, 15, 0)</f>
        <v>Other</v>
      </c>
      <c r="F40" s="5">
        <f>VLOOKUP(B40, Spa!$B:$E, 3, 0)</f>
        <v>2023</v>
      </c>
      <c r="G40" s="6">
        <f>VLOOKUP(B40, Spa!$B:$E, 4, 0)</f>
        <v>45170</v>
      </c>
      <c r="H40" s="5" t="str">
        <f t="shared" si="6"/>
        <v>20239</v>
      </c>
      <c r="I40" s="5" t="str">
        <f>VLOOKUP(B40, Spa!$B:$L, 9, 0)</f>
        <v>No</v>
      </c>
      <c r="J40" s="16">
        <v>22651.16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X40" s="14">
        <f>SUM($K40:K40)</f>
        <v>0</v>
      </c>
      <c r="Y40" s="14">
        <f>SUM($K40:L40)</f>
        <v>0</v>
      </c>
      <c r="Z40" s="14">
        <f>SUM($K40:M40)</f>
        <v>0</v>
      </c>
      <c r="AA40" s="14">
        <f>SUM($K40:N40)</f>
        <v>0</v>
      </c>
      <c r="AB40" s="14">
        <f>SUM($K40:O40)</f>
        <v>0</v>
      </c>
      <c r="AC40" s="14">
        <f>SUM($K40:P40)</f>
        <v>0</v>
      </c>
      <c r="AD40" s="14">
        <f>SUM($K40:Q40)</f>
        <v>0</v>
      </c>
      <c r="AE40" s="14">
        <f>SUM($K40:R40)</f>
        <v>0</v>
      </c>
      <c r="AF40" s="14">
        <f>SUM($K40:S40)</f>
        <v>0</v>
      </c>
      <c r="AG40" s="14">
        <f>SUM($K40:T40)</f>
        <v>0</v>
      </c>
      <c r="AH40" s="14">
        <f>SUM($K40:U40)</f>
        <v>0</v>
      </c>
      <c r="AI40" s="14">
        <f>SUM($K40:V40)</f>
        <v>0</v>
      </c>
    </row>
    <row r="41" spans="1:35">
      <c r="A41" s="5">
        <v>36</v>
      </c>
      <c r="B41" s="5">
        <v>25036</v>
      </c>
      <c r="C41" s="5" t="s">
        <v>108</v>
      </c>
      <c r="D41" s="5" t="str">
        <f>VLOOKUP($B41, Spa!$B:$P, 14, 0)</f>
        <v>Amy</v>
      </c>
      <c r="E41" s="5" t="str">
        <f>VLOOKUP($B41, Spa!$B:$P, 15, 0)</f>
        <v>West</v>
      </c>
      <c r="F41" s="5">
        <f>VLOOKUP(B41, Spa!$B:$E, 3, 0)</f>
        <v>2023</v>
      </c>
      <c r="G41" s="6">
        <f>VLOOKUP(B41, Spa!$B:$E, 4, 0)</f>
        <v>45139</v>
      </c>
      <c r="H41" s="5" t="str">
        <f t="shared" si="6"/>
        <v>20238</v>
      </c>
      <c r="I41" s="5" t="str">
        <f>VLOOKUP(B41, Spa!$B:$L, 9, 0)</f>
        <v>No</v>
      </c>
      <c r="J41" s="16">
        <v>5919.87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X41" s="14">
        <f>SUM($K41:K41)</f>
        <v>0</v>
      </c>
      <c r="Y41" s="14">
        <f>SUM($K41:L41)</f>
        <v>0</v>
      </c>
      <c r="Z41" s="14">
        <f>SUM($K41:M41)</f>
        <v>0</v>
      </c>
      <c r="AA41" s="14">
        <f>SUM($K41:N41)</f>
        <v>0</v>
      </c>
      <c r="AB41" s="14">
        <f>SUM($K41:O41)</f>
        <v>0</v>
      </c>
      <c r="AC41" s="14">
        <f>SUM($K41:P41)</f>
        <v>0</v>
      </c>
      <c r="AD41" s="14">
        <f>SUM($K41:Q41)</f>
        <v>0</v>
      </c>
      <c r="AE41" s="14">
        <f>SUM($K41:R41)</f>
        <v>0</v>
      </c>
      <c r="AF41" s="14">
        <f>SUM($K41:S41)</f>
        <v>0</v>
      </c>
      <c r="AG41" s="14">
        <f>SUM($K41:T41)</f>
        <v>0</v>
      </c>
      <c r="AH41" s="14">
        <f>SUM($K41:U41)</f>
        <v>0</v>
      </c>
      <c r="AI41" s="14">
        <f>SUM($K41:V41)</f>
        <v>0</v>
      </c>
    </row>
    <row r="42" spans="1:35">
      <c r="A42" s="5">
        <v>37</v>
      </c>
      <c r="B42" s="5">
        <v>25037</v>
      </c>
      <c r="C42" s="5" t="s">
        <v>197</v>
      </c>
      <c r="D42" s="5" t="str">
        <f>VLOOKUP($B42, Spa!$B:$P, 14, 0)</f>
        <v>Emily</v>
      </c>
      <c r="E42" s="5" t="str">
        <f>VLOOKUP($B42, Spa!$B:$P, 15, 0)</f>
        <v>Northeast</v>
      </c>
      <c r="F42" s="5">
        <f>VLOOKUP(B42, Spa!$B:$E, 3, 0)</f>
        <v>2023</v>
      </c>
      <c r="G42" s="6">
        <f>VLOOKUP(B42, Spa!$B:$E, 4, 0)</f>
        <v>45139</v>
      </c>
      <c r="H42" s="5" t="str">
        <f t="shared" si="6"/>
        <v>20238</v>
      </c>
      <c r="I42" s="5" t="str">
        <f>VLOOKUP(B42, Spa!$B:$L, 9, 0)</f>
        <v>No</v>
      </c>
      <c r="J42" s="16">
        <v>21563.64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X42" s="14">
        <f>SUM($K42:K42)</f>
        <v>0</v>
      </c>
      <c r="Y42" s="14">
        <f>SUM($K42:L42)</f>
        <v>0</v>
      </c>
      <c r="Z42" s="14">
        <f>SUM($K42:M42)</f>
        <v>0</v>
      </c>
      <c r="AA42" s="14">
        <f>SUM($K42:N42)</f>
        <v>0</v>
      </c>
      <c r="AB42" s="14">
        <f>SUM($K42:O42)</f>
        <v>0</v>
      </c>
      <c r="AC42" s="14">
        <f>SUM($K42:P42)</f>
        <v>0</v>
      </c>
      <c r="AD42" s="14">
        <f>SUM($K42:Q42)</f>
        <v>0</v>
      </c>
      <c r="AE42" s="14">
        <f>SUM($K42:R42)</f>
        <v>0</v>
      </c>
      <c r="AF42" s="14">
        <f>SUM($K42:S42)</f>
        <v>0</v>
      </c>
      <c r="AG42" s="14">
        <f>SUM($K42:T42)</f>
        <v>0</v>
      </c>
      <c r="AH42" s="14">
        <f>SUM($K42:U42)</f>
        <v>0</v>
      </c>
      <c r="AI42" s="14">
        <f>SUM($K42:V42)</f>
        <v>0</v>
      </c>
    </row>
    <row r="43" spans="1:35">
      <c r="A43" s="5">
        <v>38</v>
      </c>
      <c r="B43" s="5">
        <v>25038</v>
      </c>
      <c r="C43" s="5" t="s">
        <v>104</v>
      </c>
      <c r="D43" s="5" t="str">
        <f>VLOOKUP($B43, Spa!$B:$P, 14, 0)</f>
        <v>Amy</v>
      </c>
      <c r="E43" s="5" t="str">
        <f>VLOOKUP($B43, Spa!$B:$P, 15, 0)</f>
        <v>West</v>
      </c>
      <c r="F43" s="5">
        <f>VLOOKUP(B43, Spa!$B:$E, 3, 0)</f>
        <v>2023</v>
      </c>
      <c r="G43" s="6">
        <f>VLOOKUP(B43, Spa!$B:$E, 4, 0)</f>
        <v>45200</v>
      </c>
      <c r="H43" s="5" t="str">
        <f t="shared" si="6"/>
        <v>202310</v>
      </c>
      <c r="I43" s="5" t="str">
        <f>VLOOKUP(B43, Spa!$B:$L, 9, 0)</f>
        <v>No</v>
      </c>
      <c r="J43" s="16">
        <v>7243.37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X43" s="14">
        <f>SUM($K43:K43)</f>
        <v>0</v>
      </c>
      <c r="Y43" s="14">
        <f>SUM($K43:L43)</f>
        <v>0</v>
      </c>
      <c r="Z43" s="14">
        <f>SUM($K43:M43)</f>
        <v>0</v>
      </c>
      <c r="AA43" s="14">
        <f>SUM($K43:N43)</f>
        <v>0</v>
      </c>
      <c r="AB43" s="14">
        <f>SUM($K43:O43)</f>
        <v>0</v>
      </c>
      <c r="AC43" s="14">
        <f>SUM($K43:P43)</f>
        <v>0</v>
      </c>
      <c r="AD43" s="14">
        <f>SUM($K43:Q43)</f>
        <v>0</v>
      </c>
      <c r="AE43" s="14">
        <f>SUM($K43:R43)</f>
        <v>0</v>
      </c>
      <c r="AF43" s="14">
        <f>SUM($K43:S43)</f>
        <v>0</v>
      </c>
      <c r="AG43" s="14">
        <f>SUM($K43:T43)</f>
        <v>0</v>
      </c>
      <c r="AH43" s="14">
        <f>SUM($K43:U43)</f>
        <v>0</v>
      </c>
      <c r="AI43" s="14">
        <f>SUM($K43:V43)</f>
        <v>0</v>
      </c>
    </row>
    <row r="44" spans="1:35">
      <c r="A44" s="5">
        <v>39</v>
      </c>
      <c r="B44" s="5">
        <v>25039</v>
      </c>
      <c r="C44" s="17" t="s">
        <v>88</v>
      </c>
      <c r="D44" s="5" t="str">
        <f>VLOOKUP($B44, Spa!$B:$P, 14, 0)</f>
        <v>Emily</v>
      </c>
      <c r="E44" s="5" t="str">
        <f>VLOOKUP($B44, Spa!$B:$P, 15, 0)</f>
        <v>Central</v>
      </c>
      <c r="F44" s="5">
        <f>VLOOKUP(B44, Spa!$B:$E, 3, 0)</f>
        <v>2024</v>
      </c>
      <c r="G44" s="6">
        <f>VLOOKUP(B44, Spa!$B:$E, 4, 0)</f>
        <v>45352</v>
      </c>
      <c r="H44" s="5" t="str">
        <f t="shared" si="6"/>
        <v>20243</v>
      </c>
      <c r="I44" s="5" t="str">
        <f>VLOOKUP(B44, Spa!$B:$L, 9, 0)</f>
        <v>No</v>
      </c>
      <c r="J44" s="16">
        <v>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X44" s="14">
        <f>SUM($K44:K44)</f>
        <v>0</v>
      </c>
      <c r="Y44" s="14">
        <f>SUM($K44:L44)</f>
        <v>0</v>
      </c>
      <c r="Z44" s="14">
        <f>SUM($K44:M44)</f>
        <v>0</v>
      </c>
      <c r="AA44" s="14">
        <f>SUM($K44:N44)</f>
        <v>0</v>
      </c>
      <c r="AB44" s="14">
        <f>SUM($K44:O44)</f>
        <v>0</v>
      </c>
      <c r="AC44" s="14">
        <f>SUM($K44:P44)</f>
        <v>0</v>
      </c>
      <c r="AD44" s="14">
        <f>SUM($K44:Q44)</f>
        <v>0</v>
      </c>
      <c r="AE44" s="14">
        <f>SUM($K44:R44)</f>
        <v>0</v>
      </c>
      <c r="AF44" s="14">
        <f>SUM($K44:S44)</f>
        <v>0</v>
      </c>
      <c r="AG44" s="14">
        <f>SUM($K44:T44)</f>
        <v>0</v>
      </c>
      <c r="AH44" s="14">
        <f>SUM($K44:U44)</f>
        <v>0</v>
      </c>
      <c r="AI44" s="14">
        <f>SUM($K44:V44)</f>
        <v>0</v>
      </c>
    </row>
    <row r="45" spans="1:35">
      <c r="A45" s="5">
        <v>40</v>
      </c>
      <c r="B45" s="5">
        <v>25040</v>
      </c>
      <c r="C45" s="5" t="s">
        <v>166</v>
      </c>
      <c r="D45" s="5" t="str">
        <f>VLOOKUP($B45, Spa!$B:$P, 14, 0)</f>
        <v>Lisa</v>
      </c>
      <c r="E45" s="5" t="str">
        <f>VLOOKUP($B45, Spa!$B:$P, 15, 0)</f>
        <v>Southeast</v>
      </c>
      <c r="F45" s="5">
        <f>VLOOKUP(B45, Spa!$B:$E, 3, 0)</f>
        <v>2023</v>
      </c>
      <c r="G45" s="6">
        <f>VLOOKUP(B45, Spa!$B:$E, 4, 0)</f>
        <v>45200</v>
      </c>
      <c r="H45" s="5" t="str">
        <f t="shared" si="6"/>
        <v>202310</v>
      </c>
      <c r="I45" s="5" t="str">
        <f>VLOOKUP(B45, Spa!$B:$L, 9, 0)</f>
        <v>No</v>
      </c>
      <c r="J45" s="16">
        <v>6451.14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X45" s="14">
        <f>SUM($K45:K45)</f>
        <v>0</v>
      </c>
      <c r="Y45" s="14">
        <f>SUM($K45:L45)</f>
        <v>0</v>
      </c>
      <c r="Z45" s="14">
        <f>SUM($K45:M45)</f>
        <v>0</v>
      </c>
      <c r="AA45" s="14">
        <f>SUM($K45:N45)</f>
        <v>0</v>
      </c>
      <c r="AB45" s="14">
        <f>SUM($K45:O45)</f>
        <v>0</v>
      </c>
      <c r="AC45" s="14">
        <f>SUM($K45:P45)</f>
        <v>0</v>
      </c>
      <c r="AD45" s="14">
        <f>SUM($K45:Q45)</f>
        <v>0</v>
      </c>
      <c r="AE45" s="14">
        <f>SUM($K45:R45)</f>
        <v>0</v>
      </c>
      <c r="AF45" s="14">
        <f>SUM($K45:S45)</f>
        <v>0</v>
      </c>
      <c r="AG45" s="14">
        <f>SUM($K45:T45)</f>
        <v>0</v>
      </c>
      <c r="AH45" s="14">
        <f>SUM($K45:U45)</f>
        <v>0</v>
      </c>
      <c r="AI45" s="14">
        <f>SUM($K45:V45)</f>
        <v>0</v>
      </c>
    </row>
    <row r="46" spans="1:35">
      <c r="A46" s="5">
        <v>41</v>
      </c>
      <c r="B46" s="5">
        <v>25041</v>
      </c>
      <c r="C46" s="5" t="s">
        <v>155</v>
      </c>
      <c r="D46" s="5" t="str">
        <f>VLOOKUP($B46, Spa!$B:$P, 14, 0)</f>
        <v>Emily</v>
      </c>
      <c r="E46" s="5" t="str">
        <f>VLOOKUP($B46, Spa!$B:$P, 15, 0)</f>
        <v>Central</v>
      </c>
      <c r="F46" s="5">
        <f>VLOOKUP(B46, Spa!$B:$E, 3, 0)</f>
        <v>2023</v>
      </c>
      <c r="G46" s="6">
        <f>VLOOKUP(B46, Spa!$B:$E, 4, 0)</f>
        <v>45231</v>
      </c>
      <c r="H46" s="5" t="str">
        <f t="shared" si="6"/>
        <v>202311</v>
      </c>
      <c r="I46" s="5" t="str">
        <f>VLOOKUP(B46, Spa!$B:$L, 9, 0)</f>
        <v>No</v>
      </c>
      <c r="J46" s="16">
        <v>575.16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X46" s="14">
        <f>SUM($K46:K46)</f>
        <v>0</v>
      </c>
      <c r="Y46" s="14">
        <f>SUM($K46:L46)</f>
        <v>0</v>
      </c>
      <c r="Z46" s="14">
        <f>SUM($K46:M46)</f>
        <v>0</v>
      </c>
      <c r="AA46" s="14">
        <f>SUM($K46:N46)</f>
        <v>0</v>
      </c>
      <c r="AB46" s="14">
        <f>SUM($K46:O46)</f>
        <v>0</v>
      </c>
      <c r="AC46" s="14">
        <f>SUM($K46:P46)</f>
        <v>0</v>
      </c>
      <c r="AD46" s="14">
        <f>SUM($K46:Q46)</f>
        <v>0</v>
      </c>
      <c r="AE46" s="14">
        <f>SUM($K46:R46)</f>
        <v>0</v>
      </c>
      <c r="AF46" s="14">
        <f>SUM($K46:S46)</f>
        <v>0</v>
      </c>
      <c r="AG46" s="14">
        <f>SUM($K46:T46)</f>
        <v>0</v>
      </c>
      <c r="AH46" s="14">
        <f>SUM($K46:U46)</f>
        <v>0</v>
      </c>
      <c r="AI46" s="14">
        <f>SUM($K46:V46)</f>
        <v>0</v>
      </c>
    </row>
    <row r="47" spans="1:35">
      <c r="A47" s="5">
        <v>42</v>
      </c>
      <c r="B47" s="5">
        <v>25042</v>
      </c>
      <c r="C47" s="5" t="s">
        <v>136</v>
      </c>
      <c r="D47" s="5" t="str">
        <f>VLOOKUP($B47, Spa!$B:$P, 14, 0)</f>
        <v>Lisa</v>
      </c>
      <c r="E47" s="5" t="str">
        <f>VLOOKUP($B47, Spa!$B:$P, 15, 0)</f>
        <v>Southeast</v>
      </c>
      <c r="F47" s="5">
        <f>VLOOKUP(B47, Spa!$B:$E, 3, 0)</f>
        <v>2023</v>
      </c>
      <c r="G47" s="6">
        <f>VLOOKUP(B47, Spa!$B:$E, 4, 0)</f>
        <v>45261</v>
      </c>
      <c r="H47" s="5" t="str">
        <f t="shared" si="6"/>
        <v>202312</v>
      </c>
      <c r="I47" s="5" t="str">
        <f>VLOOKUP(B47, Spa!$B:$L, 9, 0)</f>
        <v>No</v>
      </c>
      <c r="J47" s="16">
        <v>24324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X47" s="14">
        <f>SUM($K47:K47)</f>
        <v>0</v>
      </c>
      <c r="Y47" s="14">
        <f>SUM($K47:L47)</f>
        <v>0</v>
      </c>
      <c r="Z47" s="14">
        <f>SUM($K47:M47)</f>
        <v>0</v>
      </c>
      <c r="AA47" s="14">
        <f>SUM($K47:N47)</f>
        <v>0</v>
      </c>
      <c r="AB47" s="14">
        <f>SUM($K47:O47)</f>
        <v>0</v>
      </c>
      <c r="AC47" s="14">
        <f>SUM($K47:P47)</f>
        <v>0</v>
      </c>
      <c r="AD47" s="14">
        <f>SUM($K47:Q47)</f>
        <v>0</v>
      </c>
      <c r="AE47" s="14">
        <f>SUM($K47:R47)</f>
        <v>0</v>
      </c>
      <c r="AF47" s="14">
        <f>SUM($K47:S47)</f>
        <v>0</v>
      </c>
      <c r="AG47" s="14">
        <f>SUM($K47:T47)</f>
        <v>0</v>
      </c>
      <c r="AH47" s="14">
        <f>SUM($K47:U47)</f>
        <v>0</v>
      </c>
      <c r="AI47" s="14">
        <f>SUM($K47:V47)</f>
        <v>0</v>
      </c>
    </row>
    <row r="48" spans="1:35">
      <c r="A48" s="5">
        <v>43</v>
      </c>
      <c r="B48" s="5">
        <v>25043</v>
      </c>
      <c r="C48" s="5" t="s">
        <v>126</v>
      </c>
      <c r="D48" s="5" t="str">
        <f>VLOOKUP($B48, Spa!$B:$P, 14, 0)</f>
        <v>Lisa</v>
      </c>
      <c r="E48" s="5" t="str">
        <f>VLOOKUP($B48, Spa!$B:$P, 15, 0)</f>
        <v>Southeast</v>
      </c>
      <c r="F48" s="5">
        <f>VLOOKUP(B48, Spa!$B:$E, 3, 0)</f>
        <v>2023</v>
      </c>
      <c r="G48" s="6">
        <f>VLOOKUP(B48, Spa!$B:$E, 4, 0)</f>
        <v>45261</v>
      </c>
      <c r="H48" s="5" t="str">
        <f t="shared" si="6"/>
        <v>202312</v>
      </c>
      <c r="I48" s="5" t="str">
        <f>VLOOKUP(B48, Spa!$B:$L, 9, 0)</f>
        <v>No</v>
      </c>
      <c r="J48" s="16">
        <v>1212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X48" s="14">
        <f>SUM($K48:K48)</f>
        <v>0</v>
      </c>
      <c r="Y48" s="14">
        <f>SUM($K48:L48)</f>
        <v>0</v>
      </c>
      <c r="Z48" s="14">
        <f>SUM($K48:M48)</f>
        <v>0</v>
      </c>
      <c r="AA48" s="14">
        <f>SUM($K48:N48)</f>
        <v>0</v>
      </c>
      <c r="AB48" s="14">
        <f>SUM($K48:O48)</f>
        <v>0</v>
      </c>
      <c r="AC48" s="14">
        <f>SUM($K48:P48)</f>
        <v>0</v>
      </c>
      <c r="AD48" s="14">
        <f>SUM($K48:Q48)</f>
        <v>0</v>
      </c>
      <c r="AE48" s="14">
        <f>SUM($K48:R48)</f>
        <v>0</v>
      </c>
      <c r="AF48" s="14">
        <f>SUM($K48:S48)</f>
        <v>0</v>
      </c>
      <c r="AG48" s="14">
        <f>SUM($K48:T48)</f>
        <v>0</v>
      </c>
      <c r="AH48" s="14">
        <f>SUM($K48:U48)</f>
        <v>0</v>
      </c>
      <c r="AI48" s="14">
        <f>SUM($K48:V48)</f>
        <v>0</v>
      </c>
    </row>
    <row r="49" spans="1:35">
      <c r="A49" s="5">
        <v>44</v>
      </c>
      <c r="B49" s="5">
        <v>25044</v>
      </c>
      <c r="C49" s="17" t="s">
        <v>90</v>
      </c>
      <c r="D49" s="5" t="str">
        <f>VLOOKUP($B49, Spa!$B:$P, 14, 0)</f>
        <v>Emily</v>
      </c>
      <c r="E49" s="5" t="str">
        <f>VLOOKUP($B49, Spa!$B:$P, 15, 0)</f>
        <v>Central</v>
      </c>
      <c r="F49" s="5">
        <f>VLOOKUP(B49, Spa!$B:$E, 3, 0)</f>
        <v>2024</v>
      </c>
      <c r="G49" s="6">
        <f>VLOOKUP(B49, Spa!$B:$E, 4, 0)</f>
        <v>45292</v>
      </c>
      <c r="H49" s="5" t="str">
        <f t="shared" si="6"/>
        <v>20241</v>
      </c>
      <c r="I49" s="5" t="str">
        <f>VLOOKUP(B49, Spa!$B:$L, 9, 0)</f>
        <v>No</v>
      </c>
      <c r="J49" s="16">
        <v>5613.07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X49" s="14">
        <f>SUM($K49:K49)</f>
        <v>0</v>
      </c>
      <c r="Y49" s="14">
        <f>SUM($K49:L49)</f>
        <v>0</v>
      </c>
      <c r="Z49" s="14">
        <f>SUM($K49:M49)</f>
        <v>0</v>
      </c>
      <c r="AA49" s="14">
        <f>SUM($K49:N49)</f>
        <v>0</v>
      </c>
      <c r="AB49" s="14">
        <f>SUM($K49:O49)</f>
        <v>0</v>
      </c>
      <c r="AC49" s="14">
        <f>SUM($K49:P49)</f>
        <v>0</v>
      </c>
      <c r="AD49" s="14">
        <f>SUM($K49:Q49)</f>
        <v>0</v>
      </c>
      <c r="AE49" s="14">
        <f>SUM($K49:R49)</f>
        <v>0</v>
      </c>
      <c r="AF49" s="14">
        <f>SUM($K49:S49)</f>
        <v>0</v>
      </c>
      <c r="AG49" s="14">
        <f>SUM($K49:T49)</f>
        <v>0</v>
      </c>
      <c r="AH49" s="14">
        <f>SUM($K49:U49)</f>
        <v>0</v>
      </c>
      <c r="AI49" s="14">
        <f>SUM($K49:V49)</f>
        <v>0</v>
      </c>
    </row>
    <row r="50" spans="1:35">
      <c r="A50" s="5">
        <v>45</v>
      </c>
      <c r="B50" s="5">
        <v>25045</v>
      </c>
      <c r="C50" s="17" t="s">
        <v>77</v>
      </c>
      <c r="D50" s="5" t="str">
        <f>VLOOKUP($B50, Spa!$B:$P, 14, 0)</f>
        <v>Emily</v>
      </c>
      <c r="E50" s="5" t="str">
        <f>VLOOKUP($B50, Spa!$B:$P, 15, 0)</f>
        <v>Northeast</v>
      </c>
      <c r="F50" s="5">
        <f>VLOOKUP(B50, Spa!$B:$E, 3, 0)</f>
        <v>2024</v>
      </c>
      <c r="G50" s="6">
        <f>VLOOKUP(B50, Spa!$B:$E, 4, 0)</f>
        <v>45323</v>
      </c>
      <c r="H50" s="5" t="str">
        <f t="shared" si="6"/>
        <v>20242</v>
      </c>
      <c r="I50" s="5" t="str">
        <f>VLOOKUP(B50, Spa!$B:$L, 9, 0)</f>
        <v>No</v>
      </c>
      <c r="J50" s="16"/>
      <c r="X50" s="14">
        <f>SUM($K50:K50)</f>
        <v>0</v>
      </c>
      <c r="Y50" s="14">
        <f>SUM($K50:L50)</f>
        <v>0</v>
      </c>
      <c r="Z50" s="14">
        <f>SUM($K50:M50)</f>
        <v>0</v>
      </c>
      <c r="AA50" s="14">
        <f>SUM($K50:N50)</f>
        <v>0</v>
      </c>
      <c r="AB50" s="14">
        <f>SUM($K50:O50)</f>
        <v>0</v>
      </c>
      <c r="AC50" s="14">
        <f>SUM($K50:P50)</f>
        <v>0</v>
      </c>
      <c r="AD50" s="14">
        <f>SUM($K50:Q50)</f>
        <v>0</v>
      </c>
      <c r="AE50" s="14">
        <f>SUM($K50:R50)</f>
        <v>0</v>
      </c>
      <c r="AF50" s="14">
        <f>SUM($K50:S50)</f>
        <v>0</v>
      </c>
      <c r="AG50" s="14">
        <f>SUM($K50:T50)</f>
        <v>0</v>
      </c>
      <c r="AH50" s="14">
        <f>SUM($K50:U50)</f>
        <v>0</v>
      </c>
      <c r="AI50" s="14">
        <f>SUM($K50:V50)</f>
        <v>0</v>
      </c>
    </row>
    <row r="51" spans="1:35">
      <c r="B51" s="5">
        <v>25046</v>
      </c>
      <c r="C51" s="17" t="s">
        <v>109</v>
      </c>
      <c r="D51" s="5" t="str">
        <f>VLOOKUP($B51, Spa!$B:$P, 14, 0)</f>
        <v>Amy</v>
      </c>
      <c r="E51" s="5" t="str">
        <f>VLOOKUP($B51, Spa!$B:$P, 15, 0)</f>
        <v>West</v>
      </c>
      <c r="F51" s="5">
        <f>VLOOKUP(B51, Spa!$B:$E, 3, 0)</f>
        <v>2024</v>
      </c>
      <c r="G51" s="6">
        <f>VLOOKUP(B51, Spa!$B:$E, 4, 0)</f>
        <v>45383</v>
      </c>
      <c r="H51" s="5" t="str">
        <f t="shared" si="6"/>
        <v>20244</v>
      </c>
      <c r="I51" s="5" t="str">
        <f>VLOOKUP(B51, Spa!$B:$L, 9, 0)</f>
        <v>No</v>
      </c>
      <c r="X51" s="14">
        <f>SUM($K51:K51)</f>
        <v>0</v>
      </c>
      <c r="Y51" s="14">
        <f>SUM($K51:L51)</f>
        <v>0</v>
      </c>
      <c r="Z51" s="14">
        <f>SUM($K51:M51)</f>
        <v>0</v>
      </c>
      <c r="AA51" s="14">
        <f>SUM($K51:N51)</f>
        <v>0</v>
      </c>
      <c r="AB51" s="14">
        <f>SUM($K51:O51)</f>
        <v>0</v>
      </c>
      <c r="AC51" s="14">
        <f>SUM($K51:P51)</f>
        <v>0</v>
      </c>
      <c r="AD51" s="14">
        <f>SUM($K51:Q51)</f>
        <v>0</v>
      </c>
      <c r="AE51" s="14">
        <f>SUM($K51:R51)</f>
        <v>0</v>
      </c>
      <c r="AF51" s="14">
        <f>SUM($K51:S51)</f>
        <v>0</v>
      </c>
      <c r="AG51" s="14">
        <f>SUM($K51:T51)</f>
        <v>0</v>
      </c>
      <c r="AH51" s="14">
        <f>SUM($K51:U51)</f>
        <v>0</v>
      </c>
      <c r="AI51" s="14">
        <f>SUM($K51:V51)</f>
        <v>0</v>
      </c>
    </row>
    <row r="52" spans="1:35">
      <c r="B52" s="5">
        <v>25047</v>
      </c>
      <c r="C52" s="17" t="s">
        <v>129</v>
      </c>
      <c r="D52" s="5" t="str">
        <f>VLOOKUP($B52, Spa!$B:$P, 14, 0)</f>
        <v>Lisa</v>
      </c>
      <c r="E52" s="5" t="str">
        <f>VLOOKUP($B52, Spa!$B:$P, 15, 0)</f>
        <v>Southeast</v>
      </c>
      <c r="F52" s="5">
        <f>VLOOKUP(B52, Spa!$B:$E, 3, 0)</f>
        <v>2024</v>
      </c>
      <c r="G52" s="6">
        <f>VLOOKUP(B52, Spa!$B:$E, 4, 0)</f>
        <v>45413</v>
      </c>
      <c r="H52" s="5" t="str">
        <f t="shared" si="6"/>
        <v>20245</v>
      </c>
      <c r="I52" s="5" t="str">
        <f>VLOOKUP(B52, Spa!$B:$L, 9, 0)</f>
        <v>No</v>
      </c>
      <c r="X52" s="14">
        <f>SUM($K52:K52)</f>
        <v>0</v>
      </c>
      <c r="Y52" s="14">
        <f>SUM($K52:L52)</f>
        <v>0</v>
      </c>
      <c r="Z52" s="14">
        <f>SUM($K52:M52)</f>
        <v>0</v>
      </c>
      <c r="AA52" s="14">
        <f>SUM($K52:N52)</f>
        <v>0</v>
      </c>
      <c r="AB52" s="14">
        <f>SUM($K52:O52)</f>
        <v>0</v>
      </c>
      <c r="AC52" s="14">
        <f>SUM($K52:P52)</f>
        <v>0</v>
      </c>
      <c r="AD52" s="14">
        <f>SUM($K52:Q52)</f>
        <v>0</v>
      </c>
      <c r="AE52" s="14">
        <f>SUM($K52:R52)</f>
        <v>0</v>
      </c>
      <c r="AF52" s="14">
        <f>SUM($K52:S52)</f>
        <v>0</v>
      </c>
      <c r="AG52" s="14">
        <f>SUM($K52:T52)</f>
        <v>0</v>
      </c>
      <c r="AH52" s="14">
        <f>SUM($K52:U52)</f>
        <v>0</v>
      </c>
      <c r="AI52" s="14">
        <f>SUM($K52:V52)</f>
        <v>0</v>
      </c>
    </row>
    <row r="53" spans="1:35">
      <c r="B53" s="5">
        <v>25049</v>
      </c>
      <c r="C53" s="17" t="s">
        <v>78</v>
      </c>
      <c r="D53" s="5" t="str">
        <f>VLOOKUP($B53, Spa!$B:$P, 14, 0)</f>
        <v>Emily</v>
      </c>
      <c r="E53" s="5" t="str">
        <f>VLOOKUP($B53, Spa!$B:$P, 15, 0)</f>
        <v>Northeast</v>
      </c>
      <c r="F53" s="5">
        <f>VLOOKUP(B53, Spa!$B:$E, 3, 0)</f>
        <v>2024</v>
      </c>
      <c r="G53" s="6">
        <f>VLOOKUP(B53, Spa!$B:$E, 4, 0)</f>
        <v>45413</v>
      </c>
      <c r="H53" s="5" t="str">
        <f t="shared" si="6"/>
        <v>20245</v>
      </c>
      <c r="I53" s="5" t="str">
        <f>VLOOKUP(B53, Spa!$B:$L, 9, 0)</f>
        <v>No</v>
      </c>
      <c r="X53" s="14">
        <f>SUM($K53:K53)</f>
        <v>0</v>
      </c>
      <c r="Y53" s="14">
        <f>SUM($K53:L53)</f>
        <v>0</v>
      </c>
      <c r="Z53" s="14">
        <f>SUM($K53:M53)</f>
        <v>0</v>
      </c>
      <c r="AA53" s="14">
        <f>SUM($K53:N53)</f>
        <v>0</v>
      </c>
      <c r="AB53" s="14">
        <f>SUM($K53:O53)</f>
        <v>0</v>
      </c>
      <c r="AC53" s="14">
        <f>SUM($K53:P53)</f>
        <v>0</v>
      </c>
      <c r="AD53" s="14">
        <f>SUM($K53:Q53)</f>
        <v>0</v>
      </c>
      <c r="AE53" s="14">
        <f>SUM($K53:R53)</f>
        <v>0</v>
      </c>
      <c r="AF53" s="14">
        <f>SUM($K53:S53)</f>
        <v>0</v>
      </c>
      <c r="AG53" s="14">
        <f>SUM($K53:T53)</f>
        <v>0</v>
      </c>
      <c r="AH53" s="14">
        <f>SUM($K53:U53)</f>
        <v>0</v>
      </c>
      <c r="AI53" s="14">
        <f>SUM($K53:V53)</f>
        <v>0</v>
      </c>
    </row>
    <row r="54" spans="1:35">
      <c r="B54" s="5">
        <v>25050</v>
      </c>
      <c r="C54" s="17" t="s">
        <v>91</v>
      </c>
      <c r="D54" s="5" t="str">
        <f>VLOOKUP($B54, Spa!$B:$P, 14, 0)</f>
        <v>Emily</v>
      </c>
      <c r="E54" s="5" t="str">
        <f>VLOOKUP($B54, Spa!$B:$P, 15, 0)</f>
        <v>Central</v>
      </c>
      <c r="F54" s="5">
        <f>VLOOKUP(B54, Spa!$B:$E, 3, 0)</f>
        <v>2024</v>
      </c>
      <c r="G54" s="6">
        <f>VLOOKUP(B54, Spa!$B:$E, 4, 0)</f>
        <v>45444</v>
      </c>
      <c r="H54" s="5" t="str">
        <f t="shared" si="6"/>
        <v>20246</v>
      </c>
      <c r="I54" s="5" t="str">
        <f>VLOOKUP(B54, Spa!$B:$L, 9, 0)</f>
        <v>No</v>
      </c>
      <c r="X54" s="14">
        <f>SUM($K54:K54)</f>
        <v>0</v>
      </c>
      <c r="Y54" s="14">
        <f>SUM($K54:L54)</f>
        <v>0</v>
      </c>
      <c r="Z54" s="14">
        <f>SUM($K54:M54)</f>
        <v>0</v>
      </c>
      <c r="AA54" s="14">
        <f>SUM($K54:N54)</f>
        <v>0</v>
      </c>
      <c r="AB54" s="14">
        <f>SUM($K54:O54)</f>
        <v>0</v>
      </c>
      <c r="AC54" s="14">
        <f>SUM($K54:P54)</f>
        <v>0</v>
      </c>
      <c r="AD54" s="14">
        <f>SUM($K54:Q54)</f>
        <v>0</v>
      </c>
      <c r="AE54" s="14">
        <f>SUM($K54:R54)</f>
        <v>0</v>
      </c>
      <c r="AF54" s="14">
        <f>SUM($K54:S54)</f>
        <v>0</v>
      </c>
      <c r="AG54" s="14">
        <f>SUM($K54:T54)</f>
        <v>0</v>
      </c>
      <c r="AH54" s="14">
        <f>SUM($K54:U54)</f>
        <v>0</v>
      </c>
      <c r="AI54" s="14">
        <f>SUM($K54:V54)</f>
        <v>0</v>
      </c>
    </row>
    <row r="55" spans="1:35">
      <c r="B55" s="5">
        <v>25052</v>
      </c>
      <c r="C55" s="17" t="s">
        <v>110</v>
      </c>
      <c r="D55" s="5" t="str">
        <f>VLOOKUP($B55, Spa!$B:$P, 14, 0)</f>
        <v>Amy</v>
      </c>
      <c r="E55" s="5" t="str">
        <f>VLOOKUP($B55, Spa!$B:$P, 15, 0)</f>
        <v>West</v>
      </c>
      <c r="F55" s="5">
        <f>VLOOKUP(B55, Spa!$B:$E, 3, 0)</f>
        <v>2024</v>
      </c>
      <c r="G55" s="6">
        <f>VLOOKUP(B55, Spa!$B:$E, 4, 0)</f>
        <v>45474</v>
      </c>
      <c r="H55" s="5" t="str">
        <f t="shared" si="6"/>
        <v>20247</v>
      </c>
      <c r="I55" s="5" t="str">
        <f>VLOOKUP(B55, Spa!$B:$L, 9, 0)</f>
        <v>No</v>
      </c>
      <c r="X55" s="14">
        <f>SUM($K55:K55)</f>
        <v>0</v>
      </c>
      <c r="Y55" s="14">
        <f>SUM($K55:L55)</f>
        <v>0</v>
      </c>
      <c r="Z55" s="14">
        <f>SUM($K55:M55)</f>
        <v>0</v>
      </c>
      <c r="AA55" s="14">
        <f>SUM($K55:N55)</f>
        <v>0</v>
      </c>
      <c r="AB55" s="14">
        <f>SUM($K55:O55)</f>
        <v>0</v>
      </c>
      <c r="AC55" s="14">
        <f>SUM($K55:P55)</f>
        <v>0</v>
      </c>
      <c r="AD55" s="14">
        <f>SUM($K55:Q55)</f>
        <v>0</v>
      </c>
      <c r="AE55" s="14">
        <f>SUM($K55:R55)</f>
        <v>0</v>
      </c>
      <c r="AF55" s="14">
        <f>SUM($K55:S55)</f>
        <v>0</v>
      </c>
      <c r="AG55" s="14">
        <f>SUM($K55:T55)</f>
        <v>0</v>
      </c>
      <c r="AH55" s="14">
        <f>SUM($K55:U55)</f>
        <v>0</v>
      </c>
      <c r="AI55" s="14">
        <f>SUM($K55:V55)</f>
        <v>0</v>
      </c>
    </row>
    <row r="56" spans="1:35">
      <c r="B56" s="5">
        <v>25053</v>
      </c>
      <c r="C56" s="17" t="s">
        <v>111</v>
      </c>
      <c r="D56" s="5" t="str">
        <f>VLOOKUP($B56, Spa!$B:$P, 14, 0)</f>
        <v>Amy</v>
      </c>
      <c r="E56" s="5" t="str">
        <f>VLOOKUP($B56, Spa!$B:$P, 15, 0)</f>
        <v>West</v>
      </c>
      <c r="F56" s="5">
        <f>VLOOKUP(B56, Spa!$B:$E, 3, 0)</f>
        <v>2024</v>
      </c>
      <c r="G56" s="6">
        <f>VLOOKUP(B56, Spa!$B:$E, 4, 0)</f>
        <v>45505</v>
      </c>
      <c r="H56" s="5" t="str">
        <f t="shared" si="6"/>
        <v>20248</v>
      </c>
      <c r="I56" s="5" t="str">
        <f>VLOOKUP(B56, Spa!$B:$L, 9, 0)</f>
        <v>No</v>
      </c>
      <c r="X56" s="14">
        <f>SUM($K56:K56)</f>
        <v>0</v>
      </c>
      <c r="Y56" s="14">
        <f>SUM($K56:L56)</f>
        <v>0</v>
      </c>
      <c r="Z56" s="14">
        <f>SUM($K56:M56)</f>
        <v>0</v>
      </c>
      <c r="AA56" s="14">
        <f>SUM($K56:N56)</f>
        <v>0</v>
      </c>
      <c r="AB56" s="14">
        <f>SUM($K56:O56)</f>
        <v>0</v>
      </c>
      <c r="AC56" s="14">
        <f>SUM($K56:P56)</f>
        <v>0</v>
      </c>
      <c r="AD56" s="14">
        <f>SUM($K56:Q56)</f>
        <v>0</v>
      </c>
      <c r="AE56" s="14">
        <f>SUM($K56:R56)</f>
        <v>0</v>
      </c>
      <c r="AF56" s="14">
        <f>SUM($K56:S56)</f>
        <v>0</v>
      </c>
      <c r="AG56" s="14">
        <f>SUM($K56:T56)</f>
        <v>0</v>
      </c>
      <c r="AH56" s="14">
        <f>SUM($K56:U56)</f>
        <v>0</v>
      </c>
      <c r="AI56" s="14">
        <f>SUM($K56:V56)</f>
        <v>0</v>
      </c>
    </row>
    <row r="57" spans="1:35">
      <c r="B57" s="5">
        <v>25054</v>
      </c>
      <c r="C57" s="17" t="s">
        <v>92</v>
      </c>
      <c r="D57" s="5" t="str">
        <f>VLOOKUP($B57, Spa!$B:$P, 14, 0)</f>
        <v>Lisa</v>
      </c>
      <c r="E57" s="5" t="str">
        <f>VLOOKUP($B57, Spa!$B:$P, 15, 0)</f>
        <v>Southeast</v>
      </c>
      <c r="F57" s="5">
        <f>VLOOKUP(B57, Spa!$B:$E, 3, 0)</f>
        <v>2024</v>
      </c>
      <c r="G57" s="6">
        <f>VLOOKUP(B57, Spa!$B:$E, 4, 0)</f>
        <v>45505</v>
      </c>
      <c r="H57" s="5" t="str">
        <f t="shared" si="6"/>
        <v>20248</v>
      </c>
      <c r="I57" s="5" t="str">
        <f>VLOOKUP(B57, Spa!$B:$L, 9, 0)</f>
        <v>No</v>
      </c>
      <c r="X57" s="14">
        <f>SUM($K57:K57)</f>
        <v>0</v>
      </c>
      <c r="Y57" s="14">
        <f>SUM($K57:L57)</f>
        <v>0</v>
      </c>
      <c r="Z57" s="14">
        <f>SUM($K57:M57)</f>
        <v>0</v>
      </c>
      <c r="AA57" s="14">
        <f>SUM($K57:N57)</f>
        <v>0</v>
      </c>
      <c r="AB57" s="14">
        <f>SUM($K57:O57)</f>
        <v>0</v>
      </c>
      <c r="AC57" s="14">
        <f>SUM($K57:P57)</f>
        <v>0</v>
      </c>
      <c r="AD57" s="14">
        <f>SUM($K57:Q57)</f>
        <v>0</v>
      </c>
      <c r="AE57" s="14">
        <f>SUM($K57:R57)</f>
        <v>0</v>
      </c>
      <c r="AF57" s="14">
        <f>SUM($K57:S57)</f>
        <v>0</v>
      </c>
      <c r="AG57" s="14">
        <f>SUM($K57:T57)</f>
        <v>0</v>
      </c>
      <c r="AH57" s="14">
        <f>SUM($K57:U57)</f>
        <v>0</v>
      </c>
      <c r="AI57" s="14">
        <f>SUM($K57:V57)</f>
        <v>0</v>
      </c>
    </row>
    <row r="58" spans="1:35">
      <c r="B58" s="5">
        <v>25055</v>
      </c>
      <c r="C58" s="17" t="s">
        <v>130</v>
      </c>
      <c r="D58" s="5" t="str">
        <f>VLOOKUP($B58, Spa!$B:$P, 14, 0)</f>
        <v>Lisa</v>
      </c>
      <c r="E58" s="5" t="str">
        <f>VLOOKUP($B58, Spa!$B:$P, 15, 0)</f>
        <v>Southeast</v>
      </c>
      <c r="F58" s="5">
        <f>VLOOKUP(B58, Spa!$B:$E, 3, 0)</f>
        <v>2024</v>
      </c>
      <c r="G58" s="6">
        <f>VLOOKUP(B58, Spa!$B:$E, 4, 0)</f>
        <v>45536</v>
      </c>
      <c r="H58" s="5" t="str">
        <f t="shared" si="6"/>
        <v>20249</v>
      </c>
      <c r="I58" s="5" t="str">
        <f>VLOOKUP(B58, Spa!$B:$L, 9, 0)</f>
        <v>No</v>
      </c>
      <c r="X58" s="14">
        <f>SUM($K58:K58)</f>
        <v>0</v>
      </c>
      <c r="Y58" s="14">
        <f>SUM($K58:L58)</f>
        <v>0</v>
      </c>
      <c r="Z58" s="14">
        <f>SUM($K58:M58)</f>
        <v>0</v>
      </c>
      <c r="AA58" s="14">
        <f>SUM($K58:N58)</f>
        <v>0</v>
      </c>
      <c r="AB58" s="14">
        <f>SUM($K58:O58)</f>
        <v>0</v>
      </c>
      <c r="AC58" s="14">
        <f>SUM($K58:P58)</f>
        <v>0</v>
      </c>
      <c r="AD58" s="14">
        <f>SUM($K58:Q58)</f>
        <v>0</v>
      </c>
      <c r="AE58" s="14">
        <f>SUM($K58:R58)</f>
        <v>0</v>
      </c>
      <c r="AF58" s="14">
        <f>SUM($K58:S58)</f>
        <v>0</v>
      </c>
      <c r="AG58" s="14">
        <f>SUM($K58:T58)</f>
        <v>0</v>
      </c>
      <c r="AH58" s="14">
        <f>SUM($K58:U58)</f>
        <v>0</v>
      </c>
      <c r="AI58" s="14">
        <f>SUM($K58:V58)</f>
        <v>0</v>
      </c>
    </row>
    <row r="59" spans="1:35">
      <c r="B59" s="5">
        <v>25056</v>
      </c>
      <c r="C59" s="17" t="s">
        <v>94</v>
      </c>
      <c r="D59" s="5" t="str">
        <f>VLOOKUP($B59, Spa!$B:$P, 14, 0)</f>
        <v>Amy</v>
      </c>
      <c r="E59" s="5" t="str">
        <f>VLOOKUP($B59, Spa!$B:$P, 15, 0)</f>
        <v>Central</v>
      </c>
      <c r="F59" s="5">
        <f>VLOOKUP(B59, Spa!$B:$E, 3, 0)</f>
        <v>2024</v>
      </c>
      <c r="G59" s="6">
        <f>VLOOKUP(B59, Spa!$B:$E, 4, 0)</f>
        <v>45536</v>
      </c>
      <c r="H59" s="5" t="str">
        <f t="shared" si="6"/>
        <v>20249</v>
      </c>
      <c r="I59" s="5" t="str">
        <f>VLOOKUP(B59, Spa!$B:$L, 9, 0)</f>
        <v>No</v>
      </c>
      <c r="X59" s="14">
        <f>SUM($K59:K59)</f>
        <v>0</v>
      </c>
      <c r="Y59" s="14">
        <f>SUM($K59:L59)</f>
        <v>0</v>
      </c>
      <c r="Z59" s="14">
        <f>SUM($K59:M59)</f>
        <v>0</v>
      </c>
      <c r="AA59" s="14">
        <f>SUM($K59:N59)</f>
        <v>0</v>
      </c>
      <c r="AB59" s="14">
        <f>SUM($K59:O59)</f>
        <v>0</v>
      </c>
      <c r="AC59" s="14">
        <f>SUM($K59:P59)</f>
        <v>0</v>
      </c>
      <c r="AD59" s="14">
        <f>SUM($K59:Q59)</f>
        <v>0</v>
      </c>
      <c r="AE59" s="14">
        <f>SUM($K59:R59)</f>
        <v>0</v>
      </c>
      <c r="AF59" s="14">
        <f>SUM($K59:S59)</f>
        <v>0</v>
      </c>
      <c r="AG59" s="14">
        <f>SUM($K59:T59)</f>
        <v>0</v>
      </c>
      <c r="AH59" s="14">
        <f>SUM($K59:U59)</f>
        <v>0</v>
      </c>
      <c r="AI59" s="14">
        <f>SUM($K59:V59)</f>
        <v>0</v>
      </c>
    </row>
    <row r="60" spans="1:35">
      <c r="B60" s="11">
        <v>25057</v>
      </c>
      <c r="C60" s="11" t="s">
        <v>156</v>
      </c>
      <c r="D60" s="5" t="str">
        <f>VLOOKUP($B60, Spa!$B:$P, 14, 0)</f>
        <v>Emily</v>
      </c>
      <c r="E60" s="5" t="str">
        <f>VLOOKUP($B60, Spa!$B:$P, 15, 0)</f>
        <v>Central</v>
      </c>
      <c r="F60" s="5">
        <f>VLOOKUP(B60, Spa!$B:$E, 3, 0)</f>
        <v>2024</v>
      </c>
      <c r="G60" s="6">
        <f>VLOOKUP(B60, Spa!$B:$E, 4, 0)</f>
        <v>45566</v>
      </c>
      <c r="H60" s="5" t="str">
        <f t="shared" si="6"/>
        <v>202410</v>
      </c>
      <c r="I60" s="5" t="str">
        <f>VLOOKUP(B60, Spa!$B:$L, 9, 0)</f>
        <v>No</v>
      </c>
      <c r="X60" s="14">
        <f>SUM($K60:K60)</f>
        <v>0</v>
      </c>
      <c r="Y60" s="14">
        <f>SUM($K60:L60)</f>
        <v>0</v>
      </c>
      <c r="Z60" s="14">
        <f>SUM($K60:M60)</f>
        <v>0</v>
      </c>
      <c r="AA60" s="14">
        <f>SUM($K60:N60)</f>
        <v>0</v>
      </c>
      <c r="AB60" s="14">
        <f>SUM($K60:O60)</f>
        <v>0</v>
      </c>
      <c r="AC60" s="14">
        <f>SUM($K60:P60)</f>
        <v>0</v>
      </c>
      <c r="AD60" s="14">
        <f>SUM($K60:Q60)</f>
        <v>0</v>
      </c>
      <c r="AE60" s="14">
        <f>SUM($K60:R60)</f>
        <v>0</v>
      </c>
      <c r="AF60" s="14">
        <f>SUM($K60:S60)</f>
        <v>0</v>
      </c>
      <c r="AG60" s="14">
        <f>SUM($K60:T60)</f>
        <v>0</v>
      </c>
      <c r="AH60" s="14">
        <f>SUM($K60:U60)</f>
        <v>0</v>
      </c>
      <c r="AI60" s="14">
        <f>SUM($K60:V60)</f>
        <v>0</v>
      </c>
    </row>
    <row r="61" spans="1:35">
      <c r="B61" s="12">
        <v>25058</v>
      </c>
      <c r="C61" s="18" t="s">
        <v>112</v>
      </c>
      <c r="D61" s="5" t="str">
        <f>VLOOKUP($B61, Spa!$B:$P, 14, 0)</f>
        <v>Amy</v>
      </c>
      <c r="E61" s="5" t="str">
        <f>VLOOKUP($B61, Spa!$B:$P, 15, 0)</f>
        <v>West</v>
      </c>
      <c r="F61" s="5">
        <f>VLOOKUP(B61, Spa!$B:$E, 3, 0)</f>
        <v>2024</v>
      </c>
      <c r="G61" s="6">
        <f>VLOOKUP(B61, Spa!$B:$E, 4, 0)</f>
        <v>45566</v>
      </c>
      <c r="H61" s="5" t="str">
        <f t="shared" si="6"/>
        <v>202410</v>
      </c>
      <c r="I61" s="5" t="str">
        <f>VLOOKUP(B61, Spa!$B:$L, 9, 0)</f>
        <v>No</v>
      </c>
      <c r="X61" s="14">
        <f>SUM($K61:K61)</f>
        <v>0</v>
      </c>
      <c r="Y61" s="14">
        <f>SUM($K61:L61)</f>
        <v>0</v>
      </c>
      <c r="Z61" s="14">
        <f>SUM($K61:M61)</f>
        <v>0</v>
      </c>
      <c r="AA61" s="14">
        <f>SUM($K61:N61)</f>
        <v>0</v>
      </c>
      <c r="AB61" s="14">
        <f>SUM($K61:O61)</f>
        <v>0</v>
      </c>
      <c r="AC61" s="14">
        <f>SUM($K61:P61)</f>
        <v>0</v>
      </c>
      <c r="AD61" s="14">
        <f>SUM($K61:Q61)</f>
        <v>0</v>
      </c>
      <c r="AE61" s="14">
        <f>SUM($K61:R61)</f>
        <v>0</v>
      </c>
      <c r="AF61" s="14">
        <f>SUM($K61:S61)</f>
        <v>0</v>
      </c>
      <c r="AG61" s="14">
        <f>SUM($K61:T61)</f>
        <v>0</v>
      </c>
      <c r="AH61" s="14">
        <f>SUM($K61:U61)</f>
        <v>0</v>
      </c>
      <c r="AI61" s="14">
        <f>SUM($K61:V61)</f>
        <v>0</v>
      </c>
    </row>
    <row r="62" spans="1:35">
      <c r="B62" s="5">
        <v>25059</v>
      </c>
      <c r="C62" s="5" t="s">
        <v>113</v>
      </c>
      <c r="D62" s="5" t="str">
        <f>VLOOKUP($B62, Spa!$B:$P, 14, 0)</f>
        <v>Amy</v>
      </c>
      <c r="E62" s="5" t="str">
        <f>VLOOKUP($B62, Spa!$B:$P, 15, 0)</f>
        <v>West</v>
      </c>
      <c r="F62" s="5">
        <f>VLOOKUP(B62, Spa!$B:$E, 3, 0)</f>
        <v>2024</v>
      </c>
      <c r="G62" s="6">
        <f>VLOOKUP(B62, Spa!$B:$E, 4, 0)</f>
        <v>45627</v>
      </c>
      <c r="H62" s="5" t="str">
        <f t="shared" si="6"/>
        <v>202412</v>
      </c>
      <c r="I62" s="5" t="str">
        <f>VLOOKUP(B62, Spa!$B:$L, 9, 0)</f>
        <v>No</v>
      </c>
      <c r="X62" s="14">
        <f>SUM($K62:K62)</f>
        <v>0</v>
      </c>
      <c r="Y62" s="14">
        <f>SUM($K62:L62)</f>
        <v>0</v>
      </c>
      <c r="Z62" s="14">
        <f>SUM($K62:M62)</f>
        <v>0</v>
      </c>
      <c r="AA62" s="14">
        <f>SUM($K62:N62)</f>
        <v>0</v>
      </c>
      <c r="AB62" s="14">
        <f>SUM($K62:O62)</f>
        <v>0</v>
      </c>
      <c r="AC62" s="14">
        <f>SUM($K62:P62)</f>
        <v>0</v>
      </c>
      <c r="AD62" s="14">
        <f>SUM($K62:Q62)</f>
        <v>0</v>
      </c>
      <c r="AE62" s="14">
        <f>SUM($K62:R62)</f>
        <v>0</v>
      </c>
      <c r="AF62" s="14">
        <f>SUM($K62:S62)</f>
        <v>0</v>
      </c>
      <c r="AG62" s="14">
        <f>SUM($K62:T62)</f>
        <v>0</v>
      </c>
      <c r="AH62" s="14">
        <f>SUM($K62:U62)</f>
        <v>0</v>
      </c>
      <c r="AI62" s="14">
        <f>SUM($K62:V62)</f>
        <v>0</v>
      </c>
    </row>
  </sheetData>
  <autoFilter ref="A11:V62" xr:uid="{00000000-0001-0000-0000-000000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7C7C-D51C-4074-A18A-4073987436EA}">
  <dimension ref="A1:AI62"/>
  <sheetViews>
    <sheetView topLeftCell="A10" workbookViewId="0">
      <selection activeCell="H12" sqref="H12"/>
    </sheetView>
  </sheetViews>
  <sheetFormatPr defaultColWidth="9.140625" defaultRowHeight="15"/>
  <cols>
    <col min="1" max="2" width="9.140625" style="5"/>
    <col min="3" max="3" width="47.85546875" style="5" bestFit="1" customWidth="1"/>
    <col min="4" max="5" width="21.85546875" style="5" customWidth="1"/>
    <col min="6" max="6" width="15.42578125" style="5" customWidth="1"/>
    <col min="7" max="9" width="27.7109375" style="5" customWidth="1"/>
    <col min="10" max="10" width="16.42578125" style="5" bestFit="1" customWidth="1"/>
    <col min="11" max="22" width="11.28515625" style="5" customWidth="1"/>
    <col min="23" max="23" width="9.140625" style="5"/>
    <col min="24" max="32" width="10.42578125" style="5" bestFit="1" customWidth="1"/>
    <col min="33" max="35" width="11.42578125" style="5" bestFit="1" customWidth="1"/>
    <col min="36" max="16384" width="9.140625" style="5"/>
  </cols>
  <sheetData>
    <row r="1" spans="1:35">
      <c r="J1" s="5" t="s">
        <v>184</v>
      </c>
      <c r="K1" s="14">
        <f t="shared" ref="K1:R1" si="0">SUM(K12:K67)</f>
        <v>47380.619999999995</v>
      </c>
      <c r="L1" s="14">
        <f t="shared" si="0"/>
        <v>24246.349999999995</v>
      </c>
      <c r="M1" s="14">
        <f t="shared" si="0"/>
        <v>35305.56</v>
      </c>
      <c r="N1" s="14">
        <f t="shared" si="0"/>
        <v>25910.980000000003</v>
      </c>
      <c r="O1" s="14">
        <f t="shared" si="0"/>
        <v>39736.07</v>
      </c>
      <c r="P1" s="14">
        <f t="shared" si="0"/>
        <v>28861.51</v>
      </c>
      <c r="Q1" s="14">
        <f t="shared" si="0"/>
        <v>24065.879999999997</v>
      </c>
      <c r="R1" s="14">
        <f t="shared" si="0"/>
        <v>47179.950000000004</v>
      </c>
      <c r="S1" s="14">
        <f>SUM(S12:S67)</f>
        <v>63863.21</v>
      </c>
      <c r="T1" s="14">
        <f t="shared" ref="T1" si="1">SUM(T12:T67)</f>
        <v>32150.21</v>
      </c>
      <c r="U1" s="14">
        <f>SUM(U12:U67)</f>
        <v>40732.93</v>
      </c>
      <c r="V1" s="14">
        <f>SUM(V12:V67)</f>
        <v>59206.720000000001</v>
      </c>
    </row>
    <row r="2" spans="1:35">
      <c r="J2" s="5" t="s">
        <v>185</v>
      </c>
      <c r="K2" s="14">
        <f>SUM($K1:K1)</f>
        <v>47380.619999999995</v>
      </c>
      <c r="L2" s="14">
        <f>SUM($K1:L1)</f>
        <v>71626.969999999987</v>
      </c>
      <c r="M2" s="14">
        <f>SUM($K1:M1)</f>
        <v>106932.52999999998</v>
      </c>
      <c r="N2" s="14">
        <f>SUM($K1:N1)</f>
        <v>132843.50999999998</v>
      </c>
      <c r="O2" s="14">
        <f>SUM($K1:O1)</f>
        <v>172579.58</v>
      </c>
      <c r="P2" s="14">
        <f>SUM($K1:P1)</f>
        <v>201441.09</v>
      </c>
      <c r="Q2" s="14">
        <f>SUM($K1:Q1)</f>
        <v>225506.97</v>
      </c>
      <c r="R2" s="14">
        <f>SUM($K1:R1)</f>
        <v>272686.92</v>
      </c>
      <c r="S2" s="14">
        <f>SUM($K1:S1)</f>
        <v>336550.13</v>
      </c>
      <c r="T2" s="14">
        <f>SUM($K1:T1)</f>
        <v>368700.34</v>
      </c>
      <c r="U2" s="14">
        <f>SUM($K1:U1)</f>
        <v>409433.27</v>
      </c>
      <c r="V2" s="14">
        <f>SUM($K1:V1)</f>
        <v>468639.99</v>
      </c>
    </row>
    <row r="3" spans="1:35">
      <c r="J3" s="5" t="s">
        <v>186</v>
      </c>
      <c r="K3" s="15">
        <f>COUNTIF(K12:K95, "&gt;0")+IF(K42&gt;0, 1, 0)</f>
        <v>12</v>
      </c>
      <c r="L3" s="15">
        <f t="shared" ref="L3:V3" si="2">COUNTIF(L12:L95, "&gt;0")+IF(L42&gt;0, 1, 0)</f>
        <v>9</v>
      </c>
      <c r="M3" s="15">
        <f t="shared" si="2"/>
        <v>9</v>
      </c>
      <c r="N3" s="15">
        <f t="shared" si="2"/>
        <v>9</v>
      </c>
      <c r="O3" s="15">
        <f t="shared" si="2"/>
        <v>10</v>
      </c>
      <c r="P3" s="15">
        <f t="shared" si="2"/>
        <v>8</v>
      </c>
      <c r="Q3" s="15">
        <f t="shared" si="2"/>
        <v>10</v>
      </c>
      <c r="R3" s="15">
        <f t="shared" si="2"/>
        <v>14</v>
      </c>
      <c r="S3" s="15">
        <f t="shared" si="2"/>
        <v>11</v>
      </c>
      <c r="T3" s="15">
        <f t="shared" si="2"/>
        <v>12</v>
      </c>
      <c r="U3" s="15">
        <f t="shared" si="2"/>
        <v>11</v>
      </c>
      <c r="V3" s="15">
        <f t="shared" si="2"/>
        <v>13</v>
      </c>
    </row>
    <row r="4" spans="1:35">
      <c r="J4" s="5" t="s">
        <v>187</v>
      </c>
      <c r="K4" s="15">
        <f>COUNTIF(X$12:X$95, "&gt;0")+IF(X42&gt;0, 1, 0)</f>
        <v>12</v>
      </c>
      <c r="L4" s="15">
        <f t="shared" ref="L4:V4" si="3">COUNTIF(Y$12:Y$95, "&gt;0")+IF(Y42&gt;0, 1, 0)</f>
        <v>13</v>
      </c>
      <c r="M4" s="15">
        <f t="shared" si="3"/>
        <v>15</v>
      </c>
      <c r="N4" s="15">
        <f t="shared" si="3"/>
        <v>17</v>
      </c>
      <c r="O4" s="15">
        <f t="shared" si="3"/>
        <v>19</v>
      </c>
      <c r="P4" s="15">
        <f t="shared" si="3"/>
        <v>19</v>
      </c>
      <c r="Q4" s="15">
        <f t="shared" si="3"/>
        <v>19</v>
      </c>
      <c r="R4" s="15">
        <f t="shared" si="3"/>
        <v>23</v>
      </c>
      <c r="S4" s="15">
        <f t="shared" si="3"/>
        <v>24</v>
      </c>
      <c r="T4" s="15">
        <f t="shared" si="3"/>
        <v>26</v>
      </c>
      <c r="U4" s="15">
        <f t="shared" si="3"/>
        <v>27</v>
      </c>
      <c r="V4" s="15">
        <f t="shared" si="3"/>
        <v>29</v>
      </c>
    </row>
    <row r="5" spans="1:35">
      <c r="J5" s="5" t="s">
        <v>188</v>
      </c>
      <c r="K5" s="5">
        <f t="shared" ref="K5:V5" si="4">SUMIF($H:$H, YEAR(K11)&amp;MONTH(K11), K:K)</f>
        <v>15267.45</v>
      </c>
      <c r="L5" s="5">
        <f t="shared" si="4"/>
        <v>0</v>
      </c>
      <c r="M5" s="5">
        <f t="shared" si="4"/>
        <v>0</v>
      </c>
      <c r="N5" s="5">
        <f t="shared" si="4"/>
        <v>4986.6499999999996</v>
      </c>
      <c r="O5" s="5">
        <f t="shared" si="4"/>
        <v>6867.58</v>
      </c>
      <c r="P5" s="5">
        <f t="shared" si="4"/>
        <v>0</v>
      </c>
      <c r="Q5" s="5">
        <f t="shared" si="4"/>
        <v>0</v>
      </c>
      <c r="R5" s="5">
        <f t="shared" si="4"/>
        <v>16962.09</v>
      </c>
      <c r="S5" s="5">
        <f t="shared" si="4"/>
        <v>12972.38</v>
      </c>
      <c r="T5" s="5">
        <f t="shared" si="4"/>
        <v>11154.349999999999</v>
      </c>
      <c r="U5" s="5">
        <f t="shared" si="4"/>
        <v>575.16</v>
      </c>
      <c r="V5" s="5">
        <f t="shared" si="4"/>
        <v>25536</v>
      </c>
    </row>
    <row r="6" spans="1:35">
      <c r="J6" s="5" t="s">
        <v>189</v>
      </c>
      <c r="K6" s="5">
        <f t="shared" ref="K6:V6" si="5">SUMIF($F:$F, YEAR(K11), K:K)</f>
        <v>15267.45</v>
      </c>
      <c r="L6" s="5">
        <f t="shared" si="5"/>
        <v>0</v>
      </c>
      <c r="M6" s="5">
        <f t="shared" si="5"/>
        <v>0</v>
      </c>
      <c r="N6" s="5">
        <f t="shared" si="5"/>
        <v>2987.6499999999996</v>
      </c>
      <c r="O6" s="5">
        <f t="shared" si="5"/>
        <v>5154.37</v>
      </c>
      <c r="P6" s="5">
        <f t="shared" si="5"/>
        <v>3615.09</v>
      </c>
      <c r="Q6" s="5">
        <f t="shared" si="5"/>
        <v>4259.1400000000003</v>
      </c>
      <c r="R6" s="5">
        <f t="shared" si="5"/>
        <v>28572.35</v>
      </c>
      <c r="S6" s="5">
        <f t="shared" si="5"/>
        <v>19015.71</v>
      </c>
      <c r="T6" s="5">
        <f t="shared" si="5"/>
        <v>21818.3</v>
      </c>
      <c r="U6" s="5">
        <f t="shared" si="5"/>
        <v>15122.01</v>
      </c>
      <c r="V6" s="5">
        <f t="shared" si="5"/>
        <v>33404.869999999995</v>
      </c>
    </row>
    <row r="7" spans="1:35">
      <c r="J7" s="5" t="s">
        <v>190</v>
      </c>
      <c r="K7" s="14">
        <f>SUM($K6:K6)</f>
        <v>15267.45</v>
      </c>
      <c r="L7" s="14">
        <f>SUM($K6:L6)</f>
        <v>15267.45</v>
      </c>
      <c r="M7" s="14">
        <f>SUM($K6:M6)</f>
        <v>15267.45</v>
      </c>
      <c r="N7" s="14">
        <f>SUM($K6:N6)</f>
        <v>18255.099999999999</v>
      </c>
      <c r="O7" s="14">
        <f>SUM($K6:O6)</f>
        <v>23409.469999999998</v>
      </c>
      <c r="P7" s="14">
        <f>SUM($K6:P6)</f>
        <v>27024.559999999998</v>
      </c>
      <c r="Q7" s="14">
        <f>SUM($K6:Q6)</f>
        <v>31283.699999999997</v>
      </c>
      <c r="R7" s="14">
        <f>SUM($K6:R6)</f>
        <v>59856.049999999996</v>
      </c>
      <c r="S7" s="14">
        <f>SUM($K6:S6)</f>
        <v>78871.759999999995</v>
      </c>
      <c r="T7" s="14">
        <f>SUM($K6:T6)</f>
        <v>100690.06</v>
      </c>
      <c r="U7" s="14">
        <f>SUM($K6:U6)</f>
        <v>115812.06999999999</v>
      </c>
      <c r="V7" s="14">
        <f>SUM($K6:V6)</f>
        <v>149216.94</v>
      </c>
    </row>
    <row r="8" spans="1:35">
      <c r="J8" s="5" t="s">
        <v>191</v>
      </c>
      <c r="K8" s="15">
        <f t="shared" ref="K8:V8" si="6">COUNTIF($G:$G, K11)</f>
        <v>3</v>
      </c>
      <c r="L8" s="15">
        <f t="shared" si="6"/>
        <v>0</v>
      </c>
      <c r="M8" s="15">
        <f t="shared" si="6"/>
        <v>0</v>
      </c>
      <c r="N8" s="15">
        <f t="shared" si="6"/>
        <v>1</v>
      </c>
      <c r="O8" s="15">
        <f t="shared" si="6"/>
        <v>2</v>
      </c>
      <c r="P8" s="15">
        <f t="shared" si="6"/>
        <v>0</v>
      </c>
      <c r="Q8" s="15">
        <f t="shared" si="6"/>
        <v>0</v>
      </c>
      <c r="R8" s="15">
        <f t="shared" si="6"/>
        <v>2</v>
      </c>
      <c r="S8" s="15">
        <f t="shared" si="6"/>
        <v>1</v>
      </c>
      <c r="T8" s="15">
        <f t="shared" si="6"/>
        <v>2</v>
      </c>
      <c r="U8" s="15">
        <f t="shared" si="6"/>
        <v>1</v>
      </c>
      <c r="V8" s="15">
        <f t="shared" si="6"/>
        <v>2</v>
      </c>
    </row>
    <row r="9" spans="1:35">
      <c r="J9" s="5" t="s">
        <v>190</v>
      </c>
      <c r="K9" s="15">
        <f>SUM($K8:K8)</f>
        <v>3</v>
      </c>
      <c r="L9" s="15">
        <f>SUM($K8:L8)</f>
        <v>3</v>
      </c>
      <c r="M9" s="15">
        <f>SUM($K8:M8)</f>
        <v>3</v>
      </c>
      <c r="N9" s="15">
        <f>SUM($K8:N8)</f>
        <v>4</v>
      </c>
      <c r="O9" s="15">
        <f>SUM($K8:O8)</f>
        <v>6</v>
      </c>
      <c r="P9" s="15">
        <f>SUM($K8:P8)</f>
        <v>6</v>
      </c>
      <c r="Q9" s="15">
        <f>SUM($K8:Q8)</f>
        <v>6</v>
      </c>
      <c r="R9" s="15">
        <f>SUM($K8:R8)</f>
        <v>8</v>
      </c>
      <c r="S9" s="15">
        <f>SUM($K8:S8)</f>
        <v>9</v>
      </c>
      <c r="T9" s="15">
        <f>SUM($K8:T8)</f>
        <v>11</v>
      </c>
      <c r="U9" s="15">
        <f>SUM($K8:U8)</f>
        <v>12</v>
      </c>
      <c r="V9" s="15">
        <f>SUM($K8:V8)</f>
        <v>14</v>
      </c>
    </row>
    <row r="11" spans="1:35">
      <c r="A11" s="5" t="s">
        <v>192</v>
      </c>
      <c r="B11" s="5" t="s">
        <v>54</v>
      </c>
      <c r="C11" s="5" t="s">
        <v>55</v>
      </c>
      <c r="D11" s="5" t="s">
        <v>57</v>
      </c>
      <c r="E11" s="5" t="s">
        <v>56</v>
      </c>
      <c r="F11" s="5" t="s">
        <v>58</v>
      </c>
      <c r="G11" s="5" t="s">
        <v>193</v>
      </c>
      <c r="H11" s="5" t="s">
        <v>194</v>
      </c>
      <c r="I11" s="5" t="s">
        <v>59</v>
      </c>
      <c r="J11" s="5" t="s">
        <v>195</v>
      </c>
      <c r="K11" s="6">
        <v>44927</v>
      </c>
      <c r="L11" s="6">
        <v>44958</v>
      </c>
      <c r="M11" s="6">
        <v>44986</v>
      </c>
      <c r="N11" s="6">
        <v>45017</v>
      </c>
      <c r="O11" s="6">
        <v>45047</v>
      </c>
      <c r="P11" s="6">
        <v>45078</v>
      </c>
      <c r="Q11" s="6">
        <v>45108</v>
      </c>
      <c r="R11" s="6">
        <v>45139</v>
      </c>
      <c r="S11" s="6">
        <v>45170</v>
      </c>
      <c r="T11" s="6">
        <v>45200</v>
      </c>
      <c r="U11" s="6">
        <v>45231</v>
      </c>
      <c r="V11" s="6">
        <v>45261</v>
      </c>
      <c r="X11" s="6">
        <v>44927</v>
      </c>
      <c r="Y11" s="6">
        <v>44958</v>
      </c>
      <c r="Z11" s="6">
        <v>44986</v>
      </c>
      <c r="AA11" s="6">
        <v>45017</v>
      </c>
      <c r="AB11" s="6">
        <v>45047</v>
      </c>
      <c r="AC11" s="6">
        <v>45078</v>
      </c>
      <c r="AD11" s="6">
        <v>45108</v>
      </c>
      <c r="AE11" s="6">
        <v>45139</v>
      </c>
      <c r="AF11" s="6">
        <v>45170</v>
      </c>
      <c r="AG11" s="6">
        <v>45200</v>
      </c>
      <c r="AH11" s="6">
        <v>45231</v>
      </c>
      <c r="AI11" s="6">
        <v>45261</v>
      </c>
    </row>
    <row r="12" spans="1:35">
      <c r="A12" s="5">
        <v>2</v>
      </c>
      <c r="B12" s="5">
        <v>25000</v>
      </c>
      <c r="C12" s="5" t="s">
        <v>106</v>
      </c>
      <c r="D12" s="5" t="str">
        <f>VLOOKUP($B12, Spa!$B:$P, 14, 0)</f>
        <v>Amy</v>
      </c>
      <c r="E12" s="5" t="str">
        <f>VLOOKUP($B12, Spa!$B:$P, 15, 0)</f>
        <v>West</v>
      </c>
      <c r="F12" s="5">
        <f>VLOOKUP(B12, Spa!$B:$E, 3, 0)</f>
        <v>2021</v>
      </c>
      <c r="G12" s="6">
        <f>VLOOKUP(B12, Spa!$B:$E, 4, 0)</f>
        <v>44378</v>
      </c>
      <c r="H12" s="5" t="str">
        <f>F12&amp;MONTH(G12)</f>
        <v>20217</v>
      </c>
      <c r="I12" s="5" t="str">
        <f>VLOOKUP(B12, Spa!$B:$L, 10, 0)</f>
        <v>Yes</v>
      </c>
      <c r="J12" s="16">
        <v>12766.93</v>
      </c>
      <c r="K12" s="16">
        <v>929.35</v>
      </c>
      <c r="L12" s="16">
        <v>759.5</v>
      </c>
      <c r="M12" s="16">
        <v>442.39</v>
      </c>
      <c r="N12" s="16">
        <v>505.52</v>
      </c>
      <c r="O12" s="16">
        <v>765.5</v>
      </c>
      <c r="P12" s="16"/>
      <c r="Q12" s="16">
        <v>1811</v>
      </c>
      <c r="R12" s="16">
        <v>545</v>
      </c>
      <c r="S12" s="16">
        <v>396</v>
      </c>
      <c r="T12" s="16"/>
      <c r="U12" s="16">
        <v>863.02</v>
      </c>
      <c r="V12" s="16"/>
      <c r="X12" s="14">
        <f>SUM($K12:K12)</f>
        <v>929.35</v>
      </c>
      <c r="Y12" s="14">
        <f>SUM($K12:L12)</f>
        <v>1688.85</v>
      </c>
      <c r="Z12" s="14">
        <f>SUM($K12:M12)</f>
        <v>2131.2399999999998</v>
      </c>
      <c r="AA12" s="14">
        <f>SUM($K12:N12)</f>
        <v>2636.7599999999998</v>
      </c>
      <c r="AB12" s="14">
        <f>SUM($K12:O12)</f>
        <v>3402.2599999999998</v>
      </c>
      <c r="AC12" s="14">
        <f>SUM($K12:P12)</f>
        <v>3402.2599999999998</v>
      </c>
      <c r="AD12" s="14">
        <f>SUM($K12:Q12)</f>
        <v>5213.26</v>
      </c>
      <c r="AE12" s="14">
        <f>SUM($K12:R12)</f>
        <v>5758.26</v>
      </c>
      <c r="AF12" s="14">
        <f>SUM($K12:S12)</f>
        <v>6154.26</v>
      </c>
      <c r="AG12" s="14">
        <f>SUM($K12:T12)</f>
        <v>6154.26</v>
      </c>
      <c r="AH12" s="14">
        <f>SUM($K12:U12)</f>
        <v>7017.2800000000007</v>
      </c>
      <c r="AI12" s="14">
        <f>SUM($K12:V12)</f>
        <v>7017.2800000000007</v>
      </c>
    </row>
    <row r="13" spans="1:35">
      <c r="A13" s="5">
        <v>3</v>
      </c>
      <c r="B13" s="5">
        <v>25001</v>
      </c>
      <c r="C13" s="5" t="s">
        <v>196</v>
      </c>
      <c r="D13" s="5" t="str">
        <f>VLOOKUP($B13, Spa!$B:$P, 14, 0)</f>
        <v>Emily</v>
      </c>
      <c r="E13" s="5" t="str">
        <f>VLOOKUP($B13, Spa!$B:$P, 15, 0)</f>
        <v>Northeast</v>
      </c>
      <c r="F13" s="5">
        <f>VLOOKUP(B13, Spa!$B:$E, 3, 0)</f>
        <v>2021</v>
      </c>
      <c r="G13" s="6">
        <f>VLOOKUP(B13, Spa!$B:$E, 4, 0)</f>
        <v>44317</v>
      </c>
      <c r="H13" s="5" t="str">
        <f t="shared" ref="H13:H62" si="7">F13&amp;MONTH(G13)</f>
        <v>20215</v>
      </c>
      <c r="I13" s="5" t="str">
        <f>VLOOKUP(B13, Spa!$B:$L, 10, 0)</f>
        <v>Yes</v>
      </c>
      <c r="J13" s="16">
        <v>57102.76</v>
      </c>
      <c r="K13" s="16">
        <v>3007.85</v>
      </c>
      <c r="L13" s="16">
        <v>1232.1500000000001</v>
      </c>
      <c r="M13" s="16">
        <v>3740.15</v>
      </c>
      <c r="N13" s="16">
        <v>2853.07</v>
      </c>
      <c r="O13" s="16">
        <v>1684.1</v>
      </c>
      <c r="P13" s="16">
        <v>2125.8000000000002</v>
      </c>
      <c r="Q13" s="16">
        <v>1073.5</v>
      </c>
      <c r="R13" s="16">
        <v>517.45000000000005</v>
      </c>
      <c r="S13" s="16">
        <v>2139.66</v>
      </c>
      <c r="T13" s="16">
        <v>1631.06</v>
      </c>
      <c r="U13" s="16">
        <v>3726.54</v>
      </c>
      <c r="V13" s="16">
        <v>1014.24</v>
      </c>
      <c r="X13" s="14">
        <f>SUM($K13:K13)</f>
        <v>3007.85</v>
      </c>
      <c r="Y13" s="14">
        <f>SUM($K13:L13)</f>
        <v>4240</v>
      </c>
      <c r="Z13" s="14">
        <f>SUM($K13:M13)</f>
        <v>7980.15</v>
      </c>
      <c r="AA13" s="14">
        <f>SUM($K13:N13)</f>
        <v>10833.22</v>
      </c>
      <c r="AB13" s="14">
        <f>SUM($K13:O13)</f>
        <v>12517.32</v>
      </c>
      <c r="AC13" s="14">
        <f>SUM($K13:P13)</f>
        <v>14643.119999999999</v>
      </c>
      <c r="AD13" s="14">
        <f>SUM($K13:Q13)</f>
        <v>15716.619999999999</v>
      </c>
      <c r="AE13" s="14">
        <f>SUM($K13:R13)</f>
        <v>16234.07</v>
      </c>
      <c r="AF13" s="14">
        <f>SUM($K13:S13)</f>
        <v>18373.73</v>
      </c>
      <c r="AG13" s="14">
        <f>SUM($K13:T13)</f>
        <v>20004.79</v>
      </c>
      <c r="AH13" s="14">
        <f>SUM($K13:U13)</f>
        <v>23731.33</v>
      </c>
      <c r="AI13" s="14">
        <f>SUM($K13:V13)</f>
        <v>24745.570000000003</v>
      </c>
    </row>
    <row r="14" spans="1:35">
      <c r="A14" s="5">
        <v>4</v>
      </c>
      <c r="B14" s="5">
        <v>25002</v>
      </c>
      <c r="C14" s="5" t="s">
        <v>121</v>
      </c>
      <c r="D14" s="5" t="str">
        <f>VLOOKUP($B14, Spa!$B:$P, 14, 0)</f>
        <v>Lisa</v>
      </c>
      <c r="E14" s="5" t="str">
        <f>VLOOKUP($B14, Spa!$B:$P, 15, 0)</f>
        <v>Southeast</v>
      </c>
      <c r="F14" s="5">
        <f>VLOOKUP(B14, Spa!$B:$E, 3, 0)</f>
        <v>2021</v>
      </c>
      <c r="G14" s="6">
        <f>VLOOKUP(B14, Spa!$B:$E, 4, 0)</f>
        <v>44409</v>
      </c>
      <c r="H14" s="5" t="str">
        <f t="shared" si="7"/>
        <v>20218</v>
      </c>
      <c r="I14" s="5" t="str">
        <f>VLOOKUP(B14, Spa!$B:$L, 10, 0)</f>
        <v>Yes</v>
      </c>
      <c r="J14" s="16">
        <v>24911.8</v>
      </c>
      <c r="K14" s="16">
        <v>2208.3000000000002</v>
      </c>
      <c r="L14" s="16">
        <v>357.1</v>
      </c>
      <c r="M14" s="16"/>
      <c r="N14" s="16">
        <v>1058.69</v>
      </c>
      <c r="O14" s="16"/>
      <c r="P14" s="16"/>
      <c r="Q14" s="16">
        <v>420.44</v>
      </c>
      <c r="R14" s="16"/>
      <c r="S14" s="16">
        <v>1549</v>
      </c>
      <c r="T14" s="16">
        <v>825.44</v>
      </c>
      <c r="U14" s="16"/>
      <c r="V14" s="16">
        <v>942.67</v>
      </c>
      <c r="X14" s="14">
        <f>SUM($K14:K14)</f>
        <v>2208.3000000000002</v>
      </c>
      <c r="Y14" s="14">
        <f>SUM($K14:L14)</f>
        <v>2565.4</v>
      </c>
      <c r="Z14" s="14">
        <f>SUM($K14:M14)</f>
        <v>2565.4</v>
      </c>
      <c r="AA14" s="14">
        <f>SUM($K14:N14)</f>
        <v>3624.09</v>
      </c>
      <c r="AB14" s="14">
        <f>SUM($K14:O14)</f>
        <v>3624.09</v>
      </c>
      <c r="AC14" s="14">
        <f>SUM($K14:P14)</f>
        <v>3624.09</v>
      </c>
      <c r="AD14" s="14">
        <f>SUM($K14:Q14)</f>
        <v>4044.53</v>
      </c>
      <c r="AE14" s="14">
        <f>SUM($K14:R14)</f>
        <v>4044.53</v>
      </c>
      <c r="AF14" s="14">
        <f>SUM($K14:S14)</f>
        <v>5593.5300000000007</v>
      </c>
      <c r="AG14" s="14">
        <f>SUM($K14:T14)</f>
        <v>6418.9700000000012</v>
      </c>
      <c r="AH14" s="14">
        <f>SUM($K14:U14)</f>
        <v>6418.9700000000012</v>
      </c>
      <c r="AI14" s="14">
        <f>SUM($K14:V14)</f>
        <v>7361.6400000000012</v>
      </c>
    </row>
    <row r="15" spans="1:35">
      <c r="A15" s="5">
        <v>5</v>
      </c>
      <c r="B15" s="5">
        <v>25003</v>
      </c>
      <c r="C15" s="5" t="s">
        <v>140</v>
      </c>
      <c r="D15" s="5" t="str">
        <f>VLOOKUP($B15, Spa!$B:$P, 14, 0)</f>
        <v>Lisa</v>
      </c>
      <c r="E15" s="5" t="str">
        <f>VLOOKUP($B15, Spa!$B:$P, 15, 0)</f>
        <v>Southeast</v>
      </c>
      <c r="F15" s="5">
        <f>VLOOKUP(B15, Spa!$B:$E, 3, 0)</f>
        <v>2021</v>
      </c>
      <c r="G15" s="6">
        <f>VLOOKUP(B15, Spa!$B:$E, 4, 0)</f>
        <v>44440</v>
      </c>
      <c r="H15" s="5" t="str">
        <f t="shared" si="7"/>
        <v>20219</v>
      </c>
      <c r="I15" s="5" t="str">
        <f>VLOOKUP(B15, Spa!$B:$L, 10, 0)</f>
        <v>No</v>
      </c>
      <c r="J15" s="16">
        <v>1917.25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X15" s="14">
        <f>SUM($K15:K15)</f>
        <v>0</v>
      </c>
      <c r="Y15" s="14">
        <f>SUM($K15:L15)</f>
        <v>0</v>
      </c>
      <c r="Z15" s="14">
        <f>SUM($K15:M15)</f>
        <v>0</v>
      </c>
      <c r="AA15" s="14">
        <f>SUM($K15:N15)</f>
        <v>0</v>
      </c>
      <c r="AB15" s="14">
        <f>SUM($K15:O15)</f>
        <v>0</v>
      </c>
      <c r="AC15" s="14">
        <f>SUM($K15:P15)</f>
        <v>0</v>
      </c>
      <c r="AD15" s="14">
        <f>SUM($K15:Q15)</f>
        <v>0</v>
      </c>
      <c r="AE15" s="14">
        <f>SUM($K15:R15)</f>
        <v>0</v>
      </c>
      <c r="AF15" s="14">
        <f>SUM($K15:S15)</f>
        <v>0</v>
      </c>
      <c r="AG15" s="14">
        <f>SUM($K15:T15)</f>
        <v>0</v>
      </c>
      <c r="AH15" s="14">
        <f>SUM($K15:U15)</f>
        <v>0</v>
      </c>
      <c r="AI15" s="14">
        <f>SUM($K15:V15)</f>
        <v>0</v>
      </c>
    </row>
    <row r="16" spans="1:35">
      <c r="A16" s="5">
        <v>6</v>
      </c>
      <c r="B16" s="5">
        <v>25004</v>
      </c>
      <c r="C16" s="5" t="s">
        <v>105</v>
      </c>
      <c r="D16" s="5" t="str">
        <f>VLOOKUP($B16, Spa!$B:$P, 14, 0)</f>
        <v>Amy</v>
      </c>
      <c r="E16" s="5" t="str">
        <f>VLOOKUP($B16, Spa!$B:$P, 15, 0)</f>
        <v>West</v>
      </c>
      <c r="F16" s="5">
        <f>VLOOKUP(B16, Spa!$B:$E, 3, 0)</f>
        <v>2021</v>
      </c>
      <c r="G16" s="6">
        <f>VLOOKUP(B16, Spa!$B:$E, 4, 0)</f>
        <v>44440</v>
      </c>
      <c r="H16" s="5" t="str">
        <f t="shared" si="7"/>
        <v>20219</v>
      </c>
      <c r="I16" s="5" t="str">
        <f>VLOOKUP(B16, Spa!$B:$L, 10, 0)</f>
        <v>Yes</v>
      </c>
      <c r="J16" s="16">
        <v>15904.31</v>
      </c>
      <c r="K16" s="16">
        <v>454.2</v>
      </c>
      <c r="L16" s="16">
        <v>1954.9</v>
      </c>
      <c r="M16" s="16">
        <v>1561.55</v>
      </c>
      <c r="N16" s="16"/>
      <c r="O16" s="16"/>
      <c r="P16" s="16"/>
      <c r="Q16" s="16">
        <v>1723.09</v>
      </c>
      <c r="R16" s="16">
        <v>103.38</v>
      </c>
      <c r="S16" s="16"/>
      <c r="T16" s="16"/>
      <c r="U16" s="16"/>
      <c r="V16" s="16">
        <v>1360.94</v>
      </c>
      <c r="X16" s="14">
        <f>SUM($K16:K16)</f>
        <v>454.2</v>
      </c>
      <c r="Y16" s="14">
        <f>SUM($K16:L16)</f>
        <v>2409.1</v>
      </c>
      <c r="Z16" s="14">
        <f>SUM($K16:M16)</f>
        <v>3970.6499999999996</v>
      </c>
      <c r="AA16" s="14">
        <f>SUM($K16:N16)</f>
        <v>3970.6499999999996</v>
      </c>
      <c r="AB16" s="14">
        <f>SUM($K16:O16)</f>
        <v>3970.6499999999996</v>
      </c>
      <c r="AC16" s="14">
        <f>SUM($K16:P16)</f>
        <v>3970.6499999999996</v>
      </c>
      <c r="AD16" s="14">
        <f>SUM($K16:Q16)</f>
        <v>5693.74</v>
      </c>
      <c r="AE16" s="14">
        <f>SUM($K16:R16)</f>
        <v>5797.12</v>
      </c>
      <c r="AF16" s="14">
        <f>SUM($K16:S16)</f>
        <v>5797.12</v>
      </c>
      <c r="AG16" s="14">
        <f>SUM($K16:T16)</f>
        <v>5797.12</v>
      </c>
      <c r="AH16" s="14">
        <f>SUM($K16:U16)</f>
        <v>5797.12</v>
      </c>
      <c r="AI16" s="14">
        <f>SUM($K16:V16)</f>
        <v>7158.0599999999995</v>
      </c>
    </row>
    <row r="17" spans="1:35">
      <c r="A17" s="5">
        <v>10</v>
      </c>
      <c r="B17" s="5">
        <v>25008</v>
      </c>
      <c r="C17" s="5" t="s">
        <v>127</v>
      </c>
      <c r="D17" s="5" t="str">
        <f>VLOOKUP($B17, Spa!$B:$P, 14, 0)</f>
        <v>Lisa</v>
      </c>
      <c r="E17" s="5" t="str">
        <f>VLOOKUP($B17, Spa!$B:$P, 15, 0)</f>
        <v>Southeast</v>
      </c>
      <c r="F17" s="5">
        <f>VLOOKUP(B17, Spa!$B:$E, 3, 0)</f>
        <v>2021</v>
      </c>
      <c r="G17" s="6">
        <f>VLOOKUP(B17, Spa!$B:$E, 4, 0)</f>
        <v>44531</v>
      </c>
      <c r="H17" s="5" t="str">
        <f t="shared" si="7"/>
        <v>202112</v>
      </c>
      <c r="I17" s="5" t="str">
        <f>VLOOKUP(B17, Spa!$B:$L, 10, 0)</f>
        <v>Yes</v>
      </c>
      <c r="J17" s="16">
        <v>2212.5</v>
      </c>
      <c r="K17" s="16"/>
      <c r="L17" s="16"/>
      <c r="M17" s="16"/>
      <c r="N17" s="16"/>
      <c r="O17" s="16"/>
      <c r="P17" s="16"/>
      <c r="Q17" s="16"/>
      <c r="R17" s="16">
        <v>1129.5</v>
      </c>
      <c r="S17" s="16"/>
      <c r="T17" s="16"/>
      <c r="U17" s="16"/>
      <c r="V17" s="16"/>
      <c r="X17" s="14">
        <f>SUM($K17:K17)</f>
        <v>0</v>
      </c>
      <c r="Y17" s="14">
        <f>SUM($K17:L17)</f>
        <v>0</v>
      </c>
      <c r="Z17" s="14">
        <f>SUM($K17:M17)</f>
        <v>0</v>
      </c>
      <c r="AA17" s="14">
        <f>SUM($K17:N17)</f>
        <v>0</v>
      </c>
      <c r="AB17" s="14">
        <f>SUM($K17:O17)</f>
        <v>0</v>
      </c>
      <c r="AC17" s="14">
        <f>SUM($K17:P17)</f>
        <v>0</v>
      </c>
      <c r="AD17" s="14">
        <f>SUM($K17:Q17)</f>
        <v>0</v>
      </c>
      <c r="AE17" s="14">
        <f>SUM($K17:R17)</f>
        <v>1129.5</v>
      </c>
      <c r="AF17" s="14">
        <f>SUM($K17:S17)</f>
        <v>1129.5</v>
      </c>
      <c r="AG17" s="14">
        <f>SUM($K17:T17)</f>
        <v>1129.5</v>
      </c>
      <c r="AH17" s="14">
        <f>SUM($K17:U17)</f>
        <v>1129.5</v>
      </c>
      <c r="AI17" s="14">
        <f>SUM($K17:V17)</f>
        <v>1129.5</v>
      </c>
    </row>
    <row r="18" spans="1:35">
      <c r="A18" s="5">
        <v>11</v>
      </c>
      <c r="B18" s="5">
        <v>25009</v>
      </c>
      <c r="C18" s="5" t="s">
        <v>142</v>
      </c>
      <c r="D18" s="5" t="str">
        <f>VLOOKUP($B18, Spa!$B:$P, 14, 0)</f>
        <v>Amy</v>
      </c>
      <c r="E18" s="5" t="str">
        <f>VLOOKUP($B18, Spa!$B:$P, 15, 0)</f>
        <v>West</v>
      </c>
      <c r="F18" s="5">
        <f>VLOOKUP(B18, Spa!$B:$E, 3, 0)</f>
        <v>2022</v>
      </c>
      <c r="G18" s="6">
        <f>VLOOKUP(B18, Spa!$B:$E, 4, 0)</f>
        <v>44562</v>
      </c>
      <c r="H18" s="5" t="str">
        <f t="shared" si="7"/>
        <v>20221</v>
      </c>
      <c r="I18" s="5" t="str">
        <f>VLOOKUP(B18, Spa!$B:$L, 10, 0)</f>
        <v>No</v>
      </c>
      <c r="J18" s="16">
        <v>32836.49</v>
      </c>
      <c r="K18" s="16">
        <v>2270.8000000000002</v>
      </c>
      <c r="L18" s="16">
        <v>3716.25</v>
      </c>
      <c r="M18" s="16"/>
      <c r="N18" s="16"/>
      <c r="O18" s="16"/>
      <c r="P18" s="16">
        <v>3499.6</v>
      </c>
      <c r="Q18" s="16">
        <v>390</v>
      </c>
      <c r="R18" s="16"/>
      <c r="S18" s="16"/>
      <c r="T18" s="16"/>
      <c r="U18" s="16"/>
      <c r="V18" s="16"/>
      <c r="X18" s="14">
        <f>SUM($K18:K18)</f>
        <v>2270.8000000000002</v>
      </c>
      <c r="Y18" s="14">
        <f>SUM($K18:L18)</f>
        <v>5987.05</v>
      </c>
      <c r="Z18" s="14">
        <f>SUM($K18:M18)</f>
        <v>5987.05</v>
      </c>
      <c r="AA18" s="14">
        <f>SUM($K18:N18)</f>
        <v>5987.05</v>
      </c>
      <c r="AB18" s="14">
        <f>SUM($K18:O18)</f>
        <v>5987.05</v>
      </c>
      <c r="AC18" s="14">
        <f>SUM($K18:P18)</f>
        <v>9486.65</v>
      </c>
      <c r="AD18" s="14">
        <f>SUM($K18:Q18)</f>
        <v>9876.65</v>
      </c>
      <c r="AE18" s="14">
        <f>SUM($K18:R18)</f>
        <v>9876.65</v>
      </c>
      <c r="AF18" s="14">
        <f>SUM($K18:S18)</f>
        <v>9876.65</v>
      </c>
      <c r="AG18" s="14">
        <f>SUM($K18:T18)</f>
        <v>9876.65</v>
      </c>
      <c r="AH18" s="14">
        <f>SUM($K18:U18)</f>
        <v>9876.65</v>
      </c>
      <c r="AI18" s="14">
        <f>SUM($K18:V18)</f>
        <v>9876.65</v>
      </c>
    </row>
    <row r="19" spans="1:35">
      <c r="A19" s="5">
        <v>12</v>
      </c>
      <c r="B19" s="5">
        <v>25010</v>
      </c>
      <c r="C19" s="5" t="s">
        <v>119</v>
      </c>
      <c r="D19" s="5" t="str">
        <f>VLOOKUP($B19, Spa!$B:$P, 14, 0)</f>
        <v>Lisa</v>
      </c>
      <c r="E19" s="5" t="str">
        <f>VLOOKUP($B19, Spa!$B:$P, 15, 0)</f>
        <v>Southeast</v>
      </c>
      <c r="F19" s="5">
        <f>VLOOKUP(B19, Spa!$B:$E, 3, 0)</f>
        <v>2022</v>
      </c>
      <c r="G19" s="6">
        <f>VLOOKUP(B19, Spa!$B:$E, 4, 0)</f>
        <v>44562</v>
      </c>
      <c r="H19" s="5" t="str">
        <f t="shared" si="7"/>
        <v>20221</v>
      </c>
      <c r="I19" s="5" t="str">
        <f>VLOOKUP(B19, Spa!$B:$L, 10, 0)</f>
        <v>Yes</v>
      </c>
      <c r="J19" s="16">
        <v>108983.17</v>
      </c>
      <c r="K19" s="16">
        <v>9286</v>
      </c>
      <c r="L19" s="16">
        <v>1050.4000000000001</v>
      </c>
      <c r="M19" s="16">
        <v>7131.05</v>
      </c>
      <c r="N19" s="16">
        <v>788.62</v>
      </c>
      <c r="O19" s="16">
        <v>4900</v>
      </c>
      <c r="P19" s="16">
        <v>772.52</v>
      </c>
      <c r="Q19" s="16"/>
      <c r="R19" s="16">
        <v>4703.79</v>
      </c>
      <c r="S19" s="16">
        <v>9498.68</v>
      </c>
      <c r="T19" s="16">
        <v>3197.28</v>
      </c>
      <c r="U19" s="16"/>
      <c r="V19" s="16">
        <v>11948.02</v>
      </c>
      <c r="X19" s="14">
        <f>SUM($K19:K19)</f>
        <v>9286</v>
      </c>
      <c r="Y19" s="14">
        <f>SUM($K19:L19)</f>
        <v>10336.4</v>
      </c>
      <c r="Z19" s="14">
        <f>SUM($K19:M19)</f>
        <v>17467.45</v>
      </c>
      <c r="AA19" s="14">
        <f>SUM($K19:N19)</f>
        <v>18256.07</v>
      </c>
      <c r="AB19" s="14">
        <f>SUM($K19:O19)</f>
        <v>23156.07</v>
      </c>
      <c r="AC19" s="14">
        <f>SUM($K19:P19)</f>
        <v>23928.59</v>
      </c>
      <c r="AD19" s="14">
        <f>SUM($K19:Q19)</f>
        <v>23928.59</v>
      </c>
      <c r="AE19" s="14">
        <f>SUM($K19:R19)</f>
        <v>28632.38</v>
      </c>
      <c r="AF19" s="14">
        <f>SUM($K19:S19)</f>
        <v>38131.06</v>
      </c>
      <c r="AG19" s="14">
        <f>SUM($K19:T19)</f>
        <v>41328.339999999997</v>
      </c>
      <c r="AH19" s="14">
        <f>SUM($K19:U19)</f>
        <v>41328.339999999997</v>
      </c>
      <c r="AI19" s="14">
        <f>SUM($K19:V19)</f>
        <v>53276.36</v>
      </c>
    </row>
    <row r="20" spans="1:35">
      <c r="A20" s="5">
        <v>13</v>
      </c>
      <c r="B20" s="5">
        <v>25011</v>
      </c>
      <c r="C20" s="5" t="s">
        <v>143</v>
      </c>
      <c r="D20" s="5" t="str">
        <f>VLOOKUP($B20, Spa!$B:$P, 14, 0)</f>
        <v>Amy</v>
      </c>
      <c r="E20" s="5" t="str">
        <f>VLOOKUP($B20, Spa!$B:$P, 15, 0)</f>
        <v>West</v>
      </c>
      <c r="F20" s="5">
        <f>VLOOKUP(B20, Spa!$B:$E, 3, 0)</f>
        <v>2022</v>
      </c>
      <c r="G20" s="6">
        <f>VLOOKUP(B20, Spa!$B:$E, 4, 0)</f>
        <v>44593</v>
      </c>
      <c r="H20" s="5" t="str">
        <f t="shared" si="7"/>
        <v>20222</v>
      </c>
      <c r="I20" s="5" t="str">
        <f>VLOOKUP(B20, Spa!$B:$L, 10, 0)</f>
        <v>No</v>
      </c>
      <c r="J20" s="16">
        <v>25713.4</v>
      </c>
      <c r="K20" s="16"/>
      <c r="L20" s="16"/>
      <c r="M20" s="16">
        <v>524.20000000000005</v>
      </c>
      <c r="N20" s="16"/>
      <c r="O20" s="16"/>
      <c r="P20" s="16"/>
      <c r="Q20" s="16"/>
      <c r="R20" s="16"/>
      <c r="S20" s="16"/>
      <c r="T20" s="16"/>
      <c r="U20" s="16"/>
      <c r="V20" s="16"/>
      <c r="X20" s="14">
        <f>SUM($K20:K20)</f>
        <v>0</v>
      </c>
      <c r="Y20" s="14">
        <f>SUM($K20:L20)</f>
        <v>0</v>
      </c>
      <c r="Z20" s="14">
        <f>SUM($K20:M20)</f>
        <v>524.20000000000005</v>
      </c>
      <c r="AA20" s="14">
        <f>SUM($K20:N20)</f>
        <v>524.20000000000005</v>
      </c>
      <c r="AB20" s="14">
        <f>SUM($K20:O20)</f>
        <v>524.20000000000005</v>
      </c>
      <c r="AC20" s="14">
        <f>SUM($K20:P20)</f>
        <v>524.20000000000005</v>
      </c>
      <c r="AD20" s="14">
        <f>SUM($K20:Q20)</f>
        <v>524.20000000000005</v>
      </c>
      <c r="AE20" s="14">
        <f>SUM($K20:R20)</f>
        <v>524.20000000000005</v>
      </c>
      <c r="AF20" s="14">
        <f>SUM($K20:S20)</f>
        <v>524.20000000000005</v>
      </c>
      <c r="AG20" s="14">
        <f>SUM($K20:T20)</f>
        <v>524.20000000000005</v>
      </c>
      <c r="AH20" s="14">
        <f>SUM($K20:U20)</f>
        <v>524.20000000000005</v>
      </c>
      <c r="AI20" s="14">
        <f>SUM($K20:V20)</f>
        <v>524.20000000000005</v>
      </c>
    </row>
    <row r="21" spans="1:35">
      <c r="A21" s="5">
        <v>14</v>
      </c>
      <c r="B21" s="5">
        <v>25012</v>
      </c>
      <c r="C21" s="5" t="s">
        <v>100</v>
      </c>
      <c r="D21" s="5" t="str">
        <f>VLOOKUP($B21, Spa!$B:$P, 14, 0)</f>
        <v>Amy</v>
      </c>
      <c r="E21" s="5" t="str">
        <f>VLOOKUP($B21, Spa!$B:$P, 15, 0)</f>
        <v>West</v>
      </c>
      <c r="F21" s="5">
        <f>VLOOKUP(B21, Spa!$B:$E, 3, 0)</f>
        <v>2022</v>
      </c>
      <c r="G21" s="6">
        <f>VLOOKUP(B21, Spa!$B:$E, 4, 0)</f>
        <v>44621</v>
      </c>
      <c r="H21" s="5" t="str">
        <f t="shared" si="7"/>
        <v>20223</v>
      </c>
      <c r="I21" s="5" t="str">
        <f>VLOOKUP(B21, Spa!$B:$L, 10, 0)</f>
        <v>Yes</v>
      </c>
      <c r="J21" s="16">
        <v>268312.63</v>
      </c>
      <c r="K21" s="16">
        <v>12330.1</v>
      </c>
      <c r="L21" s="16">
        <v>11827.65</v>
      </c>
      <c r="M21" s="16">
        <v>11044.13</v>
      </c>
      <c r="N21" s="16">
        <v>14278.16</v>
      </c>
      <c r="O21" s="16">
        <v>14268.54</v>
      </c>
      <c r="P21" s="16">
        <v>14640.63</v>
      </c>
      <c r="Q21" s="16">
        <v>6943.08</v>
      </c>
      <c r="R21" s="16">
        <v>3150</v>
      </c>
      <c r="S21" s="16">
        <v>8698.26</v>
      </c>
      <c r="T21" s="16">
        <v>3973.79</v>
      </c>
      <c r="U21" s="16">
        <v>18012.32</v>
      </c>
      <c r="V21" s="16">
        <v>8085</v>
      </c>
      <c r="X21" s="14">
        <f>SUM($K21:K21)</f>
        <v>12330.1</v>
      </c>
      <c r="Y21" s="14">
        <f>SUM($K21:L21)</f>
        <v>24157.75</v>
      </c>
      <c r="Z21" s="14">
        <f>SUM($K21:M21)</f>
        <v>35201.879999999997</v>
      </c>
      <c r="AA21" s="14">
        <f>SUM($K21:N21)</f>
        <v>49480.039999999994</v>
      </c>
      <c r="AB21" s="14">
        <f>SUM($K21:O21)</f>
        <v>63748.579999999994</v>
      </c>
      <c r="AC21" s="14">
        <f>SUM($K21:P21)</f>
        <v>78389.209999999992</v>
      </c>
      <c r="AD21" s="14">
        <f>SUM($K21:Q21)</f>
        <v>85332.29</v>
      </c>
      <c r="AE21" s="14">
        <f>SUM($K21:R21)</f>
        <v>88482.29</v>
      </c>
      <c r="AF21" s="14">
        <f>SUM($K21:S21)</f>
        <v>97180.549999999988</v>
      </c>
      <c r="AG21" s="14">
        <f>SUM($K21:T21)</f>
        <v>101154.33999999998</v>
      </c>
      <c r="AH21" s="14">
        <f>SUM($K21:U21)</f>
        <v>119166.65999999997</v>
      </c>
      <c r="AI21" s="14">
        <f>SUM($K21:V21)</f>
        <v>127251.65999999997</v>
      </c>
    </row>
    <row r="22" spans="1:35">
      <c r="A22" s="5">
        <v>15</v>
      </c>
      <c r="B22" s="5">
        <v>25013</v>
      </c>
      <c r="C22" s="5" t="s">
        <v>144</v>
      </c>
      <c r="D22" s="5" t="str">
        <f>VLOOKUP($B22, Spa!$B:$P, 14, 0)</f>
        <v>Emily</v>
      </c>
      <c r="E22" s="5" t="str">
        <f>VLOOKUP($B22, Spa!$B:$P, 15, 0)</f>
        <v>Central</v>
      </c>
      <c r="F22" s="5">
        <f>VLOOKUP(B22, Spa!$B:$E, 3, 0)</f>
        <v>2022</v>
      </c>
      <c r="G22" s="6">
        <f>VLOOKUP(B22, Spa!$B:$E, 4, 0)</f>
        <v>44621</v>
      </c>
      <c r="H22" s="5" t="str">
        <f t="shared" si="7"/>
        <v>20223</v>
      </c>
      <c r="I22" s="5" t="str">
        <f>VLOOKUP(B22, Spa!$B:$L, 10, 0)</f>
        <v>No</v>
      </c>
      <c r="J22" s="16">
        <v>28353.3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X22" s="14">
        <f>SUM($K22:K22)</f>
        <v>0</v>
      </c>
      <c r="Y22" s="14">
        <f>SUM($K22:L22)</f>
        <v>0</v>
      </c>
      <c r="Z22" s="14">
        <f>SUM($K22:M22)</f>
        <v>0</v>
      </c>
      <c r="AA22" s="14">
        <f>SUM($K22:N22)</f>
        <v>0</v>
      </c>
      <c r="AB22" s="14">
        <f>SUM($K22:O22)</f>
        <v>0</v>
      </c>
      <c r="AC22" s="14">
        <f>SUM($K22:P22)</f>
        <v>0</v>
      </c>
      <c r="AD22" s="14">
        <f>SUM($K22:Q22)</f>
        <v>0</v>
      </c>
      <c r="AE22" s="14">
        <f>SUM($K22:R22)</f>
        <v>0</v>
      </c>
      <c r="AF22" s="14">
        <f>SUM($K22:S22)</f>
        <v>0</v>
      </c>
      <c r="AG22" s="14">
        <f>SUM($K22:T22)</f>
        <v>0</v>
      </c>
      <c r="AH22" s="14">
        <f>SUM($K22:U22)</f>
        <v>0</v>
      </c>
      <c r="AI22" s="14">
        <f>SUM($K22:V22)</f>
        <v>0</v>
      </c>
    </row>
    <row r="23" spans="1:35">
      <c r="A23" s="5">
        <v>16</v>
      </c>
      <c r="B23" s="5">
        <v>25015</v>
      </c>
      <c r="C23" s="5" t="s">
        <v>107</v>
      </c>
      <c r="D23" s="5" t="str">
        <f>VLOOKUP($B23, Spa!$B:$P, 14, 0)</f>
        <v>Amy</v>
      </c>
      <c r="E23" s="5" t="str">
        <f>VLOOKUP($B23, Spa!$B:$P, 15, 0)</f>
        <v>West</v>
      </c>
      <c r="F23" s="5">
        <f>VLOOKUP(B23, Spa!$B:$E, 3, 0)</f>
        <v>2022</v>
      </c>
      <c r="G23" s="6">
        <f>VLOOKUP(B23, Spa!$B:$E, 4, 0)</f>
        <v>44621</v>
      </c>
      <c r="H23" s="5" t="str">
        <f t="shared" si="7"/>
        <v>20223</v>
      </c>
      <c r="I23" s="5" t="str">
        <f>VLOOKUP(B23, Spa!$B:$L, 10, 0)</f>
        <v>Yes</v>
      </c>
      <c r="J23" s="16">
        <v>16589.580000000002</v>
      </c>
      <c r="K23" s="16"/>
      <c r="L23" s="16"/>
      <c r="M23" s="16"/>
      <c r="N23" s="16">
        <v>306.11</v>
      </c>
      <c r="O23" s="16">
        <v>706.36</v>
      </c>
      <c r="P23" s="16">
        <v>676.55</v>
      </c>
      <c r="Q23" s="16"/>
      <c r="R23" s="16">
        <v>4923.76</v>
      </c>
      <c r="S23" s="16">
        <v>345.7</v>
      </c>
      <c r="T23" s="16"/>
      <c r="U23" s="16"/>
      <c r="V23" s="16"/>
      <c r="X23" s="14">
        <f>SUM($K23:K23)</f>
        <v>0</v>
      </c>
      <c r="Y23" s="14">
        <f>SUM($K23:L23)</f>
        <v>0</v>
      </c>
      <c r="Z23" s="14">
        <f>SUM($K23:M23)</f>
        <v>0</v>
      </c>
      <c r="AA23" s="14">
        <f>SUM($K23:N23)</f>
        <v>306.11</v>
      </c>
      <c r="AB23" s="14">
        <f>SUM($K23:O23)</f>
        <v>1012.47</v>
      </c>
      <c r="AC23" s="14">
        <f>SUM($K23:P23)</f>
        <v>1689.02</v>
      </c>
      <c r="AD23" s="14">
        <f>SUM($K23:Q23)</f>
        <v>1689.02</v>
      </c>
      <c r="AE23" s="14">
        <f>SUM($K23:R23)</f>
        <v>6612.7800000000007</v>
      </c>
      <c r="AF23" s="14">
        <f>SUM($K23:S23)</f>
        <v>6958.4800000000005</v>
      </c>
      <c r="AG23" s="14">
        <f>SUM($K23:T23)</f>
        <v>6958.4800000000005</v>
      </c>
      <c r="AH23" s="14">
        <f>SUM($K23:U23)</f>
        <v>6958.4800000000005</v>
      </c>
      <c r="AI23" s="14">
        <f>SUM($K23:V23)</f>
        <v>6958.4800000000005</v>
      </c>
    </row>
    <row r="24" spans="1:35">
      <c r="A24" s="5">
        <v>17</v>
      </c>
      <c r="B24" s="5">
        <v>25016</v>
      </c>
      <c r="C24" s="5" t="s">
        <v>122</v>
      </c>
      <c r="D24" s="5" t="str">
        <f>VLOOKUP($B24, Spa!$B:$P, 14, 0)</f>
        <v>Lisa</v>
      </c>
      <c r="E24" s="5" t="str">
        <f>VLOOKUP($B24, Spa!$B:$P, 15, 0)</f>
        <v>Southeast</v>
      </c>
      <c r="F24" s="5">
        <f>VLOOKUP(B24, Spa!$B:$E, 3, 0)</f>
        <v>2022</v>
      </c>
      <c r="G24" s="6">
        <f>VLOOKUP(B24, Spa!$B:$E, 4, 0)</f>
        <v>44652</v>
      </c>
      <c r="H24" s="5" t="str">
        <f t="shared" si="7"/>
        <v>20224</v>
      </c>
      <c r="I24" s="5" t="str">
        <f>VLOOKUP(B24, Spa!$B:$L, 10, 0)</f>
        <v>Yes</v>
      </c>
      <c r="J24" s="16">
        <v>21196.78</v>
      </c>
      <c r="K24" s="16">
        <v>616.5</v>
      </c>
      <c r="L24" s="16">
        <v>1583.3</v>
      </c>
      <c r="M24" s="16">
        <v>1111.8499999999999</v>
      </c>
      <c r="N24" s="16"/>
      <c r="O24" s="16"/>
      <c r="P24" s="16"/>
      <c r="Q24" s="16">
        <v>1661.98</v>
      </c>
      <c r="R24" s="16"/>
      <c r="S24" s="16"/>
      <c r="T24" s="16">
        <v>0</v>
      </c>
      <c r="U24" s="16">
        <v>2597.5</v>
      </c>
      <c r="V24" s="16"/>
      <c r="X24" s="14">
        <f>SUM($K24:K24)</f>
        <v>616.5</v>
      </c>
      <c r="Y24" s="14">
        <f>SUM($K24:L24)</f>
        <v>2199.8000000000002</v>
      </c>
      <c r="Z24" s="14">
        <f>SUM($K24:M24)</f>
        <v>3311.65</v>
      </c>
      <c r="AA24" s="14">
        <f>SUM($K24:N24)</f>
        <v>3311.65</v>
      </c>
      <c r="AB24" s="14">
        <f>SUM($K24:O24)</f>
        <v>3311.65</v>
      </c>
      <c r="AC24" s="14">
        <f>SUM($K24:P24)</f>
        <v>3311.65</v>
      </c>
      <c r="AD24" s="14">
        <f>SUM($K24:Q24)</f>
        <v>4973.63</v>
      </c>
      <c r="AE24" s="14">
        <f>SUM($K24:R24)</f>
        <v>4973.63</v>
      </c>
      <c r="AF24" s="14">
        <f>SUM($K24:S24)</f>
        <v>4973.63</v>
      </c>
      <c r="AG24" s="14">
        <f>SUM($K24:T24)</f>
        <v>4973.63</v>
      </c>
      <c r="AH24" s="14">
        <f>SUM($K24:U24)</f>
        <v>7571.13</v>
      </c>
      <c r="AI24" s="14">
        <f>SUM($K24:V24)</f>
        <v>7571.13</v>
      </c>
    </row>
    <row r="25" spans="1:35">
      <c r="A25" s="5">
        <v>18</v>
      </c>
      <c r="B25" s="5">
        <v>25018</v>
      </c>
      <c r="C25" s="5" t="s">
        <v>145</v>
      </c>
      <c r="D25" s="5" t="str">
        <f>VLOOKUP($B25, Spa!$B:$P, 14, 0)</f>
        <v>Lisa</v>
      </c>
      <c r="E25" s="5" t="str">
        <f>VLOOKUP($B25, Spa!$B:$P, 15, 0)</f>
        <v>Southeast</v>
      </c>
      <c r="F25" s="5">
        <f>VLOOKUP(B25, Spa!$B:$E, 3, 0)</f>
        <v>2022</v>
      </c>
      <c r="G25" s="6">
        <f>VLOOKUP(B25, Spa!$B:$E, 4, 0)</f>
        <v>44743</v>
      </c>
      <c r="H25" s="5" t="str">
        <f t="shared" si="7"/>
        <v>20227</v>
      </c>
      <c r="I25" s="5" t="str">
        <f>VLOOKUP(B25, Spa!$B:$L, 10, 0)</f>
        <v>No</v>
      </c>
      <c r="J25" s="16">
        <v>8694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X25" s="14">
        <f>SUM($K25:K25)</f>
        <v>0</v>
      </c>
      <c r="Y25" s="14">
        <f>SUM($K25:L25)</f>
        <v>0</v>
      </c>
      <c r="Z25" s="14">
        <f>SUM($K25:M25)</f>
        <v>0</v>
      </c>
      <c r="AA25" s="14">
        <f>SUM($K25:N25)</f>
        <v>0</v>
      </c>
      <c r="AB25" s="14">
        <f>SUM($K25:O25)</f>
        <v>0</v>
      </c>
      <c r="AC25" s="14">
        <f>SUM($K25:P25)</f>
        <v>0</v>
      </c>
      <c r="AD25" s="14">
        <f>SUM($K25:Q25)</f>
        <v>0</v>
      </c>
      <c r="AE25" s="14">
        <f>SUM($K25:R25)</f>
        <v>0</v>
      </c>
      <c r="AF25" s="14">
        <f>SUM($K25:S25)</f>
        <v>0</v>
      </c>
      <c r="AG25" s="14">
        <f>SUM($K25:T25)</f>
        <v>0</v>
      </c>
      <c r="AH25" s="14">
        <f>SUM($K25:U25)</f>
        <v>0</v>
      </c>
      <c r="AI25" s="14">
        <f>SUM($K25:V25)</f>
        <v>0</v>
      </c>
    </row>
    <row r="26" spans="1:35">
      <c r="A26" s="5">
        <v>19</v>
      </c>
      <c r="B26" s="5">
        <v>25019</v>
      </c>
      <c r="C26" s="5" t="s">
        <v>146</v>
      </c>
      <c r="D26" s="5" t="str">
        <f>VLOOKUP($B26, Spa!$B:$P, 14, 0)</f>
        <v>Lisa</v>
      </c>
      <c r="E26" s="5" t="str">
        <f>VLOOKUP($B26, Spa!$B:$P, 15, 0)</f>
        <v>Southeast</v>
      </c>
      <c r="F26" s="5">
        <f>VLOOKUP(B26, Spa!$B:$E, 3, 0)</f>
        <v>2022</v>
      </c>
      <c r="G26" s="6">
        <f>VLOOKUP(B26, Spa!$B:$E, 4, 0)</f>
        <v>44713</v>
      </c>
      <c r="H26" s="5" t="str">
        <f t="shared" si="7"/>
        <v>20226</v>
      </c>
      <c r="I26" s="5" t="str">
        <f>VLOOKUP(B26, Spa!$B:$L, 10, 0)</f>
        <v>No</v>
      </c>
      <c r="J26" s="16">
        <v>3203.8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X26" s="14">
        <f>SUM($K26:K26)</f>
        <v>0</v>
      </c>
      <c r="Y26" s="14">
        <f>SUM($K26:L26)</f>
        <v>0</v>
      </c>
      <c r="Z26" s="14">
        <f>SUM($K26:M26)</f>
        <v>0</v>
      </c>
      <c r="AA26" s="14">
        <f>SUM($K26:N26)</f>
        <v>0</v>
      </c>
      <c r="AB26" s="14">
        <f>SUM($K26:O26)</f>
        <v>0</v>
      </c>
      <c r="AC26" s="14">
        <f>SUM($K26:P26)</f>
        <v>0</v>
      </c>
      <c r="AD26" s="14">
        <f>SUM($K26:Q26)</f>
        <v>0</v>
      </c>
      <c r="AE26" s="14">
        <f>SUM($K26:R26)</f>
        <v>0</v>
      </c>
      <c r="AF26" s="14">
        <f>SUM($K26:S26)</f>
        <v>0</v>
      </c>
      <c r="AG26" s="14">
        <f>SUM($K26:T26)</f>
        <v>0</v>
      </c>
      <c r="AH26" s="14">
        <f>SUM($K26:U26)</f>
        <v>0</v>
      </c>
      <c r="AI26" s="14">
        <f>SUM($K26:V26)</f>
        <v>0</v>
      </c>
    </row>
    <row r="27" spans="1:35">
      <c r="A27" s="5">
        <v>20</v>
      </c>
      <c r="B27" s="5">
        <v>25020</v>
      </c>
      <c r="C27" s="5" t="s">
        <v>147</v>
      </c>
      <c r="D27" s="5" t="str">
        <f>VLOOKUP($B27, Spa!$B:$P, 14, 0)</f>
        <v>Lisa</v>
      </c>
      <c r="E27" s="5" t="str">
        <f>VLOOKUP($B27, Spa!$B:$P, 15, 0)</f>
        <v>Southeast</v>
      </c>
      <c r="F27" s="5">
        <f>VLOOKUP(B27, Spa!$B:$E, 3, 0)</f>
        <v>2022</v>
      </c>
      <c r="G27" s="6">
        <f>VLOOKUP(B27, Spa!$B:$E, 4, 0)</f>
        <v>44743</v>
      </c>
      <c r="H27" s="5" t="str">
        <f t="shared" si="7"/>
        <v>20227</v>
      </c>
      <c r="I27" s="5" t="str">
        <f>VLOOKUP(B27, Spa!$B:$L, 10, 0)</f>
        <v>No</v>
      </c>
      <c r="J27" s="16">
        <v>7514.3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X27" s="14">
        <f>SUM($K27:K27)</f>
        <v>0</v>
      </c>
      <c r="Y27" s="14">
        <f>SUM($K27:L27)</f>
        <v>0</v>
      </c>
      <c r="Z27" s="14">
        <f>SUM($K27:M27)</f>
        <v>0</v>
      </c>
      <c r="AA27" s="14">
        <f>SUM($K27:N27)</f>
        <v>0</v>
      </c>
      <c r="AB27" s="14">
        <f>SUM($K27:O27)</f>
        <v>0</v>
      </c>
      <c r="AC27" s="14">
        <f>SUM($K27:P27)</f>
        <v>0</v>
      </c>
      <c r="AD27" s="14">
        <f>SUM($K27:Q27)</f>
        <v>0</v>
      </c>
      <c r="AE27" s="14">
        <f>SUM($K27:R27)</f>
        <v>0</v>
      </c>
      <c r="AF27" s="14">
        <f>SUM($K27:S27)</f>
        <v>0</v>
      </c>
      <c r="AG27" s="14">
        <f>SUM($K27:T27)</f>
        <v>0</v>
      </c>
      <c r="AH27" s="14">
        <f>SUM($K27:U27)</f>
        <v>0</v>
      </c>
      <c r="AI27" s="14">
        <f>SUM($K27:V27)</f>
        <v>0</v>
      </c>
    </row>
    <row r="28" spans="1:35">
      <c r="A28" s="5">
        <v>21</v>
      </c>
      <c r="B28" s="5">
        <v>25021</v>
      </c>
      <c r="C28" s="5" t="s">
        <v>148</v>
      </c>
      <c r="D28" s="5" t="str">
        <f>VLOOKUP($B28, Spa!$B:$P, 14, 0)</f>
        <v>Amy</v>
      </c>
      <c r="E28" s="5" t="str">
        <f>VLOOKUP($B28, Spa!$B:$P, 15, 0)</f>
        <v>Central</v>
      </c>
      <c r="F28" s="5" t="str">
        <f>VLOOKUP(B28, Spa!$B:$E, 3, 0)</f>
        <v>N/A</v>
      </c>
      <c r="G28" s="6" t="str">
        <f>VLOOKUP(B28, Spa!$B:$E, 4, 0)</f>
        <v>N/A</v>
      </c>
      <c r="H28" s="5" t="e">
        <f t="shared" si="7"/>
        <v>#VALUE!</v>
      </c>
      <c r="I28" s="5" t="str">
        <f>VLOOKUP(B28, Spa!$B:$L, 10, 0)</f>
        <v>No</v>
      </c>
      <c r="J28" s="16">
        <v>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X28" s="14">
        <f>SUM($K28:K28)</f>
        <v>0</v>
      </c>
      <c r="Y28" s="14">
        <f>SUM($K28:L28)</f>
        <v>0</v>
      </c>
      <c r="Z28" s="14">
        <f>SUM($K28:M28)</f>
        <v>0</v>
      </c>
      <c r="AA28" s="14">
        <f>SUM($K28:N28)</f>
        <v>0</v>
      </c>
      <c r="AB28" s="14">
        <f>SUM($K28:O28)</f>
        <v>0</v>
      </c>
      <c r="AC28" s="14">
        <f>SUM($K28:P28)</f>
        <v>0</v>
      </c>
      <c r="AD28" s="14">
        <f>SUM($K28:Q28)</f>
        <v>0</v>
      </c>
      <c r="AE28" s="14">
        <f>SUM($K28:R28)</f>
        <v>0</v>
      </c>
      <c r="AF28" s="14">
        <f>SUM($K28:S28)</f>
        <v>0</v>
      </c>
      <c r="AG28" s="14">
        <f>SUM($K28:T28)</f>
        <v>0</v>
      </c>
      <c r="AH28" s="14">
        <f>SUM($K28:U28)</f>
        <v>0</v>
      </c>
      <c r="AI28" s="14">
        <f>SUM($K28:V28)</f>
        <v>0</v>
      </c>
    </row>
    <row r="29" spans="1:35">
      <c r="A29" s="5">
        <v>22</v>
      </c>
      <c r="B29" s="5">
        <v>25022</v>
      </c>
      <c r="C29" s="5" t="s">
        <v>149</v>
      </c>
      <c r="D29" s="5" t="str">
        <f>VLOOKUP($B29, Spa!$B:$P, 14, 0)</f>
        <v>Amy</v>
      </c>
      <c r="E29" s="5" t="str">
        <f>VLOOKUP($B29, Spa!$B:$P, 15, 0)</f>
        <v>Central</v>
      </c>
      <c r="F29" s="5">
        <f>VLOOKUP(B29, Spa!$B:$E, 3, 0)</f>
        <v>2022</v>
      </c>
      <c r="G29" s="6">
        <f>VLOOKUP(B29, Spa!$B:$E, 4, 0)</f>
        <v>44774</v>
      </c>
      <c r="H29" s="5" t="str">
        <f t="shared" si="7"/>
        <v>20228</v>
      </c>
      <c r="I29" s="5" t="str">
        <f>VLOOKUP(B29, Spa!$B:$L, 10, 0)</f>
        <v>No</v>
      </c>
      <c r="J29" s="16">
        <v>2997.3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X29" s="14">
        <f>SUM($K29:K29)</f>
        <v>0</v>
      </c>
      <c r="Y29" s="14">
        <f>SUM($K29:L29)</f>
        <v>0</v>
      </c>
      <c r="Z29" s="14">
        <f>SUM($K29:M29)</f>
        <v>0</v>
      </c>
      <c r="AA29" s="14">
        <f>SUM($K29:N29)</f>
        <v>0</v>
      </c>
      <c r="AB29" s="14">
        <f>SUM($K29:O29)</f>
        <v>0</v>
      </c>
      <c r="AC29" s="14">
        <f>SUM($K29:P29)</f>
        <v>0</v>
      </c>
      <c r="AD29" s="14">
        <f>SUM($K29:Q29)</f>
        <v>0</v>
      </c>
      <c r="AE29" s="14">
        <f>SUM($K29:R29)</f>
        <v>0</v>
      </c>
      <c r="AF29" s="14">
        <f>SUM($K29:S29)</f>
        <v>0</v>
      </c>
      <c r="AG29" s="14">
        <f>SUM($K29:T29)</f>
        <v>0</v>
      </c>
      <c r="AH29" s="14">
        <f>SUM($K29:U29)</f>
        <v>0</v>
      </c>
      <c r="AI29" s="14">
        <f>SUM($K29:V29)</f>
        <v>0</v>
      </c>
    </row>
    <row r="30" spans="1:35">
      <c r="A30" s="5">
        <v>23</v>
      </c>
      <c r="B30" s="5">
        <v>25023</v>
      </c>
      <c r="C30" s="5" t="s">
        <v>150</v>
      </c>
      <c r="D30" s="5" t="str">
        <f>VLOOKUP($B30, Spa!$B:$P, 14, 0)</f>
        <v>Amy</v>
      </c>
      <c r="E30" s="5" t="str">
        <f>VLOOKUP($B30, Spa!$B:$P, 15, 0)</f>
        <v>Central</v>
      </c>
      <c r="F30" s="5">
        <f>VLOOKUP(B30, Spa!$B:$E, 3, 0)</f>
        <v>2022</v>
      </c>
      <c r="G30" s="6">
        <f>VLOOKUP(B30, Spa!$B:$E, 4, 0)</f>
        <v>44805</v>
      </c>
      <c r="H30" s="5" t="str">
        <f t="shared" si="7"/>
        <v>20229</v>
      </c>
      <c r="I30" s="5" t="str">
        <f>VLOOKUP(B30, Spa!$B:$L, 10, 0)</f>
        <v>Yes</v>
      </c>
      <c r="J30" s="16">
        <v>15579.78</v>
      </c>
      <c r="K30" s="16">
        <v>1010.07</v>
      </c>
      <c r="L30" s="16"/>
      <c r="M30" s="16"/>
      <c r="N30" s="16">
        <v>1390.84</v>
      </c>
      <c r="O30" s="16">
        <v>1045.2</v>
      </c>
      <c r="P30" s="16"/>
      <c r="Q30" s="16">
        <v>564.80999999999995</v>
      </c>
      <c r="R30" s="16">
        <v>1099.72</v>
      </c>
      <c r="S30" s="16">
        <v>1260.8</v>
      </c>
      <c r="T30" s="16"/>
      <c r="U30" s="16">
        <v>411.54</v>
      </c>
      <c r="V30" s="16"/>
      <c r="X30" s="14">
        <f>SUM($K30:K30)</f>
        <v>1010.07</v>
      </c>
      <c r="Y30" s="14">
        <f>SUM($K30:L30)</f>
        <v>1010.07</v>
      </c>
      <c r="Z30" s="14">
        <f>SUM($K30:M30)</f>
        <v>1010.07</v>
      </c>
      <c r="AA30" s="14">
        <f>SUM($K30:N30)</f>
        <v>2400.91</v>
      </c>
      <c r="AB30" s="14">
        <f>SUM($K30:O30)</f>
        <v>3446.1099999999997</v>
      </c>
      <c r="AC30" s="14">
        <f>SUM($K30:P30)</f>
        <v>3446.1099999999997</v>
      </c>
      <c r="AD30" s="14">
        <f>SUM($K30:Q30)</f>
        <v>4010.9199999999996</v>
      </c>
      <c r="AE30" s="14">
        <f>SUM($K30:R30)</f>
        <v>5110.6399999999994</v>
      </c>
      <c r="AF30" s="14">
        <f>SUM($K30:S30)</f>
        <v>6371.44</v>
      </c>
      <c r="AG30" s="14">
        <f>SUM($K30:T30)</f>
        <v>6371.44</v>
      </c>
      <c r="AH30" s="14">
        <f>SUM($K30:U30)</f>
        <v>6782.98</v>
      </c>
      <c r="AI30" s="14">
        <f>SUM($K30:V30)</f>
        <v>6782.98</v>
      </c>
    </row>
    <row r="31" spans="1:35">
      <c r="A31" s="5">
        <v>24</v>
      </c>
      <c r="B31" s="5">
        <v>25024</v>
      </c>
      <c r="C31" s="5" t="s">
        <v>128</v>
      </c>
      <c r="D31" s="5" t="str">
        <f>VLOOKUP($B31, Spa!$B:$P, 14, 0)</f>
        <v>Lisa</v>
      </c>
      <c r="E31" s="5" t="str">
        <f>VLOOKUP($B31, Spa!$B:$P, 15, 0)</f>
        <v>Southeast</v>
      </c>
      <c r="F31" s="5">
        <f>VLOOKUP(B31, Spa!$B:$E, 3, 0)</f>
        <v>2022</v>
      </c>
      <c r="G31" s="6">
        <f>VLOOKUP(B31, Spa!$B:$E, 4, 0)</f>
        <v>44835</v>
      </c>
      <c r="H31" s="5" t="str">
        <f t="shared" si="7"/>
        <v>202210</v>
      </c>
      <c r="I31" s="5" t="str">
        <f>VLOOKUP(B31, Spa!$B:$L, 10, 0)</f>
        <v>Yes</v>
      </c>
      <c r="J31" s="16">
        <v>9553.84</v>
      </c>
      <c r="K31" s="16"/>
      <c r="L31" s="16"/>
      <c r="M31" s="16">
        <v>4686.34</v>
      </c>
      <c r="N31" s="16"/>
      <c r="O31" s="16"/>
      <c r="P31" s="16"/>
      <c r="Q31" s="16"/>
      <c r="R31" s="16"/>
      <c r="S31" s="16"/>
      <c r="T31" s="16"/>
      <c r="U31" s="16"/>
      <c r="V31" s="16">
        <v>-2142.1</v>
      </c>
      <c r="X31" s="14">
        <f>SUM($K31:K31)</f>
        <v>0</v>
      </c>
      <c r="Y31" s="14">
        <f>SUM($K31:L31)</f>
        <v>0</v>
      </c>
      <c r="Z31" s="14">
        <f>SUM($K31:M31)</f>
        <v>4686.34</v>
      </c>
      <c r="AA31" s="14">
        <f>SUM($K31:N31)</f>
        <v>4686.34</v>
      </c>
      <c r="AB31" s="14">
        <f>SUM($K31:O31)</f>
        <v>4686.34</v>
      </c>
      <c r="AC31" s="14">
        <f>SUM($K31:P31)</f>
        <v>4686.34</v>
      </c>
      <c r="AD31" s="14">
        <f>SUM($K31:Q31)</f>
        <v>4686.34</v>
      </c>
      <c r="AE31" s="14">
        <f>SUM($K31:R31)</f>
        <v>4686.34</v>
      </c>
      <c r="AF31" s="14">
        <f>SUM($K31:S31)</f>
        <v>4686.34</v>
      </c>
      <c r="AG31" s="14">
        <f>SUM($K31:T31)</f>
        <v>4686.34</v>
      </c>
      <c r="AH31" s="14">
        <f>SUM($K31:U31)</f>
        <v>4686.34</v>
      </c>
      <c r="AI31" s="14">
        <f>SUM($K31:V31)</f>
        <v>2544.2400000000002</v>
      </c>
    </row>
    <row r="32" spans="1:35">
      <c r="A32" s="5">
        <v>25</v>
      </c>
      <c r="B32" s="5">
        <v>25025</v>
      </c>
      <c r="C32" s="5" t="s">
        <v>151</v>
      </c>
      <c r="D32" s="5" t="str">
        <f>VLOOKUP($B32, Spa!$B:$P, 14, 0)</f>
        <v>Lisa</v>
      </c>
      <c r="E32" s="5" t="str">
        <f>VLOOKUP($B32, Spa!$B:$P, 15, 0)</f>
        <v>Southeast</v>
      </c>
      <c r="F32" s="5" t="str">
        <f>VLOOKUP(B32, Spa!$B:$E, 3, 0)</f>
        <v>N/A</v>
      </c>
      <c r="G32" s="6" t="str">
        <f>VLOOKUP(B32, Spa!$B:$E, 4, 0)</f>
        <v>N/A</v>
      </c>
      <c r="H32" s="5" t="e">
        <f t="shared" si="7"/>
        <v>#VALUE!</v>
      </c>
      <c r="I32" s="5" t="str">
        <f>VLOOKUP(B32, Spa!$B:$L, 10, 0)</f>
        <v>No</v>
      </c>
      <c r="J32" s="16">
        <v>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X32" s="14">
        <f>SUM($K32:K32)</f>
        <v>0</v>
      </c>
      <c r="Y32" s="14">
        <f>SUM($K32:L32)</f>
        <v>0</v>
      </c>
      <c r="Z32" s="14">
        <f>SUM($K32:M32)</f>
        <v>0</v>
      </c>
      <c r="AA32" s="14">
        <f>SUM($K32:N32)</f>
        <v>0</v>
      </c>
      <c r="AB32" s="14">
        <f>SUM($K32:O32)</f>
        <v>0</v>
      </c>
      <c r="AC32" s="14">
        <f>SUM($K32:P32)</f>
        <v>0</v>
      </c>
      <c r="AD32" s="14">
        <f>SUM($K32:Q32)</f>
        <v>0</v>
      </c>
      <c r="AE32" s="14">
        <f>SUM($K32:R32)</f>
        <v>0</v>
      </c>
      <c r="AF32" s="14">
        <f>SUM($K32:S32)</f>
        <v>0</v>
      </c>
      <c r="AG32" s="14">
        <f>SUM($K32:T32)</f>
        <v>0</v>
      </c>
      <c r="AH32" s="14">
        <f>SUM($K32:U32)</f>
        <v>0</v>
      </c>
      <c r="AI32" s="14">
        <f>SUM($K32:V32)</f>
        <v>0</v>
      </c>
    </row>
    <row r="33" spans="1:35">
      <c r="A33" s="5">
        <v>26</v>
      </c>
      <c r="B33" s="5">
        <v>25026</v>
      </c>
      <c r="C33" s="5" t="s">
        <v>123</v>
      </c>
      <c r="D33" s="5" t="str">
        <f>VLOOKUP($B33, Spa!$B:$P, 14, 0)</f>
        <v>Lisa</v>
      </c>
      <c r="E33" s="5" t="str">
        <f>VLOOKUP($B33, Spa!$B:$P, 15, 0)</f>
        <v>Southeast</v>
      </c>
      <c r="F33" s="5">
        <f>VLOOKUP(B33, Spa!$B:$E, 3, 0)</f>
        <v>2023</v>
      </c>
      <c r="G33" s="6">
        <f>VLOOKUP(B33, Spa!$B:$E, 4, 0)</f>
        <v>44927</v>
      </c>
      <c r="H33" s="5" t="str">
        <f t="shared" si="7"/>
        <v>20231</v>
      </c>
      <c r="I33" s="5" t="str">
        <f>VLOOKUP(B33, Spa!$B:$L, 10, 0)</f>
        <v>Yes</v>
      </c>
      <c r="J33" s="16">
        <v>10735.11</v>
      </c>
      <c r="K33" s="16">
        <v>7146.35</v>
      </c>
      <c r="L33" s="16"/>
      <c r="M33" s="16"/>
      <c r="N33" s="16"/>
      <c r="O33" s="16"/>
      <c r="P33" s="16"/>
      <c r="Q33" s="16"/>
      <c r="R33" s="16">
        <v>3588.76</v>
      </c>
      <c r="S33" s="16"/>
      <c r="T33" s="16"/>
      <c r="U33" s="16"/>
      <c r="V33" s="16"/>
      <c r="X33" s="14">
        <f>SUM($K33:K33)</f>
        <v>7146.35</v>
      </c>
      <c r="Y33" s="14">
        <f>SUM($K33:L33)</f>
        <v>7146.35</v>
      </c>
      <c r="Z33" s="14">
        <f>SUM($K33:M33)</f>
        <v>7146.35</v>
      </c>
      <c r="AA33" s="14">
        <f>SUM($K33:N33)</f>
        <v>7146.35</v>
      </c>
      <c r="AB33" s="14">
        <f>SUM($K33:O33)</f>
        <v>7146.35</v>
      </c>
      <c r="AC33" s="14">
        <f>SUM($K33:P33)</f>
        <v>7146.35</v>
      </c>
      <c r="AD33" s="14">
        <f>SUM($K33:Q33)</f>
        <v>7146.35</v>
      </c>
      <c r="AE33" s="14">
        <f>SUM($K33:R33)</f>
        <v>10735.11</v>
      </c>
      <c r="AF33" s="14">
        <f>SUM($K33:S33)</f>
        <v>10735.11</v>
      </c>
      <c r="AG33" s="14">
        <f>SUM($K33:T33)</f>
        <v>10735.11</v>
      </c>
      <c r="AH33" s="14">
        <f>SUM($K33:U33)</f>
        <v>10735.11</v>
      </c>
      <c r="AI33" s="14">
        <f>SUM($K33:V33)</f>
        <v>10735.11</v>
      </c>
    </row>
    <row r="34" spans="1:35">
      <c r="A34" s="5">
        <v>27</v>
      </c>
      <c r="B34" s="5">
        <v>25027</v>
      </c>
      <c r="C34" s="5" t="s">
        <v>102</v>
      </c>
      <c r="D34" s="5" t="str">
        <f>VLOOKUP($B34, Spa!$B:$P, 14, 0)</f>
        <v>Amy</v>
      </c>
      <c r="E34" s="5" t="str">
        <f>VLOOKUP($B34, Spa!$B:$P, 15, 0)</f>
        <v>West</v>
      </c>
      <c r="F34" s="5">
        <f>VLOOKUP(B34, Spa!$B:$E, 3, 0)</f>
        <v>2022</v>
      </c>
      <c r="G34" s="6">
        <f>VLOOKUP(B34, Spa!$B:$E, 4, 0)</f>
        <v>44896</v>
      </c>
      <c r="H34" s="5" t="str">
        <f t="shared" si="7"/>
        <v>202212</v>
      </c>
      <c r="I34" s="5" t="str">
        <f>VLOOKUP(B34, Spa!$B:$L, 10, 0)</f>
        <v>Yes</v>
      </c>
      <c r="J34" s="16">
        <v>76587.88</v>
      </c>
      <c r="K34" s="16"/>
      <c r="L34" s="16">
        <v>1765.1</v>
      </c>
      <c r="M34" s="16">
        <v>5063.8999999999996</v>
      </c>
      <c r="N34" s="16">
        <v>1742.32</v>
      </c>
      <c r="O34" s="16">
        <v>11212</v>
      </c>
      <c r="P34" s="16">
        <v>3531.32</v>
      </c>
      <c r="Q34" s="16">
        <v>5218.84</v>
      </c>
      <c r="R34" s="16">
        <v>2435</v>
      </c>
      <c r="S34" s="16">
        <v>20959.400000000001</v>
      </c>
      <c r="T34" s="16">
        <v>704.34</v>
      </c>
      <c r="U34" s="16"/>
      <c r="V34" s="16">
        <v>4593.08</v>
      </c>
      <c r="X34" s="14">
        <f>SUM($K34:K34)</f>
        <v>0</v>
      </c>
      <c r="Y34" s="14">
        <f>SUM($K34:L34)</f>
        <v>1765.1</v>
      </c>
      <c r="Z34" s="14">
        <f>SUM($K34:M34)</f>
        <v>6829</v>
      </c>
      <c r="AA34" s="14">
        <f>SUM($K34:N34)</f>
        <v>8571.32</v>
      </c>
      <c r="AB34" s="14">
        <f>SUM($K34:O34)</f>
        <v>19783.32</v>
      </c>
      <c r="AC34" s="14">
        <f>SUM($K34:P34)</f>
        <v>23314.639999999999</v>
      </c>
      <c r="AD34" s="14">
        <f>SUM($K34:Q34)</f>
        <v>28533.48</v>
      </c>
      <c r="AE34" s="14">
        <f>SUM($K34:R34)</f>
        <v>30968.48</v>
      </c>
      <c r="AF34" s="14">
        <f>SUM($K34:S34)</f>
        <v>51927.880000000005</v>
      </c>
      <c r="AG34" s="14">
        <f>SUM($K34:T34)</f>
        <v>52632.22</v>
      </c>
      <c r="AH34" s="14">
        <f>SUM($K34:U34)</f>
        <v>52632.22</v>
      </c>
      <c r="AI34" s="14">
        <f>SUM($K34:V34)</f>
        <v>57225.3</v>
      </c>
    </row>
    <row r="35" spans="1:35">
      <c r="A35" s="5">
        <v>28</v>
      </c>
      <c r="B35" s="5">
        <v>25028</v>
      </c>
      <c r="C35" s="5" t="s">
        <v>152</v>
      </c>
      <c r="D35" s="5" t="str">
        <f>VLOOKUP($B35, Spa!$B:$P, 14, 0)</f>
        <v>Emily</v>
      </c>
      <c r="E35" s="5" t="str">
        <f>VLOOKUP($B35, Spa!$B:$P, 15, 0)</f>
        <v>Northeast</v>
      </c>
      <c r="F35" s="5">
        <f>VLOOKUP(B35, Spa!$B:$E, 3, 0)</f>
        <v>2023</v>
      </c>
      <c r="G35" s="6">
        <f>VLOOKUP(B35, Spa!$B:$E, 4, 0)</f>
        <v>44927</v>
      </c>
      <c r="H35" s="5" t="str">
        <f t="shared" si="7"/>
        <v>20231</v>
      </c>
      <c r="I35" s="5" t="str">
        <f>VLOOKUP(B35, Spa!$B:$L, 10, 0)</f>
        <v>No</v>
      </c>
      <c r="J35" s="16">
        <v>2978</v>
      </c>
      <c r="K35" s="16">
        <v>5034</v>
      </c>
      <c r="L35" s="16"/>
      <c r="M35" s="16"/>
      <c r="N35" s="16"/>
      <c r="O35" s="16">
        <v>-2056</v>
      </c>
      <c r="P35" s="16"/>
      <c r="Q35" s="16"/>
      <c r="R35" s="16"/>
      <c r="S35" s="16"/>
      <c r="T35" s="16"/>
      <c r="U35" s="16"/>
      <c r="V35" s="16"/>
      <c r="X35" s="14">
        <f>SUM($K35:K35)</f>
        <v>5034</v>
      </c>
      <c r="Y35" s="14">
        <f>SUM($K35:L35)</f>
        <v>5034</v>
      </c>
      <c r="Z35" s="14">
        <f>SUM($K35:M35)</f>
        <v>5034</v>
      </c>
      <c r="AA35" s="14">
        <f>SUM($K35:N35)</f>
        <v>5034</v>
      </c>
      <c r="AB35" s="14">
        <f>SUM($K35:O35)</f>
        <v>2978</v>
      </c>
      <c r="AC35" s="14">
        <f>SUM($K35:P35)</f>
        <v>2978</v>
      </c>
      <c r="AD35" s="14">
        <f>SUM($K35:Q35)</f>
        <v>2978</v>
      </c>
      <c r="AE35" s="14">
        <f>SUM($K35:R35)</f>
        <v>2978</v>
      </c>
      <c r="AF35" s="14">
        <f>SUM($K35:S35)</f>
        <v>2978</v>
      </c>
      <c r="AG35" s="14">
        <f>SUM($K35:T35)</f>
        <v>2978</v>
      </c>
      <c r="AH35" s="14">
        <f>SUM($K35:U35)</f>
        <v>2978</v>
      </c>
      <c r="AI35" s="14">
        <f>SUM($K35:V35)</f>
        <v>2978</v>
      </c>
    </row>
    <row r="36" spans="1:35">
      <c r="A36" s="5">
        <v>29</v>
      </c>
      <c r="B36" s="5">
        <v>25029</v>
      </c>
      <c r="C36" s="5" t="s">
        <v>124</v>
      </c>
      <c r="D36" s="5" t="str">
        <f>VLOOKUP($B36, Spa!$B:$P, 14, 0)</f>
        <v>Lisa</v>
      </c>
      <c r="E36" s="5" t="str">
        <f>VLOOKUP($B36, Spa!$B:$P, 15, 0)</f>
        <v>Southeast</v>
      </c>
      <c r="F36" s="5">
        <f>VLOOKUP(B36, Spa!$B:$E, 3, 0)</f>
        <v>2023</v>
      </c>
      <c r="G36" s="6">
        <f>VLOOKUP(B36, Spa!$B:$E, 4, 0)</f>
        <v>44927</v>
      </c>
      <c r="H36" s="5" t="str">
        <f t="shared" si="7"/>
        <v>20231</v>
      </c>
      <c r="I36" s="5" t="str">
        <f>VLOOKUP(B36, Spa!$B:$L, 10, 0)</f>
        <v>Yes</v>
      </c>
      <c r="J36" s="16">
        <v>3872.89</v>
      </c>
      <c r="K36" s="16">
        <v>3087.1</v>
      </c>
      <c r="L36" s="16">
        <v>0</v>
      </c>
      <c r="M36" s="16"/>
      <c r="N36" s="16"/>
      <c r="O36" s="16"/>
      <c r="P36" s="16">
        <v>2180.89</v>
      </c>
      <c r="Q36" s="16"/>
      <c r="R36" s="16"/>
      <c r="S36" s="16"/>
      <c r="T36" s="16">
        <v>1692</v>
      </c>
      <c r="U36" s="16"/>
      <c r="V36" s="16">
        <v>-3087.1</v>
      </c>
      <c r="X36" s="14">
        <f>SUM($K36:K36)</f>
        <v>3087.1</v>
      </c>
      <c r="Y36" s="14">
        <f>SUM($K36:L36)</f>
        <v>3087.1</v>
      </c>
      <c r="Z36" s="14">
        <f>SUM($K36:M36)</f>
        <v>3087.1</v>
      </c>
      <c r="AA36" s="14">
        <f>SUM($K36:N36)</f>
        <v>3087.1</v>
      </c>
      <c r="AB36" s="14">
        <f>SUM($K36:O36)</f>
        <v>3087.1</v>
      </c>
      <c r="AC36" s="14">
        <f>SUM($K36:P36)</f>
        <v>5267.99</v>
      </c>
      <c r="AD36" s="14">
        <f>SUM($K36:Q36)</f>
        <v>5267.99</v>
      </c>
      <c r="AE36" s="14">
        <f>SUM($K36:R36)</f>
        <v>5267.99</v>
      </c>
      <c r="AF36" s="14">
        <f>SUM($K36:S36)</f>
        <v>5267.99</v>
      </c>
      <c r="AG36" s="14">
        <f>SUM($K36:T36)</f>
        <v>6959.99</v>
      </c>
      <c r="AH36" s="14">
        <f>SUM($K36:U36)</f>
        <v>6959.99</v>
      </c>
      <c r="AI36" s="14">
        <f>SUM($K36:V36)</f>
        <v>3872.89</v>
      </c>
    </row>
    <row r="37" spans="1:35">
      <c r="A37" s="5">
        <v>32</v>
      </c>
      <c r="B37" s="5">
        <v>25032</v>
      </c>
      <c r="C37" s="5" t="s">
        <v>103</v>
      </c>
      <c r="D37" s="5" t="str">
        <f>VLOOKUP($B37, Spa!$B:$P, 14, 0)</f>
        <v>Amy</v>
      </c>
      <c r="E37" s="5" t="str">
        <f>VLOOKUP($B37, Spa!$B:$P, 15, 0)</f>
        <v>West</v>
      </c>
      <c r="F37" s="5">
        <f>VLOOKUP(B37, Spa!$B:$E, 3, 0)</f>
        <v>2023</v>
      </c>
      <c r="G37" s="6">
        <f>VLOOKUP(B37, Spa!$B:$E, 4, 0)</f>
        <v>45017</v>
      </c>
      <c r="H37" s="5" t="str">
        <f t="shared" si="7"/>
        <v>20234</v>
      </c>
      <c r="I37" s="5" t="str">
        <f>VLOOKUP(B37, Spa!$B:$L, 10, 0)</f>
        <v>Yes</v>
      </c>
      <c r="J37" s="16">
        <v>43029.09</v>
      </c>
      <c r="K37" s="16"/>
      <c r="L37" s="16"/>
      <c r="M37" s="16"/>
      <c r="N37" s="16">
        <v>4986.6499999999996</v>
      </c>
      <c r="O37" s="16">
        <v>342.79</v>
      </c>
      <c r="P37" s="16">
        <v>1434.2</v>
      </c>
      <c r="Q37" s="16">
        <v>4259.1400000000003</v>
      </c>
      <c r="R37" s="16">
        <v>8021.5</v>
      </c>
      <c r="S37" s="16">
        <v>3274.33</v>
      </c>
      <c r="T37" s="16">
        <v>6470.11</v>
      </c>
      <c r="U37" s="16">
        <v>6291.85</v>
      </c>
      <c r="V37" s="16">
        <v>3702.18</v>
      </c>
      <c r="X37" s="14">
        <f>SUM($K37:K37)</f>
        <v>0</v>
      </c>
      <c r="Y37" s="14">
        <f>SUM($K37:L37)</f>
        <v>0</v>
      </c>
      <c r="Z37" s="14">
        <f>SUM($K37:M37)</f>
        <v>0</v>
      </c>
      <c r="AA37" s="14">
        <f>SUM($K37:N37)</f>
        <v>4986.6499999999996</v>
      </c>
      <c r="AB37" s="14">
        <f>SUM($K37:O37)</f>
        <v>5329.44</v>
      </c>
      <c r="AC37" s="14">
        <f>SUM($K37:P37)</f>
        <v>6763.6399999999994</v>
      </c>
      <c r="AD37" s="14">
        <f>SUM($K37:Q37)</f>
        <v>11022.779999999999</v>
      </c>
      <c r="AE37" s="14">
        <f>SUM($K37:R37)</f>
        <v>19044.28</v>
      </c>
      <c r="AF37" s="14">
        <f>SUM($K37:S37)</f>
        <v>22318.61</v>
      </c>
      <c r="AG37" s="14">
        <f>SUM($K37:T37)</f>
        <v>28788.720000000001</v>
      </c>
      <c r="AH37" s="14">
        <f>SUM($K37:U37)</f>
        <v>35080.57</v>
      </c>
      <c r="AI37" s="14">
        <f>SUM($K37:V37)</f>
        <v>38782.75</v>
      </c>
    </row>
    <row r="38" spans="1:35">
      <c r="A38" s="5">
        <v>33</v>
      </c>
      <c r="B38" s="5">
        <v>25033</v>
      </c>
      <c r="C38" s="5" t="s">
        <v>153</v>
      </c>
      <c r="D38" s="5" t="str">
        <f>VLOOKUP($B38, Spa!$B:$P, 14, 0)</f>
        <v>Emily</v>
      </c>
      <c r="E38" s="5" t="str">
        <f>VLOOKUP($B38, Spa!$B:$P, 15, 0)</f>
        <v>Northeast</v>
      </c>
      <c r="F38" s="5">
        <f>VLOOKUP(B38, Spa!$B:$E, 3, 0)</f>
        <v>2023</v>
      </c>
      <c r="G38" s="6">
        <f>VLOOKUP(B38, Spa!$B:$E, 4, 0)</f>
        <v>45047</v>
      </c>
      <c r="H38" s="5" t="str">
        <f t="shared" si="7"/>
        <v>20235</v>
      </c>
      <c r="I38" s="5" t="str">
        <f>VLOOKUP(B38, Spa!$B:$L, 10, 0)</f>
        <v>Yes</v>
      </c>
      <c r="J38" s="16">
        <v>5424.13</v>
      </c>
      <c r="K38" s="16"/>
      <c r="L38" s="16"/>
      <c r="M38" s="16"/>
      <c r="N38" s="16"/>
      <c r="O38" s="16">
        <v>4374.58</v>
      </c>
      <c r="P38" s="16"/>
      <c r="Q38" s="16"/>
      <c r="R38" s="16"/>
      <c r="S38" s="16"/>
      <c r="T38" s="16">
        <v>31.05</v>
      </c>
      <c r="U38" s="16">
        <v>1018.5</v>
      </c>
      <c r="V38" s="16"/>
      <c r="X38" s="14">
        <f>SUM($K38:K38)</f>
        <v>0</v>
      </c>
      <c r="Y38" s="14">
        <f>SUM($K38:L38)</f>
        <v>0</v>
      </c>
      <c r="Z38" s="14">
        <f>SUM($K38:M38)</f>
        <v>0</v>
      </c>
      <c r="AA38" s="14">
        <f>SUM($K38:N38)</f>
        <v>0</v>
      </c>
      <c r="AB38" s="14">
        <f>SUM($K38:O38)</f>
        <v>4374.58</v>
      </c>
      <c r="AC38" s="14">
        <f>SUM($K38:P38)</f>
        <v>4374.58</v>
      </c>
      <c r="AD38" s="14">
        <f>SUM($K38:Q38)</f>
        <v>4374.58</v>
      </c>
      <c r="AE38" s="14">
        <f>SUM($K38:R38)</f>
        <v>4374.58</v>
      </c>
      <c r="AF38" s="14">
        <f>SUM($K38:S38)</f>
        <v>4374.58</v>
      </c>
      <c r="AG38" s="14">
        <f>SUM($K38:T38)</f>
        <v>4405.63</v>
      </c>
      <c r="AH38" s="14">
        <f>SUM($K38:U38)</f>
        <v>5424.13</v>
      </c>
      <c r="AI38" s="14">
        <f>SUM($K38:V38)</f>
        <v>5424.13</v>
      </c>
    </row>
    <row r="39" spans="1:35">
      <c r="A39" s="5">
        <v>34</v>
      </c>
      <c r="B39" s="5">
        <v>25034</v>
      </c>
      <c r="C39" s="5" t="s">
        <v>154</v>
      </c>
      <c r="D39" s="5" t="str">
        <f>VLOOKUP($B39, Spa!$B:$P, 14, 0)</f>
        <v>Melissa</v>
      </c>
      <c r="E39" s="5" t="str">
        <f>VLOOKUP($B39, Spa!$B:$P, 15, 0)</f>
        <v>Other</v>
      </c>
      <c r="F39" s="5">
        <f>VLOOKUP(B39, Spa!$B:$E, 3, 0)</f>
        <v>2023</v>
      </c>
      <c r="G39" s="6">
        <f>VLOOKUP(B39, Spa!$B:$E, 4, 0)</f>
        <v>45047</v>
      </c>
      <c r="H39" s="5" t="str">
        <f t="shared" si="7"/>
        <v>20235</v>
      </c>
      <c r="I39" s="5" t="str">
        <f>VLOOKUP(B39, Spa!$B:$L, 10, 0)</f>
        <v>Yes</v>
      </c>
      <c r="J39" s="16">
        <v>494</v>
      </c>
      <c r="K39" s="16"/>
      <c r="L39" s="16"/>
      <c r="M39" s="16"/>
      <c r="N39" s="16">
        <v>-1999</v>
      </c>
      <c r="O39" s="16">
        <v>2493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/>
      <c r="V39" s="16"/>
      <c r="X39" s="14">
        <f>SUM($K39:K39)</f>
        <v>0</v>
      </c>
      <c r="Y39" s="14">
        <f>SUM($K39:L39)</f>
        <v>0</v>
      </c>
      <c r="Z39" s="14">
        <f>SUM($K39:M39)</f>
        <v>0</v>
      </c>
      <c r="AA39" s="14">
        <f>SUM($K39:N39)</f>
        <v>-1999</v>
      </c>
      <c r="AB39" s="14">
        <f>SUM($K39:O39)</f>
        <v>494</v>
      </c>
      <c r="AC39" s="14">
        <f>SUM($K39:P39)</f>
        <v>494</v>
      </c>
      <c r="AD39" s="14">
        <f>SUM($K39:Q39)</f>
        <v>494</v>
      </c>
      <c r="AE39" s="14">
        <f>SUM($K39:R39)</f>
        <v>494</v>
      </c>
      <c r="AF39" s="14">
        <f>SUM($K39:S39)</f>
        <v>494</v>
      </c>
      <c r="AG39" s="14">
        <f>SUM($K39:T39)</f>
        <v>494</v>
      </c>
      <c r="AH39" s="14">
        <f>SUM($K39:U39)</f>
        <v>494</v>
      </c>
      <c r="AI39" s="14">
        <f>SUM($K39:V39)</f>
        <v>494</v>
      </c>
    </row>
    <row r="40" spans="1:35">
      <c r="A40" s="5">
        <v>35</v>
      </c>
      <c r="B40" s="5">
        <v>25035</v>
      </c>
      <c r="C40" s="5" t="s">
        <v>135</v>
      </c>
      <c r="D40" s="5" t="str">
        <f>VLOOKUP($B40, Spa!$B:$P, 14, 0)</f>
        <v>Melissa</v>
      </c>
      <c r="E40" s="5" t="str">
        <f>VLOOKUP($B40, Spa!$B:$P, 15, 0)</f>
        <v>Other</v>
      </c>
      <c r="F40" s="5">
        <f>VLOOKUP(B40, Spa!$B:$E, 3, 0)</f>
        <v>2023</v>
      </c>
      <c r="G40" s="6">
        <f>VLOOKUP(B40, Spa!$B:$E, 4, 0)</f>
        <v>45170</v>
      </c>
      <c r="H40" s="5" t="str">
        <f t="shared" si="7"/>
        <v>20239</v>
      </c>
      <c r="I40" s="5" t="str">
        <f>VLOOKUP(B40, Spa!$B:$L, 10, 0)</f>
        <v>Yes</v>
      </c>
      <c r="J40" s="16">
        <v>22651.16</v>
      </c>
      <c r="K40" s="16"/>
      <c r="L40" s="16"/>
      <c r="M40" s="16"/>
      <c r="N40" s="16"/>
      <c r="O40" s="16">
        <v>0</v>
      </c>
      <c r="P40" s="16"/>
      <c r="Q40" s="16"/>
      <c r="R40" s="16">
        <v>0</v>
      </c>
      <c r="S40" s="16">
        <v>12972.38</v>
      </c>
      <c r="T40" s="16">
        <v>0</v>
      </c>
      <c r="U40" s="16">
        <v>6630</v>
      </c>
      <c r="V40" s="16">
        <v>3048.78</v>
      </c>
      <c r="X40" s="14">
        <f>SUM($K40:K40)</f>
        <v>0</v>
      </c>
      <c r="Y40" s="14">
        <f>SUM($K40:L40)</f>
        <v>0</v>
      </c>
      <c r="Z40" s="14">
        <f>SUM($K40:M40)</f>
        <v>0</v>
      </c>
      <c r="AA40" s="14">
        <f>SUM($K40:N40)</f>
        <v>0</v>
      </c>
      <c r="AB40" s="14">
        <f>SUM($K40:O40)</f>
        <v>0</v>
      </c>
      <c r="AC40" s="14">
        <f>SUM($K40:P40)</f>
        <v>0</v>
      </c>
      <c r="AD40" s="14">
        <f>SUM($K40:Q40)</f>
        <v>0</v>
      </c>
      <c r="AE40" s="14">
        <f>SUM($K40:R40)</f>
        <v>0</v>
      </c>
      <c r="AF40" s="14">
        <f>SUM($K40:S40)</f>
        <v>12972.38</v>
      </c>
      <c r="AG40" s="14">
        <f>SUM($K40:T40)</f>
        <v>12972.38</v>
      </c>
      <c r="AH40" s="14">
        <f>SUM($K40:U40)</f>
        <v>19602.379999999997</v>
      </c>
      <c r="AI40" s="14">
        <f>SUM($K40:V40)</f>
        <v>22651.159999999996</v>
      </c>
    </row>
    <row r="41" spans="1:35">
      <c r="A41" s="5">
        <v>36</v>
      </c>
      <c r="B41" s="5">
        <v>25036</v>
      </c>
      <c r="C41" s="5" t="s">
        <v>108</v>
      </c>
      <c r="D41" s="5" t="str">
        <f>VLOOKUP($B41, Spa!$B:$P, 14, 0)</f>
        <v>Amy</v>
      </c>
      <c r="E41" s="5" t="str">
        <f>VLOOKUP($B41, Spa!$B:$P, 15, 0)</f>
        <v>West</v>
      </c>
      <c r="F41" s="5">
        <f>VLOOKUP(B41, Spa!$B:$E, 3, 0)</f>
        <v>2023</v>
      </c>
      <c r="G41" s="6">
        <f>VLOOKUP(B41, Spa!$B:$E, 4, 0)</f>
        <v>45139</v>
      </c>
      <c r="H41" s="5" t="str">
        <f t="shared" si="7"/>
        <v>20238</v>
      </c>
      <c r="I41" s="5" t="str">
        <f>VLOOKUP(B41, Spa!$B:$L, 10, 0)</f>
        <v>Yes</v>
      </c>
      <c r="J41" s="16">
        <v>5919.87</v>
      </c>
      <c r="K41" s="16"/>
      <c r="L41" s="16"/>
      <c r="M41" s="16"/>
      <c r="N41" s="16"/>
      <c r="O41" s="16"/>
      <c r="P41" s="16"/>
      <c r="Q41" s="16"/>
      <c r="R41" s="16">
        <v>3150.87</v>
      </c>
      <c r="S41" s="16">
        <v>2769</v>
      </c>
      <c r="T41" s="16"/>
      <c r="U41" s="16"/>
      <c r="V41" s="16"/>
      <c r="X41" s="14">
        <f>SUM($K41:K41)</f>
        <v>0</v>
      </c>
      <c r="Y41" s="14">
        <f>SUM($K41:L41)</f>
        <v>0</v>
      </c>
      <c r="Z41" s="14">
        <f>SUM($K41:M41)</f>
        <v>0</v>
      </c>
      <c r="AA41" s="14">
        <f>SUM($K41:N41)</f>
        <v>0</v>
      </c>
      <c r="AB41" s="14">
        <f>SUM($K41:O41)</f>
        <v>0</v>
      </c>
      <c r="AC41" s="14">
        <f>SUM($K41:P41)</f>
        <v>0</v>
      </c>
      <c r="AD41" s="14">
        <f>SUM($K41:Q41)</f>
        <v>0</v>
      </c>
      <c r="AE41" s="14">
        <f>SUM($K41:R41)</f>
        <v>3150.87</v>
      </c>
      <c r="AF41" s="14">
        <f>SUM($K41:S41)</f>
        <v>5919.87</v>
      </c>
      <c r="AG41" s="14">
        <f>SUM($K41:T41)</f>
        <v>5919.87</v>
      </c>
      <c r="AH41" s="14">
        <f>SUM($K41:U41)</f>
        <v>5919.87</v>
      </c>
      <c r="AI41" s="14">
        <f>SUM($K41:V41)</f>
        <v>5919.87</v>
      </c>
    </row>
    <row r="42" spans="1:35">
      <c r="A42" s="5">
        <v>37</v>
      </c>
      <c r="B42" s="5">
        <v>25037</v>
      </c>
      <c r="C42" s="5" t="s">
        <v>197</v>
      </c>
      <c r="D42" s="5" t="str">
        <f>VLOOKUP($B42, Spa!$B:$P, 14, 0)</f>
        <v>Emily</v>
      </c>
      <c r="E42" s="5" t="str">
        <f>VLOOKUP($B42, Spa!$B:$P, 15, 0)</f>
        <v>Northeast</v>
      </c>
      <c r="F42" s="5">
        <f>VLOOKUP(B42, Spa!$B:$E, 3, 0)</f>
        <v>2023</v>
      </c>
      <c r="G42" s="6">
        <f>VLOOKUP(B42, Spa!$B:$E, 4, 0)</f>
        <v>45139</v>
      </c>
      <c r="H42" s="5" t="str">
        <f t="shared" si="7"/>
        <v>20238</v>
      </c>
      <c r="I42" s="5" t="str">
        <f>VLOOKUP(B42, Spa!$B:$L, 10, 0)</f>
        <v>Yes</v>
      </c>
      <c r="J42" s="16">
        <v>21563.64</v>
      </c>
      <c r="K42" s="16"/>
      <c r="L42" s="16"/>
      <c r="M42" s="16"/>
      <c r="N42" s="16"/>
      <c r="O42" s="16"/>
      <c r="P42" s="16"/>
      <c r="Q42" s="16"/>
      <c r="R42" s="16">
        <v>13811.22</v>
      </c>
      <c r="S42" s="16"/>
      <c r="T42" s="16">
        <v>2470.79</v>
      </c>
      <c r="U42" s="16">
        <v>606.5</v>
      </c>
      <c r="V42" s="16">
        <v>3938.63</v>
      </c>
      <c r="X42" s="14">
        <f>SUM($K42:K42)</f>
        <v>0</v>
      </c>
      <c r="Y42" s="14">
        <f>SUM($K42:L42)</f>
        <v>0</v>
      </c>
      <c r="Z42" s="14">
        <f>SUM($K42:M42)</f>
        <v>0</v>
      </c>
      <c r="AA42" s="14">
        <f>SUM($K42:N42)</f>
        <v>0</v>
      </c>
      <c r="AB42" s="14">
        <f>SUM($K42:O42)</f>
        <v>0</v>
      </c>
      <c r="AC42" s="14">
        <f>SUM($K42:P42)</f>
        <v>0</v>
      </c>
      <c r="AD42" s="14">
        <f>SUM($K42:Q42)</f>
        <v>0</v>
      </c>
      <c r="AE42" s="14">
        <f>SUM($K42:R42)</f>
        <v>13811.22</v>
      </c>
      <c r="AF42" s="14">
        <f>SUM($K42:S42)</f>
        <v>13811.22</v>
      </c>
      <c r="AG42" s="14">
        <f>SUM($K42:T42)</f>
        <v>16282.009999999998</v>
      </c>
      <c r="AH42" s="14">
        <f>SUM($K42:U42)</f>
        <v>16888.509999999998</v>
      </c>
      <c r="AI42" s="14">
        <f>SUM($K42:V42)</f>
        <v>20827.14</v>
      </c>
    </row>
    <row r="43" spans="1:35">
      <c r="A43" s="5">
        <v>38</v>
      </c>
      <c r="B43" s="5">
        <v>25038</v>
      </c>
      <c r="C43" s="5" t="s">
        <v>104</v>
      </c>
      <c r="D43" s="5" t="str">
        <f>VLOOKUP($B43, Spa!$B:$P, 14, 0)</f>
        <v>Amy</v>
      </c>
      <c r="E43" s="5" t="str">
        <f>VLOOKUP($B43, Spa!$B:$P, 15, 0)</f>
        <v>West</v>
      </c>
      <c r="F43" s="5">
        <f>VLOOKUP(B43, Spa!$B:$E, 3, 0)</f>
        <v>2023</v>
      </c>
      <c r="G43" s="6">
        <f>VLOOKUP(B43, Spa!$B:$E, 4, 0)</f>
        <v>45200</v>
      </c>
      <c r="H43" s="5" t="str">
        <f t="shared" si="7"/>
        <v>202310</v>
      </c>
      <c r="I43" s="5" t="str">
        <f>VLOOKUP(B43, Spa!$B:$L, 10, 0)</f>
        <v>Yes</v>
      </c>
      <c r="J43" s="16">
        <v>7243.37</v>
      </c>
      <c r="K43" s="16"/>
      <c r="L43" s="16"/>
      <c r="M43" s="16"/>
      <c r="N43" s="16"/>
      <c r="O43" s="16"/>
      <c r="P43" s="16"/>
      <c r="Q43" s="16"/>
      <c r="R43" s="16"/>
      <c r="S43" s="16"/>
      <c r="T43" s="16">
        <v>5204.37</v>
      </c>
      <c r="U43" s="16"/>
      <c r="V43" s="16"/>
      <c r="X43" s="14">
        <f>SUM($K43:K43)</f>
        <v>0</v>
      </c>
      <c r="Y43" s="14">
        <f>SUM($K43:L43)</f>
        <v>0</v>
      </c>
      <c r="Z43" s="14">
        <f>SUM($K43:M43)</f>
        <v>0</v>
      </c>
      <c r="AA43" s="14">
        <f>SUM($K43:N43)</f>
        <v>0</v>
      </c>
      <c r="AB43" s="14">
        <f>SUM($K43:O43)</f>
        <v>0</v>
      </c>
      <c r="AC43" s="14">
        <f>SUM($K43:P43)</f>
        <v>0</v>
      </c>
      <c r="AD43" s="14">
        <f>SUM($K43:Q43)</f>
        <v>0</v>
      </c>
      <c r="AE43" s="14">
        <f>SUM($K43:R43)</f>
        <v>0</v>
      </c>
      <c r="AF43" s="14">
        <f>SUM($K43:S43)</f>
        <v>0</v>
      </c>
      <c r="AG43" s="14">
        <f>SUM($K43:T43)</f>
        <v>5204.37</v>
      </c>
      <c r="AH43" s="14">
        <f>SUM($K43:U43)</f>
        <v>5204.37</v>
      </c>
      <c r="AI43" s="14">
        <f>SUM($K43:V43)</f>
        <v>5204.37</v>
      </c>
    </row>
    <row r="44" spans="1:35">
      <c r="A44" s="5">
        <v>39</v>
      </c>
      <c r="B44" s="5">
        <v>25039</v>
      </c>
      <c r="C44" s="17" t="s">
        <v>88</v>
      </c>
      <c r="D44" s="5" t="str">
        <f>VLOOKUP($B44, Spa!$B:$P, 14, 0)</f>
        <v>Emily</v>
      </c>
      <c r="E44" s="5" t="str">
        <f>VLOOKUP($B44, Spa!$B:$P, 15, 0)</f>
        <v>Central</v>
      </c>
      <c r="F44" s="5">
        <f>VLOOKUP(B44, Spa!$B:$E, 3, 0)</f>
        <v>2024</v>
      </c>
      <c r="G44" s="6">
        <f>VLOOKUP(B44, Spa!$B:$E, 4, 0)</f>
        <v>45352</v>
      </c>
      <c r="H44" s="5" t="str">
        <f t="shared" si="7"/>
        <v>20243</v>
      </c>
      <c r="I44" s="5" t="str">
        <f>VLOOKUP(B44, Spa!$B:$L, 10, 0)</f>
        <v>No</v>
      </c>
      <c r="J44" s="16">
        <v>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X44" s="14">
        <f>SUM($K44:K44)</f>
        <v>0</v>
      </c>
      <c r="Y44" s="14">
        <f>SUM($K44:L44)</f>
        <v>0</v>
      </c>
      <c r="Z44" s="14">
        <f>SUM($K44:M44)</f>
        <v>0</v>
      </c>
      <c r="AA44" s="14">
        <f>SUM($K44:N44)</f>
        <v>0</v>
      </c>
      <c r="AB44" s="14">
        <f>SUM($K44:O44)</f>
        <v>0</v>
      </c>
      <c r="AC44" s="14">
        <f>SUM($K44:P44)</f>
        <v>0</v>
      </c>
      <c r="AD44" s="14">
        <f>SUM($K44:Q44)</f>
        <v>0</v>
      </c>
      <c r="AE44" s="14">
        <f>SUM($K44:R44)</f>
        <v>0</v>
      </c>
      <c r="AF44" s="14">
        <f>SUM($K44:S44)</f>
        <v>0</v>
      </c>
      <c r="AG44" s="14">
        <f>SUM($K44:T44)</f>
        <v>0</v>
      </c>
      <c r="AH44" s="14">
        <f>SUM($K44:U44)</f>
        <v>0</v>
      </c>
      <c r="AI44" s="14">
        <f>SUM($K44:V44)</f>
        <v>0</v>
      </c>
    </row>
    <row r="45" spans="1:35">
      <c r="A45" s="5">
        <v>40</v>
      </c>
      <c r="B45" s="5">
        <v>25040</v>
      </c>
      <c r="C45" s="5" t="s">
        <v>166</v>
      </c>
      <c r="D45" s="5" t="str">
        <f>VLOOKUP($B45, Spa!$B:$P, 14, 0)</f>
        <v>Lisa</v>
      </c>
      <c r="E45" s="5" t="str">
        <f>VLOOKUP($B45, Spa!$B:$P, 15, 0)</f>
        <v>Southeast</v>
      </c>
      <c r="F45" s="5">
        <f>VLOOKUP(B45, Spa!$B:$E, 3, 0)</f>
        <v>2023</v>
      </c>
      <c r="G45" s="6">
        <f>VLOOKUP(B45, Spa!$B:$E, 4, 0)</f>
        <v>45200</v>
      </c>
      <c r="H45" s="5" t="str">
        <f t="shared" si="7"/>
        <v>202310</v>
      </c>
      <c r="I45" s="5" t="str">
        <f>VLOOKUP(B45, Spa!$B:$L, 10, 0)</f>
        <v>Yes</v>
      </c>
      <c r="J45" s="16">
        <v>6451.14</v>
      </c>
      <c r="K45" s="16"/>
      <c r="L45" s="16"/>
      <c r="M45" s="16"/>
      <c r="N45" s="16"/>
      <c r="O45" s="16"/>
      <c r="P45" s="16"/>
      <c r="Q45" s="16"/>
      <c r="R45" s="16"/>
      <c r="S45" s="16"/>
      <c r="T45" s="16">
        <v>5949.98</v>
      </c>
      <c r="U45" s="16"/>
      <c r="V45" s="16">
        <v>266.38</v>
      </c>
      <c r="X45" s="14">
        <f>SUM($K45:K45)</f>
        <v>0</v>
      </c>
      <c r="Y45" s="14">
        <f>SUM($K45:L45)</f>
        <v>0</v>
      </c>
      <c r="Z45" s="14">
        <f>SUM($K45:M45)</f>
        <v>0</v>
      </c>
      <c r="AA45" s="14">
        <f>SUM($K45:N45)</f>
        <v>0</v>
      </c>
      <c r="AB45" s="14">
        <f>SUM($K45:O45)</f>
        <v>0</v>
      </c>
      <c r="AC45" s="14">
        <f>SUM($K45:P45)</f>
        <v>0</v>
      </c>
      <c r="AD45" s="14">
        <f>SUM($K45:Q45)</f>
        <v>0</v>
      </c>
      <c r="AE45" s="14">
        <f>SUM($K45:R45)</f>
        <v>0</v>
      </c>
      <c r="AF45" s="14">
        <f>SUM($K45:S45)</f>
        <v>0</v>
      </c>
      <c r="AG45" s="14">
        <f>SUM($K45:T45)</f>
        <v>5949.98</v>
      </c>
      <c r="AH45" s="14">
        <f>SUM($K45:U45)</f>
        <v>5949.98</v>
      </c>
      <c r="AI45" s="14">
        <f>SUM($K45:V45)</f>
        <v>6216.36</v>
      </c>
    </row>
    <row r="46" spans="1:35">
      <c r="A46" s="5">
        <v>41</v>
      </c>
      <c r="B46" s="5">
        <v>25041</v>
      </c>
      <c r="C46" s="5" t="s">
        <v>155</v>
      </c>
      <c r="D46" s="5" t="str">
        <f>VLOOKUP($B46, Spa!$B:$P, 14, 0)</f>
        <v>Emily</v>
      </c>
      <c r="E46" s="5" t="str">
        <f>VLOOKUP($B46, Spa!$B:$P, 15, 0)</f>
        <v>Central</v>
      </c>
      <c r="F46" s="5">
        <f>VLOOKUP(B46, Spa!$B:$E, 3, 0)</f>
        <v>2023</v>
      </c>
      <c r="G46" s="6">
        <f>VLOOKUP(B46, Spa!$B:$E, 4, 0)</f>
        <v>45231</v>
      </c>
      <c r="H46" s="5" t="str">
        <f t="shared" si="7"/>
        <v>202311</v>
      </c>
      <c r="I46" s="5" t="str">
        <f>VLOOKUP(B46, Spa!$B:$L, 10, 0)</f>
        <v>No</v>
      </c>
      <c r="J46" s="16">
        <v>575.16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575.16</v>
      </c>
      <c r="V46" s="16"/>
      <c r="X46" s="14">
        <f>SUM($K46:K46)</f>
        <v>0</v>
      </c>
      <c r="Y46" s="14">
        <f>SUM($K46:L46)</f>
        <v>0</v>
      </c>
      <c r="Z46" s="14">
        <f>SUM($K46:M46)</f>
        <v>0</v>
      </c>
      <c r="AA46" s="14">
        <f>SUM($K46:N46)</f>
        <v>0</v>
      </c>
      <c r="AB46" s="14">
        <f>SUM($K46:O46)</f>
        <v>0</v>
      </c>
      <c r="AC46" s="14">
        <f>SUM($K46:P46)</f>
        <v>0</v>
      </c>
      <c r="AD46" s="14">
        <f>SUM($K46:Q46)</f>
        <v>0</v>
      </c>
      <c r="AE46" s="14">
        <f>SUM($K46:R46)</f>
        <v>0</v>
      </c>
      <c r="AF46" s="14">
        <f>SUM($K46:S46)</f>
        <v>0</v>
      </c>
      <c r="AG46" s="14">
        <f>SUM($K46:T46)</f>
        <v>0</v>
      </c>
      <c r="AH46" s="14">
        <f>SUM($K46:U46)</f>
        <v>575.16</v>
      </c>
      <c r="AI46" s="14">
        <f>SUM($K46:V46)</f>
        <v>575.16</v>
      </c>
    </row>
    <row r="47" spans="1:35">
      <c r="A47" s="5">
        <v>42</v>
      </c>
      <c r="B47" s="5">
        <v>25042</v>
      </c>
      <c r="C47" s="5" t="s">
        <v>136</v>
      </c>
      <c r="D47" s="5" t="str">
        <f>VLOOKUP($B47, Spa!$B:$P, 14, 0)</f>
        <v>Lisa</v>
      </c>
      <c r="E47" s="5" t="str">
        <f>VLOOKUP($B47, Spa!$B:$P, 15, 0)</f>
        <v>Southeast</v>
      </c>
      <c r="F47" s="5">
        <f>VLOOKUP(B47, Spa!$B:$E, 3, 0)</f>
        <v>2023</v>
      </c>
      <c r="G47" s="6">
        <f>VLOOKUP(B47, Spa!$B:$E, 4, 0)</f>
        <v>45261</v>
      </c>
      <c r="H47" s="5" t="str">
        <f t="shared" si="7"/>
        <v>202312</v>
      </c>
      <c r="I47" s="5" t="str">
        <f>VLOOKUP(B47, Spa!$B:$L, 10, 0)</f>
        <v>Yes</v>
      </c>
      <c r="J47" s="16">
        <v>24324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>
        <v>24324</v>
      </c>
      <c r="X47" s="14">
        <f>SUM($K47:K47)</f>
        <v>0</v>
      </c>
      <c r="Y47" s="14">
        <f>SUM($K47:L47)</f>
        <v>0</v>
      </c>
      <c r="Z47" s="14">
        <f>SUM($K47:M47)</f>
        <v>0</v>
      </c>
      <c r="AA47" s="14">
        <f>SUM($K47:N47)</f>
        <v>0</v>
      </c>
      <c r="AB47" s="14">
        <f>SUM($K47:O47)</f>
        <v>0</v>
      </c>
      <c r="AC47" s="14">
        <f>SUM($K47:P47)</f>
        <v>0</v>
      </c>
      <c r="AD47" s="14">
        <f>SUM($K47:Q47)</f>
        <v>0</v>
      </c>
      <c r="AE47" s="14">
        <f>SUM($K47:R47)</f>
        <v>0</v>
      </c>
      <c r="AF47" s="14">
        <f>SUM($K47:S47)</f>
        <v>0</v>
      </c>
      <c r="AG47" s="14">
        <f>SUM($K47:T47)</f>
        <v>0</v>
      </c>
      <c r="AH47" s="14">
        <f>SUM($K47:U47)</f>
        <v>0</v>
      </c>
      <c r="AI47" s="14">
        <f>SUM($K47:V47)</f>
        <v>24324</v>
      </c>
    </row>
    <row r="48" spans="1:35">
      <c r="A48" s="5">
        <v>43</v>
      </c>
      <c r="B48" s="5">
        <v>25043</v>
      </c>
      <c r="C48" s="5" t="s">
        <v>126</v>
      </c>
      <c r="D48" s="5" t="str">
        <f>VLOOKUP($B48, Spa!$B:$P, 14, 0)</f>
        <v>Lisa</v>
      </c>
      <c r="E48" s="5" t="str">
        <f>VLOOKUP($B48, Spa!$B:$P, 15, 0)</f>
        <v>Southeast</v>
      </c>
      <c r="F48" s="5">
        <f>VLOOKUP(B48, Spa!$B:$E, 3, 0)</f>
        <v>2023</v>
      </c>
      <c r="G48" s="6">
        <f>VLOOKUP(B48, Spa!$B:$E, 4, 0)</f>
        <v>45261</v>
      </c>
      <c r="H48" s="5" t="str">
        <f t="shared" si="7"/>
        <v>202312</v>
      </c>
      <c r="I48" s="5" t="str">
        <f>VLOOKUP(B48, Spa!$B:$L, 10, 0)</f>
        <v>Yes</v>
      </c>
      <c r="J48" s="16">
        <v>1212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>
        <v>1212</v>
      </c>
      <c r="X48" s="14">
        <f>SUM($K48:K48)</f>
        <v>0</v>
      </c>
      <c r="Y48" s="14">
        <f>SUM($K48:L48)</f>
        <v>0</v>
      </c>
      <c r="Z48" s="14">
        <f>SUM($K48:M48)</f>
        <v>0</v>
      </c>
      <c r="AA48" s="14">
        <f>SUM($K48:N48)</f>
        <v>0</v>
      </c>
      <c r="AB48" s="14">
        <f>SUM($K48:O48)</f>
        <v>0</v>
      </c>
      <c r="AC48" s="14">
        <f>SUM($K48:P48)</f>
        <v>0</v>
      </c>
      <c r="AD48" s="14">
        <f>SUM($K48:Q48)</f>
        <v>0</v>
      </c>
      <c r="AE48" s="14">
        <f>SUM($K48:R48)</f>
        <v>0</v>
      </c>
      <c r="AF48" s="14">
        <f>SUM($K48:S48)</f>
        <v>0</v>
      </c>
      <c r="AG48" s="14">
        <f>SUM($K48:T48)</f>
        <v>0</v>
      </c>
      <c r="AH48" s="14">
        <f>SUM($K48:U48)</f>
        <v>0</v>
      </c>
      <c r="AI48" s="14">
        <f>SUM($K48:V48)</f>
        <v>1212</v>
      </c>
    </row>
    <row r="49" spans="1:35">
      <c r="A49" s="5">
        <v>44</v>
      </c>
      <c r="B49" s="5">
        <v>25044</v>
      </c>
      <c r="C49" s="17" t="s">
        <v>90</v>
      </c>
      <c r="D49" s="5" t="str">
        <f>VLOOKUP($B49, Spa!$B:$P, 14, 0)</f>
        <v>Emily</v>
      </c>
      <c r="E49" s="5" t="str">
        <f>VLOOKUP($B49, Spa!$B:$P, 15, 0)</f>
        <v>Central</v>
      </c>
      <c r="F49" s="5">
        <f>VLOOKUP(B49, Spa!$B:$E, 3, 0)</f>
        <v>2024</v>
      </c>
      <c r="G49" s="6">
        <f>VLOOKUP(B49, Spa!$B:$E, 4, 0)</f>
        <v>45292</v>
      </c>
      <c r="H49" s="5" t="str">
        <f t="shared" si="7"/>
        <v>20241</v>
      </c>
      <c r="I49" s="5" t="str">
        <f>VLOOKUP(B49, Spa!$B:$L, 10, 0)</f>
        <v>No</v>
      </c>
      <c r="J49" s="16">
        <v>5613.07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X49" s="14">
        <f>SUM($K49:K49)</f>
        <v>0</v>
      </c>
      <c r="Y49" s="14">
        <f>SUM($K49:L49)</f>
        <v>0</v>
      </c>
      <c r="Z49" s="14">
        <f>SUM($K49:M49)</f>
        <v>0</v>
      </c>
      <c r="AA49" s="14">
        <f>SUM($K49:N49)</f>
        <v>0</v>
      </c>
      <c r="AB49" s="14">
        <f>SUM($K49:O49)</f>
        <v>0</v>
      </c>
      <c r="AC49" s="14">
        <f>SUM($K49:P49)</f>
        <v>0</v>
      </c>
      <c r="AD49" s="14">
        <f>SUM($K49:Q49)</f>
        <v>0</v>
      </c>
      <c r="AE49" s="14">
        <f>SUM($K49:R49)</f>
        <v>0</v>
      </c>
      <c r="AF49" s="14">
        <f>SUM($K49:S49)</f>
        <v>0</v>
      </c>
      <c r="AG49" s="14">
        <f>SUM($K49:T49)</f>
        <v>0</v>
      </c>
      <c r="AH49" s="14">
        <f>SUM($K49:U49)</f>
        <v>0</v>
      </c>
      <c r="AI49" s="14">
        <f>SUM($K49:V49)</f>
        <v>0</v>
      </c>
    </row>
    <row r="50" spans="1:35">
      <c r="A50" s="5">
        <v>45</v>
      </c>
      <c r="B50" s="5">
        <v>25045</v>
      </c>
      <c r="C50" s="17" t="s">
        <v>77</v>
      </c>
      <c r="D50" s="5" t="str">
        <f>VLOOKUP($B50, Spa!$B:$P, 14, 0)</f>
        <v>Emily</v>
      </c>
      <c r="E50" s="5" t="str">
        <f>VLOOKUP($B50, Spa!$B:$P, 15, 0)</f>
        <v>Northeast</v>
      </c>
      <c r="F50" s="5">
        <f>VLOOKUP(B50, Spa!$B:$E, 3, 0)</f>
        <v>2024</v>
      </c>
      <c r="G50" s="6">
        <f>VLOOKUP(B50, Spa!$B:$E, 4, 0)</f>
        <v>45323</v>
      </c>
      <c r="H50" s="5" t="str">
        <f t="shared" si="7"/>
        <v>20242</v>
      </c>
      <c r="I50" s="5" t="str">
        <f>VLOOKUP(B50, Spa!$B:$L, 10, 0)</f>
        <v>No</v>
      </c>
      <c r="J50" s="16"/>
      <c r="X50" s="14">
        <f>SUM($K50:K50)</f>
        <v>0</v>
      </c>
      <c r="Y50" s="14">
        <f>SUM($K50:L50)</f>
        <v>0</v>
      </c>
      <c r="Z50" s="14">
        <f>SUM($K50:M50)</f>
        <v>0</v>
      </c>
      <c r="AA50" s="14">
        <f>SUM($K50:N50)</f>
        <v>0</v>
      </c>
      <c r="AB50" s="14">
        <f>SUM($K50:O50)</f>
        <v>0</v>
      </c>
      <c r="AC50" s="14">
        <f>SUM($K50:P50)</f>
        <v>0</v>
      </c>
      <c r="AD50" s="14">
        <f>SUM($K50:Q50)</f>
        <v>0</v>
      </c>
      <c r="AE50" s="14">
        <f>SUM($K50:R50)</f>
        <v>0</v>
      </c>
      <c r="AF50" s="14">
        <f>SUM($K50:S50)</f>
        <v>0</v>
      </c>
      <c r="AG50" s="14">
        <f>SUM($K50:T50)</f>
        <v>0</v>
      </c>
      <c r="AH50" s="14">
        <f>SUM($K50:U50)</f>
        <v>0</v>
      </c>
      <c r="AI50" s="14">
        <f>SUM($K50:V50)</f>
        <v>0</v>
      </c>
    </row>
    <row r="51" spans="1:35">
      <c r="B51" s="5">
        <v>25046</v>
      </c>
      <c r="C51" s="17" t="s">
        <v>109</v>
      </c>
      <c r="D51" s="5" t="str">
        <f>VLOOKUP($B51, Spa!$B:$P, 14, 0)</f>
        <v>Amy</v>
      </c>
      <c r="E51" s="5" t="str">
        <f>VLOOKUP($B51, Spa!$B:$P, 15, 0)</f>
        <v>West</v>
      </c>
      <c r="F51" s="5">
        <f>VLOOKUP(B51, Spa!$B:$E, 3, 0)</f>
        <v>2024</v>
      </c>
      <c r="G51" s="6">
        <f>VLOOKUP(B51, Spa!$B:$E, 4, 0)</f>
        <v>45383</v>
      </c>
      <c r="H51" s="5" t="str">
        <f t="shared" si="7"/>
        <v>20244</v>
      </c>
      <c r="I51" s="5" t="str">
        <f>VLOOKUP(B51, Spa!$B:$L, 10, 0)</f>
        <v>No</v>
      </c>
      <c r="X51" s="14">
        <f>SUM($K51:K51)</f>
        <v>0</v>
      </c>
      <c r="Y51" s="14">
        <f>SUM($K51:L51)</f>
        <v>0</v>
      </c>
      <c r="Z51" s="14">
        <f>SUM($K51:M51)</f>
        <v>0</v>
      </c>
      <c r="AA51" s="14">
        <f>SUM($K51:N51)</f>
        <v>0</v>
      </c>
      <c r="AB51" s="14">
        <f>SUM($K51:O51)</f>
        <v>0</v>
      </c>
      <c r="AC51" s="14">
        <f>SUM($K51:P51)</f>
        <v>0</v>
      </c>
      <c r="AD51" s="14">
        <f>SUM($K51:Q51)</f>
        <v>0</v>
      </c>
      <c r="AE51" s="14">
        <f>SUM($K51:R51)</f>
        <v>0</v>
      </c>
      <c r="AF51" s="14">
        <f>SUM($K51:S51)</f>
        <v>0</v>
      </c>
      <c r="AG51" s="14">
        <f>SUM($K51:T51)</f>
        <v>0</v>
      </c>
      <c r="AH51" s="14">
        <f>SUM($K51:U51)</f>
        <v>0</v>
      </c>
      <c r="AI51" s="14">
        <f>SUM($K51:V51)</f>
        <v>0</v>
      </c>
    </row>
    <row r="52" spans="1:35">
      <c r="B52" s="5">
        <v>25047</v>
      </c>
      <c r="C52" s="17" t="s">
        <v>129</v>
      </c>
      <c r="D52" s="5" t="str">
        <f>VLOOKUP($B52, Spa!$B:$P, 14, 0)</f>
        <v>Lisa</v>
      </c>
      <c r="E52" s="5" t="str">
        <f>VLOOKUP($B52, Spa!$B:$P, 15, 0)</f>
        <v>Southeast</v>
      </c>
      <c r="F52" s="5">
        <f>VLOOKUP(B52, Spa!$B:$E, 3, 0)</f>
        <v>2024</v>
      </c>
      <c r="G52" s="6">
        <f>VLOOKUP(B52, Spa!$B:$E, 4, 0)</f>
        <v>45413</v>
      </c>
      <c r="H52" s="5" t="str">
        <f t="shared" si="7"/>
        <v>20245</v>
      </c>
      <c r="I52" s="5" t="str">
        <f>VLOOKUP(B52, Spa!$B:$L, 10, 0)</f>
        <v>No</v>
      </c>
      <c r="X52" s="14">
        <f>SUM($K52:K52)</f>
        <v>0</v>
      </c>
      <c r="Y52" s="14">
        <f>SUM($K52:L52)</f>
        <v>0</v>
      </c>
      <c r="Z52" s="14">
        <f>SUM($K52:M52)</f>
        <v>0</v>
      </c>
      <c r="AA52" s="14">
        <f>SUM($K52:N52)</f>
        <v>0</v>
      </c>
      <c r="AB52" s="14">
        <f>SUM($K52:O52)</f>
        <v>0</v>
      </c>
      <c r="AC52" s="14">
        <f>SUM($K52:P52)</f>
        <v>0</v>
      </c>
      <c r="AD52" s="14">
        <f>SUM($K52:Q52)</f>
        <v>0</v>
      </c>
      <c r="AE52" s="14">
        <f>SUM($K52:R52)</f>
        <v>0</v>
      </c>
      <c r="AF52" s="14">
        <f>SUM($K52:S52)</f>
        <v>0</v>
      </c>
      <c r="AG52" s="14">
        <f>SUM($K52:T52)</f>
        <v>0</v>
      </c>
      <c r="AH52" s="14">
        <f>SUM($K52:U52)</f>
        <v>0</v>
      </c>
      <c r="AI52" s="14">
        <f>SUM($K52:V52)</f>
        <v>0</v>
      </c>
    </row>
    <row r="53" spans="1:35">
      <c r="B53" s="5">
        <v>25049</v>
      </c>
      <c r="C53" s="17" t="s">
        <v>78</v>
      </c>
      <c r="D53" s="5" t="str">
        <f>VLOOKUP($B53, Spa!$B:$P, 14, 0)</f>
        <v>Emily</v>
      </c>
      <c r="E53" s="5" t="str">
        <f>VLOOKUP($B53, Spa!$B:$P, 15, 0)</f>
        <v>Northeast</v>
      </c>
      <c r="F53" s="5">
        <f>VLOOKUP(B53, Spa!$B:$E, 3, 0)</f>
        <v>2024</v>
      </c>
      <c r="G53" s="6">
        <f>VLOOKUP(B53, Spa!$B:$E, 4, 0)</f>
        <v>45413</v>
      </c>
      <c r="H53" s="5" t="str">
        <f t="shared" si="7"/>
        <v>20245</v>
      </c>
      <c r="I53" s="5" t="str">
        <f>VLOOKUP(B53, Spa!$B:$L, 10, 0)</f>
        <v>No</v>
      </c>
      <c r="X53" s="14">
        <f>SUM($K53:K53)</f>
        <v>0</v>
      </c>
      <c r="Y53" s="14">
        <f>SUM($K53:L53)</f>
        <v>0</v>
      </c>
      <c r="Z53" s="14">
        <f>SUM($K53:M53)</f>
        <v>0</v>
      </c>
      <c r="AA53" s="14">
        <f>SUM($K53:N53)</f>
        <v>0</v>
      </c>
      <c r="AB53" s="14">
        <f>SUM($K53:O53)</f>
        <v>0</v>
      </c>
      <c r="AC53" s="14">
        <f>SUM($K53:P53)</f>
        <v>0</v>
      </c>
      <c r="AD53" s="14">
        <f>SUM($K53:Q53)</f>
        <v>0</v>
      </c>
      <c r="AE53" s="14">
        <f>SUM($K53:R53)</f>
        <v>0</v>
      </c>
      <c r="AF53" s="14">
        <f>SUM($K53:S53)</f>
        <v>0</v>
      </c>
      <c r="AG53" s="14">
        <f>SUM($K53:T53)</f>
        <v>0</v>
      </c>
      <c r="AH53" s="14">
        <f>SUM($K53:U53)</f>
        <v>0</v>
      </c>
      <c r="AI53" s="14">
        <f>SUM($K53:V53)</f>
        <v>0</v>
      </c>
    </row>
    <row r="54" spans="1:35">
      <c r="B54" s="5">
        <v>25050</v>
      </c>
      <c r="C54" s="17" t="s">
        <v>91</v>
      </c>
      <c r="D54" s="5" t="str">
        <f>VLOOKUP($B54, Spa!$B:$P, 14, 0)</f>
        <v>Emily</v>
      </c>
      <c r="E54" s="5" t="str">
        <f>VLOOKUP($B54, Spa!$B:$P, 15, 0)</f>
        <v>Central</v>
      </c>
      <c r="F54" s="5">
        <f>VLOOKUP(B54, Spa!$B:$E, 3, 0)</f>
        <v>2024</v>
      </c>
      <c r="G54" s="6">
        <f>VLOOKUP(B54, Spa!$B:$E, 4, 0)</f>
        <v>45444</v>
      </c>
      <c r="H54" s="5" t="str">
        <f t="shared" si="7"/>
        <v>20246</v>
      </c>
      <c r="I54" s="5" t="str">
        <f>VLOOKUP(B54, Spa!$B:$L, 10, 0)</f>
        <v>No</v>
      </c>
      <c r="X54" s="14">
        <f>SUM($K54:K54)</f>
        <v>0</v>
      </c>
      <c r="Y54" s="14">
        <f>SUM($K54:L54)</f>
        <v>0</v>
      </c>
      <c r="Z54" s="14">
        <f>SUM($K54:M54)</f>
        <v>0</v>
      </c>
      <c r="AA54" s="14">
        <f>SUM($K54:N54)</f>
        <v>0</v>
      </c>
      <c r="AB54" s="14">
        <f>SUM($K54:O54)</f>
        <v>0</v>
      </c>
      <c r="AC54" s="14">
        <f>SUM($K54:P54)</f>
        <v>0</v>
      </c>
      <c r="AD54" s="14">
        <f>SUM($K54:Q54)</f>
        <v>0</v>
      </c>
      <c r="AE54" s="14">
        <f>SUM($K54:R54)</f>
        <v>0</v>
      </c>
      <c r="AF54" s="14">
        <f>SUM($K54:S54)</f>
        <v>0</v>
      </c>
      <c r="AG54" s="14">
        <f>SUM($K54:T54)</f>
        <v>0</v>
      </c>
      <c r="AH54" s="14">
        <f>SUM($K54:U54)</f>
        <v>0</v>
      </c>
      <c r="AI54" s="14">
        <f>SUM($K54:V54)</f>
        <v>0</v>
      </c>
    </row>
    <row r="55" spans="1:35">
      <c r="B55" s="5">
        <v>25052</v>
      </c>
      <c r="C55" s="17" t="s">
        <v>110</v>
      </c>
      <c r="D55" s="5" t="str">
        <f>VLOOKUP($B55, Spa!$B:$P, 14, 0)</f>
        <v>Amy</v>
      </c>
      <c r="E55" s="5" t="str">
        <f>VLOOKUP($B55, Spa!$B:$P, 15, 0)</f>
        <v>West</v>
      </c>
      <c r="F55" s="5">
        <f>VLOOKUP(B55, Spa!$B:$E, 3, 0)</f>
        <v>2024</v>
      </c>
      <c r="G55" s="6">
        <f>VLOOKUP(B55, Spa!$B:$E, 4, 0)</f>
        <v>45474</v>
      </c>
      <c r="H55" s="5" t="str">
        <f t="shared" si="7"/>
        <v>20247</v>
      </c>
      <c r="I55" s="5" t="str">
        <f>VLOOKUP(B55, Spa!$B:$L, 10, 0)</f>
        <v>No</v>
      </c>
      <c r="X55" s="14">
        <f>SUM($K55:K55)</f>
        <v>0</v>
      </c>
      <c r="Y55" s="14">
        <f>SUM($K55:L55)</f>
        <v>0</v>
      </c>
      <c r="Z55" s="14">
        <f>SUM($K55:M55)</f>
        <v>0</v>
      </c>
      <c r="AA55" s="14">
        <f>SUM($K55:N55)</f>
        <v>0</v>
      </c>
      <c r="AB55" s="14">
        <f>SUM($K55:O55)</f>
        <v>0</v>
      </c>
      <c r="AC55" s="14">
        <f>SUM($K55:P55)</f>
        <v>0</v>
      </c>
      <c r="AD55" s="14">
        <f>SUM($K55:Q55)</f>
        <v>0</v>
      </c>
      <c r="AE55" s="14">
        <f>SUM($K55:R55)</f>
        <v>0</v>
      </c>
      <c r="AF55" s="14">
        <f>SUM($K55:S55)</f>
        <v>0</v>
      </c>
      <c r="AG55" s="14">
        <f>SUM($K55:T55)</f>
        <v>0</v>
      </c>
      <c r="AH55" s="14">
        <f>SUM($K55:U55)</f>
        <v>0</v>
      </c>
      <c r="AI55" s="14">
        <f>SUM($K55:V55)</f>
        <v>0</v>
      </c>
    </row>
    <row r="56" spans="1:35">
      <c r="B56" s="5">
        <v>25053</v>
      </c>
      <c r="C56" s="17" t="s">
        <v>111</v>
      </c>
      <c r="D56" s="5" t="str">
        <f>VLOOKUP($B56, Spa!$B:$P, 14, 0)</f>
        <v>Amy</v>
      </c>
      <c r="E56" s="5" t="str">
        <f>VLOOKUP($B56, Spa!$B:$P, 15, 0)</f>
        <v>West</v>
      </c>
      <c r="F56" s="5">
        <f>VLOOKUP(B56, Spa!$B:$E, 3, 0)</f>
        <v>2024</v>
      </c>
      <c r="G56" s="6">
        <f>VLOOKUP(B56, Spa!$B:$E, 4, 0)</f>
        <v>45505</v>
      </c>
      <c r="H56" s="5" t="str">
        <f t="shared" si="7"/>
        <v>20248</v>
      </c>
      <c r="I56" s="5" t="str">
        <f>VLOOKUP(B56, Spa!$B:$L, 10, 0)</f>
        <v>No</v>
      </c>
      <c r="X56" s="14">
        <f>SUM($K56:K56)</f>
        <v>0</v>
      </c>
      <c r="Y56" s="14">
        <f>SUM($K56:L56)</f>
        <v>0</v>
      </c>
      <c r="Z56" s="14">
        <f>SUM($K56:M56)</f>
        <v>0</v>
      </c>
      <c r="AA56" s="14">
        <f>SUM($K56:N56)</f>
        <v>0</v>
      </c>
      <c r="AB56" s="14">
        <f>SUM($K56:O56)</f>
        <v>0</v>
      </c>
      <c r="AC56" s="14">
        <f>SUM($K56:P56)</f>
        <v>0</v>
      </c>
      <c r="AD56" s="14">
        <f>SUM($K56:Q56)</f>
        <v>0</v>
      </c>
      <c r="AE56" s="14">
        <f>SUM($K56:R56)</f>
        <v>0</v>
      </c>
      <c r="AF56" s="14">
        <f>SUM($K56:S56)</f>
        <v>0</v>
      </c>
      <c r="AG56" s="14">
        <f>SUM($K56:T56)</f>
        <v>0</v>
      </c>
      <c r="AH56" s="14">
        <f>SUM($K56:U56)</f>
        <v>0</v>
      </c>
      <c r="AI56" s="14">
        <f>SUM($K56:V56)</f>
        <v>0</v>
      </c>
    </row>
    <row r="57" spans="1:35">
      <c r="B57" s="5">
        <v>25054</v>
      </c>
      <c r="C57" s="17" t="s">
        <v>92</v>
      </c>
      <c r="D57" s="5" t="str">
        <f>VLOOKUP($B57, Spa!$B:$P, 14, 0)</f>
        <v>Lisa</v>
      </c>
      <c r="E57" s="5" t="str">
        <f>VLOOKUP($B57, Spa!$B:$P, 15, 0)</f>
        <v>Southeast</v>
      </c>
      <c r="F57" s="5">
        <f>VLOOKUP(B57, Spa!$B:$E, 3, 0)</f>
        <v>2024</v>
      </c>
      <c r="G57" s="6">
        <f>VLOOKUP(B57, Spa!$B:$E, 4, 0)</f>
        <v>45505</v>
      </c>
      <c r="H57" s="5" t="str">
        <f t="shared" si="7"/>
        <v>20248</v>
      </c>
      <c r="I57" s="5" t="str">
        <f>VLOOKUP(B57, Spa!$B:$L, 10, 0)</f>
        <v>No</v>
      </c>
      <c r="X57" s="14">
        <f>SUM($K57:K57)</f>
        <v>0</v>
      </c>
      <c r="Y57" s="14">
        <f>SUM($K57:L57)</f>
        <v>0</v>
      </c>
      <c r="Z57" s="14">
        <f>SUM($K57:M57)</f>
        <v>0</v>
      </c>
      <c r="AA57" s="14">
        <f>SUM($K57:N57)</f>
        <v>0</v>
      </c>
      <c r="AB57" s="14">
        <f>SUM($K57:O57)</f>
        <v>0</v>
      </c>
      <c r="AC57" s="14">
        <f>SUM($K57:P57)</f>
        <v>0</v>
      </c>
      <c r="AD57" s="14">
        <f>SUM($K57:Q57)</f>
        <v>0</v>
      </c>
      <c r="AE57" s="14">
        <f>SUM($K57:R57)</f>
        <v>0</v>
      </c>
      <c r="AF57" s="14">
        <f>SUM($K57:S57)</f>
        <v>0</v>
      </c>
      <c r="AG57" s="14">
        <f>SUM($K57:T57)</f>
        <v>0</v>
      </c>
      <c r="AH57" s="14">
        <f>SUM($K57:U57)</f>
        <v>0</v>
      </c>
      <c r="AI57" s="14">
        <f>SUM($K57:V57)</f>
        <v>0</v>
      </c>
    </row>
    <row r="58" spans="1:35">
      <c r="B58" s="5">
        <v>25055</v>
      </c>
      <c r="C58" s="17" t="s">
        <v>130</v>
      </c>
      <c r="D58" s="5" t="str">
        <f>VLOOKUP($B58, Spa!$B:$P, 14, 0)</f>
        <v>Lisa</v>
      </c>
      <c r="E58" s="5" t="str">
        <f>VLOOKUP($B58, Spa!$B:$P, 15, 0)</f>
        <v>Southeast</v>
      </c>
      <c r="F58" s="5">
        <f>VLOOKUP(B58, Spa!$B:$E, 3, 0)</f>
        <v>2024</v>
      </c>
      <c r="G58" s="6">
        <f>VLOOKUP(B58, Spa!$B:$E, 4, 0)</f>
        <v>45536</v>
      </c>
      <c r="H58" s="5" t="str">
        <f t="shared" si="7"/>
        <v>20249</v>
      </c>
      <c r="I58" s="5" t="str">
        <f>VLOOKUP(B58, Spa!$B:$L, 10, 0)</f>
        <v>No</v>
      </c>
      <c r="X58" s="14">
        <f>SUM($K58:K58)</f>
        <v>0</v>
      </c>
      <c r="Y58" s="14">
        <f>SUM($K58:L58)</f>
        <v>0</v>
      </c>
      <c r="Z58" s="14">
        <f>SUM($K58:M58)</f>
        <v>0</v>
      </c>
      <c r="AA58" s="14">
        <f>SUM($K58:N58)</f>
        <v>0</v>
      </c>
      <c r="AB58" s="14">
        <f>SUM($K58:O58)</f>
        <v>0</v>
      </c>
      <c r="AC58" s="14">
        <f>SUM($K58:P58)</f>
        <v>0</v>
      </c>
      <c r="AD58" s="14">
        <f>SUM($K58:Q58)</f>
        <v>0</v>
      </c>
      <c r="AE58" s="14">
        <f>SUM($K58:R58)</f>
        <v>0</v>
      </c>
      <c r="AF58" s="14">
        <f>SUM($K58:S58)</f>
        <v>0</v>
      </c>
      <c r="AG58" s="14">
        <f>SUM($K58:T58)</f>
        <v>0</v>
      </c>
      <c r="AH58" s="14">
        <f>SUM($K58:U58)</f>
        <v>0</v>
      </c>
      <c r="AI58" s="14">
        <f>SUM($K58:V58)</f>
        <v>0</v>
      </c>
    </row>
    <row r="59" spans="1:35">
      <c r="B59" s="5">
        <v>25056</v>
      </c>
      <c r="C59" s="17" t="s">
        <v>94</v>
      </c>
      <c r="D59" s="5" t="str">
        <f>VLOOKUP($B59, Spa!$B:$P, 14, 0)</f>
        <v>Amy</v>
      </c>
      <c r="E59" s="5" t="str">
        <f>VLOOKUP($B59, Spa!$B:$P, 15, 0)</f>
        <v>Central</v>
      </c>
      <c r="F59" s="5">
        <f>VLOOKUP(B59, Spa!$B:$E, 3, 0)</f>
        <v>2024</v>
      </c>
      <c r="G59" s="6">
        <f>VLOOKUP(B59, Spa!$B:$E, 4, 0)</f>
        <v>45536</v>
      </c>
      <c r="H59" s="5" t="str">
        <f t="shared" si="7"/>
        <v>20249</v>
      </c>
      <c r="I59" s="5" t="str">
        <f>VLOOKUP(B59, Spa!$B:$L, 10, 0)</f>
        <v>No</v>
      </c>
      <c r="X59" s="14">
        <f>SUM($K59:K59)</f>
        <v>0</v>
      </c>
      <c r="Y59" s="14">
        <f>SUM($K59:L59)</f>
        <v>0</v>
      </c>
      <c r="Z59" s="14">
        <f>SUM($K59:M59)</f>
        <v>0</v>
      </c>
      <c r="AA59" s="14">
        <f>SUM($K59:N59)</f>
        <v>0</v>
      </c>
      <c r="AB59" s="14">
        <f>SUM($K59:O59)</f>
        <v>0</v>
      </c>
      <c r="AC59" s="14">
        <f>SUM($K59:P59)</f>
        <v>0</v>
      </c>
      <c r="AD59" s="14">
        <f>SUM($K59:Q59)</f>
        <v>0</v>
      </c>
      <c r="AE59" s="14">
        <f>SUM($K59:R59)</f>
        <v>0</v>
      </c>
      <c r="AF59" s="14">
        <f>SUM($K59:S59)</f>
        <v>0</v>
      </c>
      <c r="AG59" s="14">
        <f>SUM($K59:T59)</f>
        <v>0</v>
      </c>
      <c r="AH59" s="14">
        <f>SUM($K59:U59)</f>
        <v>0</v>
      </c>
      <c r="AI59" s="14">
        <f>SUM($K59:V59)</f>
        <v>0</v>
      </c>
    </row>
    <row r="60" spans="1:35">
      <c r="B60" s="11">
        <v>25057</v>
      </c>
      <c r="C60" s="11" t="s">
        <v>156</v>
      </c>
      <c r="D60" s="5" t="str">
        <f>VLOOKUP($B60, Spa!$B:$P, 14, 0)</f>
        <v>Emily</v>
      </c>
      <c r="E60" s="5" t="str">
        <f>VLOOKUP($B60, Spa!$B:$P, 15, 0)</f>
        <v>Central</v>
      </c>
      <c r="F60" s="5">
        <f>VLOOKUP(B60, Spa!$B:$E, 3, 0)</f>
        <v>2024</v>
      </c>
      <c r="G60" s="6">
        <f>VLOOKUP(B60, Spa!$B:$E, 4, 0)</f>
        <v>45566</v>
      </c>
      <c r="H60" s="5" t="str">
        <f t="shared" si="7"/>
        <v>202410</v>
      </c>
      <c r="I60" s="5" t="str">
        <f>VLOOKUP(B60, Spa!$B:$L, 10, 0)</f>
        <v>No</v>
      </c>
      <c r="X60" s="14">
        <f>SUM($K60:K60)</f>
        <v>0</v>
      </c>
      <c r="Y60" s="14">
        <f>SUM($K60:L60)</f>
        <v>0</v>
      </c>
      <c r="Z60" s="14">
        <f>SUM($K60:M60)</f>
        <v>0</v>
      </c>
      <c r="AA60" s="14">
        <f>SUM($K60:N60)</f>
        <v>0</v>
      </c>
      <c r="AB60" s="14">
        <f>SUM($K60:O60)</f>
        <v>0</v>
      </c>
      <c r="AC60" s="14">
        <f>SUM($K60:P60)</f>
        <v>0</v>
      </c>
      <c r="AD60" s="14">
        <f>SUM($K60:Q60)</f>
        <v>0</v>
      </c>
      <c r="AE60" s="14">
        <f>SUM($K60:R60)</f>
        <v>0</v>
      </c>
      <c r="AF60" s="14">
        <f>SUM($K60:S60)</f>
        <v>0</v>
      </c>
      <c r="AG60" s="14">
        <f>SUM($K60:T60)</f>
        <v>0</v>
      </c>
      <c r="AH60" s="14">
        <f>SUM($K60:U60)</f>
        <v>0</v>
      </c>
      <c r="AI60" s="14">
        <f>SUM($K60:V60)</f>
        <v>0</v>
      </c>
    </row>
    <row r="61" spans="1:35">
      <c r="B61" s="12">
        <v>25058</v>
      </c>
      <c r="C61" s="18" t="s">
        <v>112</v>
      </c>
      <c r="D61" s="5" t="str">
        <f>VLOOKUP($B61, Spa!$B:$P, 14, 0)</f>
        <v>Amy</v>
      </c>
      <c r="E61" s="5" t="str">
        <f>VLOOKUP($B61, Spa!$B:$P, 15, 0)</f>
        <v>West</v>
      </c>
      <c r="F61" s="5">
        <f>VLOOKUP(B61, Spa!$B:$E, 3, 0)</f>
        <v>2024</v>
      </c>
      <c r="G61" s="6">
        <f>VLOOKUP(B61, Spa!$B:$E, 4, 0)</f>
        <v>45566</v>
      </c>
      <c r="H61" s="5" t="str">
        <f t="shared" si="7"/>
        <v>202410</v>
      </c>
      <c r="I61" s="5" t="str">
        <f>VLOOKUP(B61, Spa!$B:$L, 10, 0)</f>
        <v>No</v>
      </c>
      <c r="X61" s="14">
        <f>SUM($K61:K61)</f>
        <v>0</v>
      </c>
      <c r="Y61" s="14">
        <f>SUM($K61:L61)</f>
        <v>0</v>
      </c>
      <c r="Z61" s="14">
        <f>SUM($K61:M61)</f>
        <v>0</v>
      </c>
      <c r="AA61" s="14">
        <f>SUM($K61:N61)</f>
        <v>0</v>
      </c>
      <c r="AB61" s="14">
        <f>SUM($K61:O61)</f>
        <v>0</v>
      </c>
      <c r="AC61" s="14">
        <f>SUM($K61:P61)</f>
        <v>0</v>
      </c>
      <c r="AD61" s="14">
        <f>SUM($K61:Q61)</f>
        <v>0</v>
      </c>
      <c r="AE61" s="14">
        <f>SUM($K61:R61)</f>
        <v>0</v>
      </c>
      <c r="AF61" s="14">
        <f>SUM($K61:S61)</f>
        <v>0</v>
      </c>
      <c r="AG61" s="14">
        <f>SUM($K61:T61)</f>
        <v>0</v>
      </c>
      <c r="AH61" s="14">
        <f>SUM($K61:U61)</f>
        <v>0</v>
      </c>
      <c r="AI61" s="14">
        <f>SUM($K61:V61)</f>
        <v>0</v>
      </c>
    </row>
    <row r="62" spans="1:35">
      <c r="B62" s="5">
        <v>25059</v>
      </c>
      <c r="C62" s="5" t="s">
        <v>113</v>
      </c>
      <c r="D62" s="5" t="str">
        <f>VLOOKUP($B62, Spa!$B:$P, 14, 0)</f>
        <v>Amy</v>
      </c>
      <c r="E62" s="5" t="str">
        <f>VLOOKUP($B62, Spa!$B:$P, 15, 0)</f>
        <v>West</v>
      </c>
      <c r="F62" s="5">
        <f>VLOOKUP(B62, Spa!$B:$E, 3, 0)</f>
        <v>2024</v>
      </c>
      <c r="G62" s="6">
        <f>VLOOKUP(B62, Spa!$B:$E, 4, 0)</f>
        <v>45627</v>
      </c>
      <c r="H62" s="5" t="str">
        <f t="shared" si="7"/>
        <v>202412</v>
      </c>
      <c r="I62" s="5" t="str">
        <f>VLOOKUP(B62, Spa!$B:$L, 10, 0)</f>
        <v>No</v>
      </c>
      <c r="X62" s="14">
        <f>SUM($K62:K62)</f>
        <v>0</v>
      </c>
      <c r="Y62" s="14">
        <f>SUM($K62:L62)</f>
        <v>0</v>
      </c>
      <c r="Z62" s="14">
        <f>SUM($K62:M62)</f>
        <v>0</v>
      </c>
      <c r="AA62" s="14">
        <f>SUM($K62:N62)</f>
        <v>0</v>
      </c>
      <c r="AB62" s="14">
        <f>SUM($K62:O62)</f>
        <v>0</v>
      </c>
      <c r="AC62" s="14">
        <f>SUM($K62:P62)</f>
        <v>0</v>
      </c>
      <c r="AD62" s="14">
        <f>SUM($K62:Q62)</f>
        <v>0</v>
      </c>
      <c r="AE62" s="14">
        <f>SUM($K62:R62)</f>
        <v>0</v>
      </c>
      <c r="AF62" s="14">
        <f>SUM($K62:S62)</f>
        <v>0</v>
      </c>
      <c r="AG62" s="14">
        <f>SUM($K62:T62)</f>
        <v>0</v>
      </c>
      <c r="AH62" s="14">
        <f>SUM($K62:U62)</f>
        <v>0</v>
      </c>
      <c r="AI62" s="14">
        <f>SUM($K62:V62)</f>
        <v>0</v>
      </c>
    </row>
  </sheetData>
  <autoFilter ref="A11:V62" xr:uid="{00000000-0001-0000-0000-000000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25D1-BBFD-46E4-B2F5-161EDE082C9A}">
  <dimension ref="A1:AI62"/>
  <sheetViews>
    <sheetView topLeftCell="C1" workbookViewId="0">
      <selection activeCell="H12" sqref="H12"/>
    </sheetView>
  </sheetViews>
  <sheetFormatPr defaultColWidth="9.140625" defaultRowHeight="15"/>
  <cols>
    <col min="1" max="2" width="9.140625" style="5"/>
    <col min="3" max="3" width="47.85546875" style="5" bestFit="1" customWidth="1"/>
    <col min="4" max="5" width="24.85546875" style="5" customWidth="1"/>
    <col min="6" max="6" width="15.42578125" style="5" customWidth="1"/>
    <col min="7" max="9" width="27.7109375" style="5" customWidth="1"/>
    <col min="10" max="10" width="16.42578125" style="5" bestFit="1" customWidth="1"/>
    <col min="11" max="12" width="10.42578125" style="5" bestFit="1" customWidth="1"/>
    <col min="13" max="13" width="11.42578125" style="5" bestFit="1" customWidth="1"/>
    <col min="14" max="14" width="14.42578125" style="5" customWidth="1"/>
    <col min="15" max="15" width="11.42578125" style="5" bestFit="1" customWidth="1"/>
    <col min="16" max="22" width="11.42578125" style="5" customWidth="1"/>
    <col min="23" max="23" width="9.140625" style="5"/>
    <col min="24" max="32" width="10.42578125" style="5" bestFit="1" customWidth="1"/>
    <col min="33" max="35" width="11.42578125" style="5" bestFit="1" customWidth="1"/>
    <col min="36" max="16384" width="9.140625" style="5"/>
  </cols>
  <sheetData>
    <row r="1" spans="1:35">
      <c r="J1" s="5" t="s">
        <v>184</v>
      </c>
      <c r="K1" s="14">
        <f t="shared" ref="K1:R1" si="0">SUM(K12:K67)</f>
        <v>34386.819999999992</v>
      </c>
      <c r="L1" s="14">
        <f t="shared" si="0"/>
        <v>55070.310000000005</v>
      </c>
      <c r="M1" s="14">
        <f t="shared" si="0"/>
        <v>61599.83</v>
      </c>
      <c r="N1" s="14">
        <f t="shared" si="0"/>
        <v>61812.99</v>
      </c>
      <c r="O1" s="14">
        <f t="shared" si="0"/>
        <v>40923.49</v>
      </c>
      <c r="P1" s="14">
        <f t="shared" si="0"/>
        <v>50524.369999999995</v>
      </c>
      <c r="Q1" s="14">
        <f t="shared" si="0"/>
        <v>42721.68</v>
      </c>
      <c r="R1" s="14">
        <f t="shared" si="0"/>
        <v>72641.75</v>
      </c>
      <c r="S1" s="14">
        <f>SUM(S12:S67)</f>
        <v>107958</v>
      </c>
      <c r="T1" s="14">
        <f t="shared" ref="T1" si="1">SUM(T12:T67)</f>
        <v>85157.909999999989</v>
      </c>
      <c r="U1" s="14">
        <f>SUM(U12:U67)</f>
        <v>88184.06</v>
      </c>
      <c r="V1" s="14">
        <f>SUM(V12:V67)</f>
        <v>66263.19</v>
      </c>
    </row>
    <row r="2" spans="1:35">
      <c r="J2" s="5" t="s">
        <v>185</v>
      </c>
      <c r="K2" s="14">
        <f>SUM($K1:K1)</f>
        <v>34386.819999999992</v>
      </c>
      <c r="L2" s="14">
        <f>SUM($K1:L1)</f>
        <v>89457.13</v>
      </c>
      <c r="M2" s="14">
        <f>SUM($K1:M1)</f>
        <v>151056.96000000002</v>
      </c>
      <c r="N2" s="14">
        <f>SUM($K1:N1)</f>
        <v>212869.95</v>
      </c>
      <c r="O2" s="14">
        <f>SUM($K1:O1)</f>
        <v>253793.44</v>
      </c>
      <c r="P2" s="14">
        <f>SUM($K1:P1)</f>
        <v>304317.81</v>
      </c>
      <c r="Q2" s="14">
        <f>SUM($K1:Q1)</f>
        <v>347039.49</v>
      </c>
      <c r="R2" s="14">
        <f>SUM($K1:R1)</f>
        <v>419681.24</v>
      </c>
      <c r="S2" s="14">
        <f>SUM($K1:S1)</f>
        <v>527639.24</v>
      </c>
      <c r="T2" s="14">
        <f>SUM($K1:T1)</f>
        <v>612797.15</v>
      </c>
      <c r="U2" s="14">
        <f>SUM($K1:U1)</f>
        <v>700981.21</v>
      </c>
      <c r="V2" s="14">
        <f>SUM($K1:V1)</f>
        <v>767244.39999999991</v>
      </c>
    </row>
    <row r="3" spans="1:35">
      <c r="J3" s="5" t="s">
        <v>186</v>
      </c>
      <c r="K3" s="15">
        <f>COUNTIF(K12:K95, "&gt;0")+IF(K42&gt;0, 1, 0)</f>
        <v>11</v>
      </c>
      <c r="L3" s="15">
        <f t="shared" ref="L3:V3" si="2">COUNTIF(L12:L95, "&gt;0")+IF(L42&gt;0, 1, 0)</f>
        <v>12</v>
      </c>
      <c r="M3" s="15">
        <f t="shared" si="2"/>
        <v>14</v>
      </c>
      <c r="N3" s="15">
        <f t="shared" si="2"/>
        <v>16</v>
      </c>
      <c r="O3" s="15">
        <f t="shared" si="2"/>
        <v>12</v>
      </c>
      <c r="P3" s="15">
        <f t="shared" si="2"/>
        <v>13</v>
      </c>
      <c r="Q3" s="15">
        <f t="shared" si="2"/>
        <v>13</v>
      </c>
      <c r="R3" s="15">
        <f t="shared" si="2"/>
        <v>18</v>
      </c>
      <c r="S3" s="15">
        <f t="shared" si="2"/>
        <v>19</v>
      </c>
      <c r="T3" s="15">
        <f t="shared" si="2"/>
        <v>23</v>
      </c>
      <c r="U3" s="15">
        <f t="shared" si="2"/>
        <v>23</v>
      </c>
      <c r="V3" s="15">
        <f t="shared" si="2"/>
        <v>23</v>
      </c>
    </row>
    <row r="4" spans="1:35">
      <c r="J4" s="5" t="s">
        <v>187</v>
      </c>
      <c r="K4" s="15">
        <f>COUNTIF(X$12:X$95, "&gt;0")+IF(X42&gt;0, 1, 0)</f>
        <v>11</v>
      </c>
      <c r="L4" s="15">
        <f t="shared" ref="L4:V4" si="3">COUNTIF(Y$12:Y$95, "&gt;0")+IF(Y42&gt;0, 1, 0)</f>
        <v>15</v>
      </c>
      <c r="M4" s="15">
        <f t="shared" si="3"/>
        <v>18</v>
      </c>
      <c r="N4" s="15">
        <f t="shared" si="3"/>
        <v>21</v>
      </c>
      <c r="O4" s="15">
        <f t="shared" si="3"/>
        <v>23</v>
      </c>
      <c r="P4" s="15">
        <f t="shared" si="3"/>
        <v>25</v>
      </c>
      <c r="Q4" s="15">
        <f t="shared" si="3"/>
        <v>27</v>
      </c>
      <c r="R4" s="15">
        <f t="shared" si="3"/>
        <v>29</v>
      </c>
      <c r="S4" s="15">
        <f t="shared" si="3"/>
        <v>31</v>
      </c>
      <c r="T4" s="15">
        <f t="shared" si="3"/>
        <v>34</v>
      </c>
      <c r="U4" s="15">
        <f t="shared" si="3"/>
        <v>34</v>
      </c>
      <c r="V4" s="15">
        <f t="shared" si="3"/>
        <v>35</v>
      </c>
    </row>
    <row r="5" spans="1:35">
      <c r="J5" s="5" t="s">
        <v>188</v>
      </c>
      <c r="K5" s="5">
        <f t="shared" ref="K5:V5" si="4">SUMIF($H:$H, YEAR(K11)&amp;MONTH(K11), K:K)</f>
        <v>5613.07</v>
      </c>
      <c r="L5" s="5">
        <f t="shared" si="4"/>
        <v>8084.29</v>
      </c>
      <c r="M5" s="5">
        <f t="shared" si="4"/>
        <v>5828.27</v>
      </c>
      <c r="N5" s="5">
        <f t="shared" si="4"/>
        <v>11898.24</v>
      </c>
      <c r="O5" s="5">
        <f t="shared" si="4"/>
        <v>13930.64</v>
      </c>
      <c r="P5" s="5">
        <f t="shared" si="4"/>
        <v>8986.5499999999993</v>
      </c>
      <c r="Q5" s="5">
        <f t="shared" si="4"/>
        <v>1734</v>
      </c>
      <c r="R5" s="5">
        <f t="shared" si="4"/>
        <v>23589.41</v>
      </c>
      <c r="S5" s="5">
        <f t="shared" si="4"/>
        <v>25904.14</v>
      </c>
      <c r="T5" s="5">
        <f t="shared" si="4"/>
        <v>4625.93</v>
      </c>
      <c r="U5" s="5">
        <f t="shared" si="4"/>
        <v>0</v>
      </c>
      <c r="V5" s="5">
        <f t="shared" si="4"/>
        <v>2469.9699999999998</v>
      </c>
    </row>
    <row r="6" spans="1:35">
      <c r="J6" s="5" t="s">
        <v>189</v>
      </c>
      <c r="K6" s="5">
        <f t="shared" ref="K6:V6" si="5">SUMIF($F:$F, YEAR(K11), K:K)</f>
        <v>5613.07</v>
      </c>
      <c r="L6" s="5">
        <f t="shared" si="5"/>
        <v>8084.29</v>
      </c>
      <c r="M6" s="5">
        <f t="shared" si="5"/>
        <v>8829.77</v>
      </c>
      <c r="N6" s="5">
        <f t="shared" si="5"/>
        <v>20849.400000000001</v>
      </c>
      <c r="O6" s="5">
        <f t="shared" si="5"/>
        <v>13930.64</v>
      </c>
      <c r="P6" s="5">
        <f t="shared" si="5"/>
        <v>13765.699999999999</v>
      </c>
      <c r="Q6" s="5">
        <f t="shared" si="5"/>
        <v>15283.35</v>
      </c>
      <c r="R6" s="5">
        <f t="shared" si="5"/>
        <v>34540.76</v>
      </c>
      <c r="S6" s="5">
        <f t="shared" si="5"/>
        <v>50227.229999999996</v>
      </c>
      <c r="T6" s="5">
        <f t="shared" si="5"/>
        <v>20981.22</v>
      </c>
      <c r="U6" s="5">
        <f t="shared" si="5"/>
        <v>30417.54</v>
      </c>
      <c r="V6" s="5">
        <f t="shared" si="5"/>
        <v>36282.03</v>
      </c>
    </row>
    <row r="7" spans="1:35">
      <c r="J7" s="5" t="s">
        <v>190</v>
      </c>
      <c r="K7" s="14">
        <f>SUM($K6:K6)</f>
        <v>5613.07</v>
      </c>
      <c r="L7" s="14">
        <f>SUM($K6:L6)</f>
        <v>13697.36</v>
      </c>
      <c r="M7" s="14">
        <f>SUM($K6:M6)</f>
        <v>22527.13</v>
      </c>
      <c r="N7" s="14">
        <f>SUM($K6:N6)</f>
        <v>43376.53</v>
      </c>
      <c r="O7" s="14">
        <f>SUM($K6:O6)</f>
        <v>57307.17</v>
      </c>
      <c r="P7" s="14">
        <f>SUM($K6:P6)</f>
        <v>71072.87</v>
      </c>
      <c r="Q7" s="14">
        <f>SUM($K6:Q6)</f>
        <v>86356.22</v>
      </c>
      <c r="R7" s="14">
        <f>SUM($K6:R6)</f>
        <v>120896.98000000001</v>
      </c>
      <c r="S7" s="14">
        <f>SUM($K6:S6)</f>
        <v>171124.21000000002</v>
      </c>
      <c r="T7" s="14">
        <f>SUM($K6:T6)</f>
        <v>192105.43000000002</v>
      </c>
      <c r="U7" s="14">
        <f>SUM($K6:U6)</f>
        <v>222522.97000000003</v>
      </c>
      <c r="V7" s="14">
        <f>SUM($K6:V6)</f>
        <v>258805.00000000003</v>
      </c>
    </row>
    <row r="8" spans="1:35">
      <c r="J8" s="5" t="s">
        <v>191</v>
      </c>
      <c r="K8" s="15">
        <f t="shared" ref="K8:V8" si="6">COUNTIF($G:$G, K11)</f>
        <v>1</v>
      </c>
      <c r="L8" s="15">
        <f t="shared" si="6"/>
        <v>1</v>
      </c>
      <c r="M8" s="15">
        <f t="shared" si="6"/>
        <v>1</v>
      </c>
      <c r="N8" s="15">
        <f t="shared" si="6"/>
        <v>1</v>
      </c>
      <c r="O8" s="15">
        <f t="shared" si="6"/>
        <v>2</v>
      </c>
      <c r="P8" s="15">
        <f t="shared" si="6"/>
        <v>1</v>
      </c>
      <c r="Q8" s="15">
        <f t="shared" si="6"/>
        <v>1</v>
      </c>
      <c r="R8" s="15">
        <f t="shared" si="6"/>
        <v>2</v>
      </c>
      <c r="S8" s="15">
        <f t="shared" si="6"/>
        <v>2</v>
      </c>
      <c r="T8" s="15">
        <f t="shared" si="6"/>
        <v>2</v>
      </c>
      <c r="U8" s="15">
        <f t="shared" si="6"/>
        <v>0</v>
      </c>
      <c r="V8" s="15">
        <f t="shared" si="6"/>
        <v>1</v>
      </c>
    </row>
    <row r="9" spans="1:35">
      <c r="J9" s="5" t="s">
        <v>190</v>
      </c>
      <c r="K9" s="15">
        <f>SUM($K8:K8)</f>
        <v>1</v>
      </c>
      <c r="L9" s="15">
        <f>SUM($K8:L8)</f>
        <v>2</v>
      </c>
      <c r="M9" s="15">
        <f>SUM($K8:M8)</f>
        <v>3</v>
      </c>
      <c r="N9" s="15">
        <f>SUM($K8:N8)</f>
        <v>4</v>
      </c>
      <c r="O9" s="15">
        <f>SUM($K8:O8)</f>
        <v>6</v>
      </c>
      <c r="P9" s="15">
        <f>SUM($K8:P8)</f>
        <v>7</v>
      </c>
      <c r="Q9" s="15">
        <f>SUM($K8:Q8)</f>
        <v>8</v>
      </c>
      <c r="R9" s="15">
        <f>SUM($K8:R8)</f>
        <v>10</v>
      </c>
      <c r="S9" s="15">
        <f>SUM($K8:S8)</f>
        <v>12</v>
      </c>
      <c r="T9" s="15">
        <f>SUM($K8:T8)</f>
        <v>14</v>
      </c>
      <c r="U9" s="15">
        <f>SUM($K8:U8)</f>
        <v>14</v>
      </c>
      <c r="V9" s="15">
        <f>SUM($K8:V8)</f>
        <v>15</v>
      </c>
    </row>
    <row r="11" spans="1:35">
      <c r="A11" s="5" t="s">
        <v>192</v>
      </c>
      <c r="B11" s="5" t="s">
        <v>54</v>
      </c>
      <c r="C11" s="5" t="s">
        <v>55</v>
      </c>
      <c r="D11" s="5" t="s">
        <v>57</v>
      </c>
      <c r="E11" s="5" t="s">
        <v>56</v>
      </c>
      <c r="F11" s="5" t="s">
        <v>58</v>
      </c>
      <c r="G11" s="5" t="s">
        <v>193</v>
      </c>
      <c r="H11" s="5" t="s">
        <v>194</v>
      </c>
      <c r="I11" s="5" t="s">
        <v>59</v>
      </c>
      <c r="J11" s="5" t="s">
        <v>195</v>
      </c>
      <c r="K11" s="6">
        <v>45292</v>
      </c>
      <c r="L11" s="6">
        <v>45323</v>
      </c>
      <c r="M11" s="6">
        <v>45352</v>
      </c>
      <c r="N11" s="6">
        <v>45383</v>
      </c>
      <c r="O11" s="6">
        <v>45413</v>
      </c>
      <c r="P11" s="6">
        <v>45444</v>
      </c>
      <c r="Q11" s="6">
        <v>45474</v>
      </c>
      <c r="R11" s="6">
        <v>45505</v>
      </c>
      <c r="S11" s="6">
        <v>45536</v>
      </c>
      <c r="T11" s="6">
        <v>45566</v>
      </c>
      <c r="U11" s="6">
        <v>45597</v>
      </c>
      <c r="V11" s="6">
        <v>45627</v>
      </c>
      <c r="X11" s="6">
        <v>45292</v>
      </c>
      <c r="Y11" s="6">
        <v>45323</v>
      </c>
      <c r="Z11" s="6">
        <v>45352</v>
      </c>
      <c r="AA11" s="6">
        <v>45383</v>
      </c>
      <c r="AB11" s="6">
        <v>45413</v>
      </c>
      <c r="AC11" s="6">
        <v>45444</v>
      </c>
      <c r="AD11" s="6">
        <v>45474</v>
      </c>
      <c r="AE11" s="6">
        <v>45505</v>
      </c>
      <c r="AF11" s="6">
        <v>45536</v>
      </c>
      <c r="AG11" s="6">
        <v>45566</v>
      </c>
      <c r="AH11" s="6">
        <v>45597</v>
      </c>
      <c r="AI11" s="6">
        <v>45627</v>
      </c>
    </row>
    <row r="12" spans="1:35">
      <c r="A12" s="5">
        <v>2</v>
      </c>
      <c r="B12" s="5">
        <v>25000</v>
      </c>
      <c r="C12" s="5" t="s">
        <v>106</v>
      </c>
      <c r="D12" s="5" t="str">
        <f>VLOOKUP($B12, Spa!$B:$P, 14, 0)</f>
        <v>Amy</v>
      </c>
      <c r="E12" s="5" t="str">
        <f>VLOOKUP($B12, Spa!$B:$P, 15, 0)</f>
        <v>West</v>
      </c>
      <c r="F12" s="5">
        <f>VLOOKUP(B12, Spa!$B:$E, 3, 0)</f>
        <v>2021</v>
      </c>
      <c r="G12" s="6">
        <f>VLOOKUP(B12, Spa!$B:$E, 4, 0)</f>
        <v>44378</v>
      </c>
      <c r="H12" s="5" t="str">
        <f>F12&amp;MONTH(G12)</f>
        <v>20217</v>
      </c>
      <c r="I12" s="5" t="str">
        <f>VLOOKUP(B12, Spa!$B:$L, 11, 0)</f>
        <v>Yes</v>
      </c>
      <c r="J12" s="16">
        <v>12766.93</v>
      </c>
      <c r="K12" s="16"/>
      <c r="L12" s="16">
        <v>0</v>
      </c>
      <c r="M12" s="16">
        <v>738.52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487.4</v>
      </c>
      <c r="U12" s="16">
        <v>314</v>
      </c>
      <c r="V12" s="16">
        <v>0</v>
      </c>
      <c r="X12" s="14">
        <f>SUM($K12:K12)</f>
        <v>0</v>
      </c>
      <c r="Y12" s="14">
        <f>SUM($K12:L12)</f>
        <v>0</v>
      </c>
      <c r="Z12" s="14">
        <f>SUM($K12:M12)</f>
        <v>738.52</v>
      </c>
      <c r="AA12" s="14">
        <f>SUM($K12:N12)</f>
        <v>738.52</v>
      </c>
      <c r="AB12" s="14">
        <f>SUM($K12:O12)</f>
        <v>738.52</v>
      </c>
      <c r="AC12" s="14">
        <f>SUM($K12:P12)</f>
        <v>738.52</v>
      </c>
      <c r="AD12" s="14">
        <f>SUM($K12:Q12)</f>
        <v>738.52</v>
      </c>
      <c r="AE12" s="14">
        <f>SUM($K12:R12)</f>
        <v>738.52</v>
      </c>
      <c r="AF12" s="14">
        <f>SUM($K12:S12)</f>
        <v>738.52</v>
      </c>
      <c r="AG12" s="14">
        <f>SUM($K12:T12)</f>
        <v>1225.92</v>
      </c>
      <c r="AH12" s="14">
        <f>SUM($K12:U12)</f>
        <v>1539.92</v>
      </c>
      <c r="AI12" s="14">
        <f>SUM($K12:V12)</f>
        <v>1539.92</v>
      </c>
    </row>
    <row r="13" spans="1:35">
      <c r="A13" s="5">
        <v>3</v>
      </c>
      <c r="B13" s="5">
        <v>25001</v>
      </c>
      <c r="C13" s="5" t="s">
        <v>196</v>
      </c>
      <c r="D13" s="5" t="str">
        <f>VLOOKUP($B13, Spa!$B:$P, 14, 0)</f>
        <v>Emily</v>
      </c>
      <c r="E13" s="5" t="str">
        <f>VLOOKUP($B13, Spa!$B:$P, 15, 0)</f>
        <v>Northeast</v>
      </c>
      <c r="F13" s="5">
        <f>VLOOKUP(B13, Spa!$B:$E, 3, 0)</f>
        <v>2021</v>
      </c>
      <c r="G13" s="6">
        <f>VLOOKUP(B13, Spa!$B:$E, 4, 0)</f>
        <v>44317</v>
      </c>
      <c r="H13" s="5" t="str">
        <f t="shared" ref="H13:H62" si="7">F13&amp;MONTH(G13)</f>
        <v>20215</v>
      </c>
      <c r="I13" s="5" t="str">
        <f>VLOOKUP(B13, Spa!$B:$L, 11, 0)</f>
        <v>Yes</v>
      </c>
      <c r="J13" s="16">
        <v>57102.76</v>
      </c>
      <c r="K13" s="16">
        <v>0</v>
      </c>
      <c r="L13" s="16">
        <v>10090.34</v>
      </c>
      <c r="M13" s="16">
        <v>878.25</v>
      </c>
      <c r="N13" s="16">
        <v>-2703.67</v>
      </c>
      <c r="O13" s="16">
        <v>284.07</v>
      </c>
      <c r="P13" s="16">
        <v>8583.39</v>
      </c>
      <c r="Q13" s="16">
        <v>1630.87</v>
      </c>
      <c r="R13" s="16">
        <v>6780.27</v>
      </c>
      <c r="S13" s="16">
        <v>287.43</v>
      </c>
      <c r="T13" s="16">
        <v>5697</v>
      </c>
      <c r="U13" s="16">
        <v>693.25</v>
      </c>
      <c r="V13" s="16">
        <v>1459.62</v>
      </c>
      <c r="X13" s="14">
        <f>SUM($K13:K13)</f>
        <v>0</v>
      </c>
      <c r="Y13" s="14">
        <f>SUM($K13:L13)</f>
        <v>10090.34</v>
      </c>
      <c r="Z13" s="14">
        <f>SUM($K13:M13)</f>
        <v>10968.59</v>
      </c>
      <c r="AA13" s="14">
        <f>SUM($K13:N13)</f>
        <v>8264.92</v>
      </c>
      <c r="AB13" s="14">
        <f>SUM($K13:O13)</f>
        <v>8548.99</v>
      </c>
      <c r="AC13" s="14">
        <f>SUM($K13:P13)</f>
        <v>17132.379999999997</v>
      </c>
      <c r="AD13" s="14">
        <f>SUM($K13:Q13)</f>
        <v>18763.249999999996</v>
      </c>
      <c r="AE13" s="14">
        <f>SUM($K13:R13)</f>
        <v>25543.519999999997</v>
      </c>
      <c r="AF13" s="14">
        <f>SUM($K13:S13)</f>
        <v>25830.949999999997</v>
      </c>
      <c r="AG13" s="14">
        <f>SUM($K13:T13)</f>
        <v>31527.949999999997</v>
      </c>
      <c r="AH13" s="14">
        <f>SUM($K13:U13)</f>
        <v>32221.199999999997</v>
      </c>
      <c r="AI13" s="14">
        <f>SUM($K13:V13)</f>
        <v>33680.82</v>
      </c>
    </row>
    <row r="14" spans="1:35">
      <c r="A14" s="5">
        <v>4</v>
      </c>
      <c r="B14" s="5">
        <v>25002</v>
      </c>
      <c r="C14" s="5" t="s">
        <v>121</v>
      </c>
      <c r="D14" s="5" t="str">
        <f>VLOOKUP($B14, Spa!$B:$P, 14, 0)</f>
        <v>Lisa</v>
      </c>
      <c r="E14" s="5" t="str">
        <f>VLOOKUP($B14, Spa!$B:$P, 15, 0)</f>
        <v>Southeast</v>
      </c>
      <c r="F14" s="5">
        <f>VLOOKUP(B14, Spa!$B:$E, 3, 0)</f>
        <v>2021</v>
      </c>
      <c r="G14" s="6">
        <f>VLOOKUP(B14, Spa!$B:$E, 4, 0)</f>
        <v>44409</v>
      </c>
      <c r="H14" s="5" t="str">
        <f t="shared" si="7"/>
        <v>20218</v>
      </c>
      <c r="I14" s="5" t="str">
        <f>VLOOKUP(B14, Spa!$B:$L, 11, 0)</f>
        <v>Yes</v>
      </c>
      <c r="J14" s="16">
        <v>24911.8</v>
      </c>
      <c r="K14" s="16">
        <v>1546.07</v>
      </c>
      <c r="L14" s="16">
        <v>-463.43</v>
      </c>
      <c r="M14" s="16">
        <v>733.04</v>
      </c>
      <c r="N14" s="16">
        <v>843.43</v>
      </c>
      <c r="O14" s="16">
        <v>1336.34</v>
      </c>
      <c r="P14" s="16">
        <v>1132.54</v>
      </c>
      <c r="Q14" s="16">
        <v>0</v>
      </c>
      <c r="R14" s="16">
        <v>1555.8</v>
      </c>
      <c r="S14" s="16">
        <v>0</v>
      </c>
      <c r="T14" s="16">
        <v>3099.48</v>
      </c>
      <c r="U14" s="16">
        <v>6182.65</v>
      </c>
      <c r="V14" s="16">
        <v>2099.86</v>
      </c>
      <c r="X14" s="14">
        <f>SUM($K14:K14)</f>
        <v>1546.07</v>
      </c>
      <c r="Y14" s="14">
        <f>SUM($K14:L14)</f>
        <v>1082.6399999999999</v>
      </c>
      <c r="Z14" s="14">
        <f>SUM($K14:M14)</f>
        <v>1815.6799999999998</v>
      </c>
      <c r="AA14" s="14">
        <f>SUM($K14:N14)</f>
        <v>2659.1099999999997</v>
      </c>
      <c r="AB14" s="14">
        <f>SUM($K14:O14)</f>
        <v>3995.45</v>
      </c>
      <c r="AC14" s="14">
        <f>SUM($K14:P14)</f>
        <v>5127.99</v>
      </c>
      <c r="AD14" s="14">
        <f>SUM($K14:Q14)</f>
        <v>5127.99</v>
      </c>
      <c r="AE14" s="14">
        <f>SUM($K14:R14)</f>
        <v>6683.79</v>
      </c>
      <c r="AF14" s="14">
        <f>SUM($K14:S14)</f>
        <v>6683.79</v>
      </c>
      <c r="AG14" s="14">
        <f>SUM($K14:T14)</f>
        <v>9783.27</v>
      </c>
      <c r="AH14" s="14">
        <f>SUM($K14:U14)</f>
        <v>15965.92</v>
      </c>
      <c r="AI14" s="14">
        <f>SUM($K14:V14)</f>
        <v>18065.78</v>
      </c>
    </row>
    <row r="15" spans="1:35">
      <c r="A15" s="5">
        <v>5</v>
      </c>
      <c r="B15" s="5">
        <v>25003</v>
      </c>
      <c r="C15" s="5" t="s">
        <v>140</v>
      </c>
      <c r="D15" s="5" t="str">
        <f>VLOOKUP($B15, Spa!$B:$P, 14, 0)</f>
        <v>Lisa</v>
      </c>
      <c r="E15" s="5" t="str">
        <f>VLOOKUP($B15, Spa!$B:$P, 15, 0)</f>
        <v>Southeast</v>
      </c>
      <c r="F15" s="5">
        <f>VLOOKUP(B15, Spa!$B:$E, 3, 0)</f>
        <v>2021</v>
      </c>
      <c r="G15" s="6">
        <f>VLOOKUP(B15, Spa!$B:$E, 4, 0)</f>
        <v>44440</v>
      </c>
      <c r="H15" s="5" t="str">
        <f t="shared" si="7"/>
        <v>20219</v>
      </c>
      <c r="I15" s="5" t="str">
        <f>VLOOKUP(B15, Spa!$B:$L, 11, 0)</f>
        <v>No</v>
      </c>
      <c r="J15" s="16">
        <v>1917.25</v>
      </c>
      <c r="K15" s="16"/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X15" s="14">
        <f>SUM($K15:K15)</f>
        <v>0</v>
      </c>
      <c r="Y15" s="14">
        <f>SUM($K15:L15)</f>
        <v>0</v>
      </c>
      <c r="Z15" s="14">
        <f>SUM($K15:M15)</f>
        <v>0</v>
      </c>
      <c r="AA15" s="14">
        <f>SUM($K15:N15)</f>
        <v>0</v>
      </c>
      <c r="AB15" s="14">
        <f>SUM($K15:O15)</f>
        <v>0</v>
      </c>
      <c r="AC15" s="14">
        <f>SUM($K15:P15)</f>
        <v>0</v>
      </c>
      <c r="AD15" s="14">
        <f>SUM($K15:Q15)</f>
        <v>0</v>
      </c>
      <c r="AE15" s="14">
        <f>SUM($K15:R15)</f>
        <v>0</v>
      </c>
      <c r="AF15" s="14">
        <f>SUM($K15:S15)</f>
        <v>0</v>
      </c>
      <c r="AG15" s="14">
        <f>SUM($K15:T15)</f>
        <v>0</v>
      </c>
      <c r="AH15" s="14">
        <f>SUM($K15:U15)</f>
        <v>0</v>
      </c>
      <c r="AI15" s="14">
        <f>SUM($K15:V15)</f>
        <v>0</v>
      </c>
    </row>
    <row r="16" spans="1:35">
      <c r="A16" s="5">
        <v>6</v>
      </c>
      <c r="B16" s="5">
        <v>25004</v>
      </c>
      <c r="C16" s="5" t="s">
        <v>105</v>
      </c>
      <c r="D16" s="5" t="str">
        <f>VLOOKUP($B16, Spa!$B:$P, 14, 0)</f>
        <v>Amy</v>
      </c>
      <c r="E16" s="5" t="str">
        <f>VLOOKUP($B16, Spa!$B:$P, 15, 0)</f>
        <v>West</v>
      </c>
      <c r="F16" s="5">
        <f>VLOOKUP(B16, Spa!$B:$E, 3, 0)</f>
        <v>2021</v>
      </c>
      <c r="G16" s="6">
        <f>VLOOKUP(B16, Spa!$B:$E, 4, 0)</f>
        <v>44440</v>
      </c>
      <c r="H16" s="5" t="str">
        <f t="shared" si="7"/>
        <v>20219</v>
      </c>
      <c r="I16" s="5" t="str">
        <f>VLOOKUP(B16, Spa!$B:$L, 11, 0)</f>
        <v>Yes</v>
      </c>
      <c r="J16" s="16">
        <v>15904.31</v>
      </c>
      <c r="K16" s="16">
        <v>3112.25</v>
      </c>
      <c r="L16" s="16">
        <v>915.92</v>
      </c>
      <c r="M16" s="16">
        <v>435.35</v>
      </c>
      <c r="N16" s="16">
        <v>0</v>
      </c>
      <c r="O16" s="16">
        <v>0</v>
      </c>
      <c r="P16" s="16">
        <v>0</v>
      </c>
      <c r="Q16" s="16">
        <v>1569.08</v>
      </c>
      <c r="R16" s="16">
        <v>0</v>
      </c>
      <c r="S16" s="16">
        <v>2437.88</v>
      </c>
      <c r="T16" s="16">
        <v>0</v>
      </c>
      <c r="U16" s="16">
        <v>2447.08</v>
      </c>
      <c r="V16" s="16">
        <v>0</v>
      </c>
      <c r="X16" s="14">
        <f>SUM($K16:K16)</f>
        <v>3112.25</v>
      </c>
      <c r="Y16" s="14">
        <f>SUM($K16:L16)</f>
        <v>4028.17</v>
      </c>
      <c r="Z16" s="14">
        <f>SUM($K16:M16)</f>
        <v>4463.5200000000004</v>
      </c>
      <c r="AA16" s="14">
        <f>SUM($K16:N16)</f>
        <v>4463.5200000000004</v>
      </c>
      <c r="AB16" s="14">
        <f>SUM($K16:O16)</f>
        <v>4463.5200000000004</v>
      </c>
      <c r="AC16" s="14">
        <f>SUM($K16:P16)</f>
        <v>4463.5200000000004</v>
      </c>
      <c r="AD16" s="14">
        <f>SUM($K16:Q16)</f>
        <v>6032.6</v>
      </c>
      <c r="AE16" s="14">
        <f>SUM($K16:R16)</f>
        <v>6032.6</v>
      </c>
      <c r="AF16" s="14">
        <f>SUM($K16:S16)</f>
        <v>8470.48</v>
      </c>
      <c r="AG16" s="14">
        <f>SUM($K16:T16)</f>
        <v>8470.48</v>
      </c>
      <c r="AH16" s="14">
        <f>SUM($K16:U16)</f>
        <v>10917.56</v>
      </c>
      <c r="AI16" s="14">
        <f>SUM($K16:V16)</f>
        <v>10917.56</v>
      </c>
    </row>
    <row r="17" spans="1:35">
      <c r="A17" s="5">
        <v>10</v>
      </c>
      <c r="B17" s="5">
        <v>25008</v>
      </c>
      <c r="C17" s="5" t="s">
        <v>127</v>
      </c>
      <c r="D17" s="5" t="str">
        <f>VLOOKUP($B17, Spa!$B:$P, 14, 0)</f>
        <v>Lisa</v>
      </c>
      <c r="E17" s="5" t="str">
        <f>VLOOKUP($B17, Spa!$B:$P, 15, 0)</f>
        <v>Southeast</v>
      </c>
      <c r="F17" s="5">
        <f>VLOOKUP(B17, Spa!$B:$E, 3, 0)</f>
        <v>2021</v>
      </c>
      <c r="G17" s="6">
        <f>VLOOKUP(B17, Spa!$B:$E, 4, 0)</f>
        <v>44531</v>
      </c>
      <c r="H17" s="5" t="str">
        <f t="shared" si="7"/>
        <v>202112</v>
      </c>
      <c r="I17" s="5" t="str">
        <f>VLOOKUP(B17, Spa!$B:$L, 11, 0)</f>
        <v>Yes</v>
      </c>
      <c r="J17" s="16">
        <v>2212.5</v>
      </c>
      <c r="K17" s="16"/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X17" s="14">
        <f>SUM($K17:K17)</f>
        <v>0</v>
      </c>
      <c r="Y17" s="14">
        <f>SUM($K17:L17)</f>
        <v>0</v>
      </c>
      <c r="Z17" s="14">
        <f>SUM($K17:M17)</f>
        <v>0</v>
      </c>
      <c r="AA17" s="14">
        <f>SUM($K17:N17)</f>
        <v>0</v>
      </c>
      <c r="AB17" s="14">
        <f>SUM($K17:O17)</f>
        <v>0</v>
      </c>
      <c r="AC17" s="14">
        <f>SUM($K17:P17)</f>
        <v>0</v>
      </c>
      <c r="AD17" s="14">
        <f>SUM($K17:Q17)</f>
        <v>0</v>
      </c>
      <c r="AE17" s="14">
        <f>SUM($K17:R17)</f>
        <v>0</v>
      </c>
      <c r="AF17" s="14">
        <f>SUM($K17:S17)</f>
        <v>0</v>
      </c>
      <c r="AG17" s="14">
        <f>SUM($K17:T17)</f>
        <v>0</v>
      </c>
      <c r="AH17" s="14">
        <f>SUM($K17:U17)</f>
        <v>0</v>
      </c>
      <c r="AI17" s="14">
        <f>SUM($K17:V17)</f>
        <v>0</v>
      </c>
    </row>
    <row r="18" spans="1:35">
      <c r="A18" s="5">
        <v>11</v>
      </c>
      <c r="B18" s="5">
        <v>25009</v>
      </c>
      <c r="C18" s="5" t="s">
        <v>142</v>
      </c>
      <c r="D18" s="5" t="str">
        <f>VLOOKUP($B18, Spa!$B:$P, 14, 0)</f>
        <v>Amy</v>
      </c>
      <c r="E18" s="5" t="str">
        <f>VLOOKUP($B18, Spa!$B:$P, 15, 0)</f>
        <v>West</v>
      </c>
      <c r="F18" s="5">
        <f>VLOOKUP(B18, Spa!$B:$E, 3, 0)</f>
        <v>2022</v>
      </c>
      <c r="G18" s="6">
        <f>VLOOKUP(B18, Spa!$B:$E, 4, 0)</f>
        <v>44562</v>
      </c>
      <c r="H18" s="5" t="str">
        <f t="shared" si="7"/>
        <v>20221</v>
      </c>
      <c r="I18" s="5" t="str">
        <f>VLOOKUP(B18, Spa!$B:$L, 11, 0)</f>
        <v>No</v>
      </c>
      <c r="J18" s="16">
        <v>32836.49</v>
      </c>
      <c r="K18" s="16"/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X18" s="14">
        <f>SUM($K18:K18)</f>
        <v>0</v>
      </c>
      <c r="Y18" s="14">
        <f>SUM($K18:L18)</f>
        <v>0</v>
      </c>
      <c r="Z18" s="14">
        <f>SUM($K18:M18)</f>
        <v>0</v>
      </c>
      <c r="AA18" s="14">
        <f>SUM($K18:N18)</f>
        <v>0</v>
      </c>
      <c r="AB18" s="14">
        <f>SUM($K18:O18)</f>
        <v>0</v>
      </c>
      <c r="AC18" s="14">
        <f>SUM($K18:P18)</f>
        <v>0</v>
      </c>
      <c r="AD18" s="14">
        <f>SUM($K18:Q18)</f>
        <v>0</v>
      </c>
      <c r="AE18" s="14">
        <f>SUM($K18:R18)</f>
        <v>0</v>
      </c>
      <c r="AF18" s="14">
        <f>SUM($K18:S18)</f>
        <v>0</v>
      </c>
      <c r="AG18" s="14">
        <f>SUM($K18:T18)</f>
        <v>0</v>
      </c>
      <c r="AH18" s="14">
        <f>SUM($K18:U18)</f>
        <v>0</v>
      </c>
      <c r="AI18" s="14">
        <f>SUM($K18:V18)</f>
        <v>0</v>
      </c>
    </row>
    <row r="19" spans="1:35">
      <c r="A19" s="5">
        <v>12</v>
      </c>
      <c r="B19" s="5">
        <v>25010</v>
      </c>
      <c r="C19" s="5" t="s">
        <v>119</v>
      </c>
      <c r="D19" s="5" t="str">
        <f>VLOOKUP($B19, Spa!$B:$P, 14, 0)</f>
        <v>Lisa</v>
      </c>
      <c r="E19" s="5" t="str">
        <f>VLOOKUP($B19, Spa!$B:$P, 15, 0)</f>
        <v>Southeast</v>
      </c>
      <c r="F19" s="5">
        <f>VLOOKUP(B19, Spa!$B:$E, 3, 0)</f>
        <v>2022</v>
      </c>
      <c r="G19" s="6">
        <f>VLOOKUP(B19, Spa!$B:$E, 4, 0)</f>
        <v>44562</v>
      </c>
      <c r="H19" s="5" t="str">
        <f t="shared" si="7"/>
        <v>20221</v>
      </c>
      <c r="I19" s="5" t="str">
        <f>VLOOKUP(B19, Spa!$B:$L, 11, 0)</f>
        <v>Yes</v>
      </c>
      <c r="J19" s="16">
        <v>108983.17</v>
      </c>
      <c r="K19" s="16">
        <v>1079</v>
      </c>
      <c r="L19" s="16">
        <v>1809.62</v>
      </c>
      <c r="M19" s="16">
        <v>8115.5</v>
      </c>
      <c r="N19" s="16">
        <v>8378</v>
      </c>
      <c r="O19" s="16">
        <v>8550</v>
      </c>
      <c r="P19" s="16">
        <v>1307.32</v>
      </c>
      <c r="Q19" s="16">
        <v>0</v>
      </c>
      <c r="R19" s="16">
        <v>5178</v>
      </c>
      <c r="S19" s="16">
        <v>4836.24</v>
      </c>
      <c r="T19" s="16">
        <v>5419.72</v>
      </c>
      <c r="U19" s="16">
        <v>842.92</v>
      </c>
      <c r="V19" s="16">
        <v>0</v>
      </c>
      <c r="X19" s="14">
        <f>SUM($K19:K19)</f>
        <v>1079</v>
      </c>
      <c r="Y19" s="14">
        <f>SUM($K19:L19)</f>
        <v>2888.62</v>
      </c>
      <c r="Z19" s="14">
        <f>SUM($K19:M19)</f>
        <v>11004.119999999999</v>
      </c>
      <c r="AA19" s="14">
        <f>SUM($K19:N19)</f>
        <v>19382.12</v>
      </c>
      <c r="AB19" s="14">
        <f>SUM($K19:O19)</f>
        <v>27932.12</v>
      </c>
      <c r="AC19" s="14">
        <f>SUM($K19:P19)</f>
        <v>29239.439999999999</v>
      </c>
      <c r="AD19" s="14">
        <f>SUM($K19:Q19)</f>
        <v>29239.439999999999</v>
      </c>
      <c r="AE19" s="14">
        <f>SUM($K19:R19)</f>
        <v>34417.440000000002</v>
      </c>
      <c r="AF19" s="14">
        <f>SUM($K19:S19)</f>
        <v>39253.68</v>
      </c>
      <c r="AG19" s="14">
        <f>SUM($K19:T19)</f>
        <v>44673.4</v>
      </c>
      <c r="AH19" s="14">
        <f>SUM($K19:U19)</f>
        <v>45516.32</v>
      </c>
      <c r="AI19" s="14">
        <f>SUM($K19:V19)</f>
        <v>45516.32</v>
      </c>
    </row>
    <row r="20" spans="1:35">
      <c r="A20" s="5">
        <v>13</v>
      </c>
      <c r="B20" s="5">
        <v>25011</v>
      </c>
      <c r="C20" s="5" t="s">
        <v>143</v>
      </c>
      <c r="D20" s="5" t="str">
        <f>VLOOKUP($B20, Spa!$B:$P, 14, 0)</f>
        <v>Amy</v>
      </c>
      <c r="E20" s="5" t="str">
        <f>VLOOKUP($B20, Spa!$B:$P, 15, 0)</f>
        <v>West</v>
      </c>
      <c r="F20" s="5">
        <f>VLOOKUP(B20, Spa!$B:$E, 3, 0)</f>
        <v>2022</v>
      </c>
      <c r="G20" s="6">
        <f>VLOOKUP(B20, Spa!$B:$E, 4, 0)</f>
        <v>44593</v>
      </c>
      <c r="H20" s="5" t="str">
        <f t="shared" si="7"/>
        <v>20222</v>
      </c>
      <c r="I20" s="5" t="str">
        <f>VLOOKUP(B20, Spa!$B:$L, 11, 0)</f>
        <v>No</v>
      </c>
      <c r="J20" s="16">
        <v>25713.4</v>
      </c>
      <c r="K20" s="16"/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X20" s="14">
        <f>SUM($K20:K20)</f>
        <v>0</v>
      </c>
      <c r="Y20" s="14">
        <f>SUM($K20:L20)</f>
        <v>0</v>
      </c>
      <c r="Z20" s="14">
        <f>SUM($K20:M20)</f>
        <v>0</v>
      </c>
      <c r="AA20" s="14">
        <f>SUM($K20:N20)</f>
        <v>0</v>
      </c>
      <c r="AB20" s="14">
        <f>SUM($K20:O20)</f>
        <v>0</v>
      </c>
      <c r="AC20" s="14">
        <f>SUM($K20:P20)</f>
        <v>0</v>
      </c>
      <c r="AD20" s="14">
        <f>SUM($K20:Q20)</f>
        <v>0</v>
      </c>
      <c r="AE20" s="14">
        <f>SUM($K20:R20)</f>
        <v>0</v>
      </c>
      <c r="AF20" s="14">
        <f>SUM($K20:S20)</f>
        <v>0</v>
      </c>
      <c r="AG20" s="14">
        <f>SUM($K20:T20)</f>
        <v>0</v>
      </c>
      <c r="AH20" s="14">
        <f>SUM($K20:U20)</f>
        <v>0</v>
      </c>
      <c r="AI20" s="14">
        <f>SUM($K20:V20)</f>
        <v>0</v>
      </c>
    </row>
    <row r="21" spans="1:35">
      <c r="A21" s="5">
        <v>14</v>
      </c>
      <c r="B21" s="5">
        <v>25012</v>
      </c>
      <c r="C21" s="5" t="s">
        <v>100</v>
      </c>
      <c r="D21" s="5" t="str">
        <f>VLOOKUP($B21, Spa!$B:$P, 14, 0)</f>
        <v>Amy</v>
      </c>
      <c r="E21" s="5" t="str">
        <f>VLOOKUP($B21, Spa!$B:$P, 15, 0)</f>
        <v>West</v>
      </c>
      <c r="F21" s="5">
        <f>VLOOKUP(B21, Spa!$B:$E, 3, 0)</f>
        <v>2022</v>
      </c>
      <c r="G21" s="6">
        <f>VLOOKUP(B21, Spa!$B:$E, 4, 0)</f>
        <v>44621</v>
      </c>
      <c r="H21" s="5" t="str">
        <f t="shared" si="7"/>
        <v>20223</v>
      </c>
      <c r="I21" s="5" t="str">
        <f>VLOOKUP(B21, Spa!$B:$L, 11, 0)</f>
        <v>Yes</v>
      </c>
      <c r="J21" s="16">
        <v>268312.63</v>
      </c>
      <c r="K21" s="16">
        <v>13260.31</v>
      </c>
      <c r="L21" s="16">
        <v>12863.81</v>
      </c>
      <c r="M21" s="16">
        <v>13243.83</v>
      </c>
      <c r="N21" s="16">
        <v>13221.09</v>
      </c>
      <c r="O21" s="16">
        <v>7203</v>
      </c>
      <c r="P21" s="16">
        <v>7087.17</v>
      </c>
      <c r="Q21" s="16">
        <v>10165.5</v>
      </c>
      <c r="R21" s="16">
        <v>175.6</v>
      </c>
      <c r="S21" s="16">
        <v>12862</v>
      </c>
      <c r="T21" s="16">
        <v>11588.44</v>
      </c>
      <c r="U21" s="16">
        <v>0</v>
      </c>
      <c r="V21" s="16">
        <v>2727.63</v>
      </c>
      <c r="X21" s="14">
        <f>SUM($K21:K21)</f>
        <v>13260.31</v>
      </c>
      <c r="Y21" s="14">
        <f>SUM($K21:L21)</f>
        <v>26124.12</v>
      </c>
      <c r="Z21" s="14">
        <f>SUM($K21:M21)</f>
        <v>39367.949999999997</v>
      </c>
      <c r="AA21" s="14">
        <f>SUM($K21:N21)</f>
        <v>52589.039999999994</v>
      </c>
      <c r="AB21" s="14">
        <f>SUM($K21:O21)</f>
        <v>59792.039999999994</v>
      </c>
      <c r="AC21" s="14">
        <f>SUM($K21:P21)</f>
        <v>66879.209999999992</v>
      </c>
      <c r="AD21" s="14">
        <f>SUM($K21:Q21)</f>
        <v>77044.709999999992</v>
      </c>
      <c r="AE21" s="14">
        <f>SUM($K21:R21)</f>
        <v>77220.31</v>
      </c>
      <c r="AF21" s="14">
        <f>SUM($K21:S21)</f>
        <v>90082.31</v>
      </c>
      <c r="AG21" s="14">
        <f>SUM($K21:T21)</f>
        <v>101670.75</v>
      </c>
      <c r="AH21" s="14">
        <f>SUM($K21:U21)</f>
        <v>101670.75</v>
      </c>
      <c r="AI21" s="14">
        <f>SUM($K21:V21)</f>
        <v>104398.38</v>
      </c>
    </row>
    <row r="22" spans="1:35">
      <c r="A22" s="5">
        <v>15</v>
      </c>
      <c r="B22" s="5">
        <v>25013</v>
      </c>
      <c r="C22" s="5" t="s">
        <v>144</v>
      </c>
      <c r="D22" s="5" t="str">
        <f>VLOOKUP($B22, Spa!$B:$P, 14, 0)</f>
        <v>Emily</v>
      </c>
      <c r="E22" s="5" t="str">
        <f>VLOOKUP($B22, Spa!$B:$P, 15, 0)</f>
        <v>Central</v>
      </c>
      <c r="F22" s="5">
        <f>VLOOKUP(B22, Spa!$B:$E, 3, 0)</f>
        <v>2022</v>
      </c>
      <c r="G22" s="6">
        <f>VLOOKUP(B22, Spa!$B:$E, 4, 0)</f>
        <v>44621</v>
      </c>
      <c r="H22" s="5" t="str">
        <f t="shared" si="7"/>
        <v>20223</v>
      </c>
      <c r="I22" s="5" t="str">
        <f>VLOOKUP(B22, Spa!$B:$L, 11, 0)</f>
        <v>No</v>
      </c>
      <c r="J22" s="16">
        <v>28353.3</v>
      </c>
      <c r="K22" s="16"/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X22" s="14">
        <f>SUM($K22:K22)</f>
        <v>0</v>
      </c>
      <c r="Y22" s="14">
        <f>SUM($K22:L22)</f>
        <v>0</v>
      </c>
      <c r="Z22" s="14">
        <f>SUM($K22:M22)</f>
        <v>0</v>
      </c>
      <c r="AA22" s="14">
        <f>SUM($K22:N22)</f>
        <v>0</v>
      </c>
      <c r="AB22" s="14">
        <f>SUM($K22:O22)</f>
        <v>0</v>
      </c>
      <c r="AC22" s="14">
        <f>SUM($K22:P22)</f>
        <v>0</v>
      </c>
      <c r="AD22" s="14">
        <f>SUM($K22:Q22)</f>
        <v>0</v>
      </c>
      <c r="AE22" s="14">
        <f>SUM($K22:R22)</f>
        <v>0</v>
      </c>
      <c r="AF22" s="14">
        <f>SUM($K22:S22)</f>
        <v>0</v>
      </c>
      <c r="AG22" s="14">
        <f>SUM($K22:T22)</f>
        <v>0</v>
      </c>
      <c r="AH22" s="14">
        <f>SUM($K22:U22)</f>
        <v>0</v>
      </c>
      <c r="AI22" s="14">
        <f>SUM($K22:V22)</f>
        <v>0</v>
      </c>
    </row>
    <row r="23" spans="1:35">
      <c r="A23" s="5">
        <v>16</v>
      </c>
      <c r="B23" s="5">
        <v>25015</v>
      </c>
      <c r="C23" s="5" t="s">
        <v>107</v>
      </c>
      <c r="D23" s="5" t="str">
        <f>VLOOKUP($B23, Spa!$B:$P, 14, 0)</f>
        <v>Amy</v>
      </c>
      <c r="E23" s="5" t="str">
        <f>VLOOKUP($B23, Spa!$B:$P, 15, 0)</f>
        <v>West</v>
      </c>
      <c r="F23" s="5">
        <f>VLOOKUP(B23, Spa!$B:$E, 3, 0)</f>
        <v>2022</v>
      </c>
      <c r="G23" s="6">
        <f>VLOOKUP(B23, Spa!$B:$E, 4, 0)</f>
        <v>44621</v>
      </c>
      <c r="H23" s="5" t="str">
        <f t="shared" si="7"/>
        <v>20223</v>
      </c>
      <c r="I23" s="5" t="str">
        <f>VLOOKUP(B23, Spa!$B:$L, 11, 0)</f>
        <v>Yes</v>
      </c>
      <c r="J23" s="16">
        <v>16589.580000000002</v>
      </c>
      <c r="K23" s="16"/>
      <c r="L23" s="16">
        <v>68.63</v>
      </c>
      <c r="M23" s="16">
        <v>556.34</v>
      </c>
      <c r="N23" s="16">
        <v>0</v>
      </c>
      <c r="O23" s="16">
        <v>0</v>
      </c>
      <c r="P23" s="16">
        <v>829.01</v>
      </c>
      <c r="Q23" s="16">
        <v>0</v>
      </c>
      <c r="R23" s="16">
        <v>833.91</v>
      </c>
      <c r="S23" s="16">
        <v>0</v>
      </c>
      <c r="T23" s="16">
        <v>0</v>
      </c>
      <c r="U23" s="16">
        <v>429.43</v>
      </c>
      <c r="V23" s="16">
        <v>0</v>
      </c>
      <c r="X23" s="14">
        <f>SUM($K23:K23)</f>
        <v>0</v>
      </c>
      <c r="Y23" s="14">
        <f>SUM($K23:L23)</f>
        <v>68.63</v>
      </c>
      <c r="Z23" s="14">
        <f>SUM($K23:M23)</f>
        <v>624.97</v>
      </c>
      <c r="AA23" s="14">
        <f>SUM($K23:N23)</f>
        <v>624.97</v>
      </c>
      <c r="AB23" s="14">
        <f>SUM($K23:O23)</f>
        <v>624.97</v>
      </c>
      <c r="AC23" s="14">
        <f>SUM($K23:P23)</f>
        <v>1453.98</v>
      </c>
      <c r="AD23" s="14">
        <f>SUM($K23:Q23)</f>
        <v>1453.98</v>
      </c>
      <c r="AE23" s="14">
        <f>SUM($K23:R23)</f>
        <v>2287.89</v>
      </c>
      <c r="AF23" s="14">
        <f>SUM($K23:S23)</f>
        <v>2287.89</v>
      </c>
      <c r="AG23" s="14">
        <f>SUM($K23:T23)</f>
        <v>2287.89</v>
      </c>
      <c r="AH23" s="14">
        <f>SUM($K23:U23)</f>
        <v>2717.3199999999997</v>
      </c>
      <c r="AI23" s="14">
        <f>SUM($K23:V23)</f>
        <v>2717.3199999999997</v>
      </c>
    </row>
    <row r="24" spans="1:35">
      <c r="A24" s="5">
        <v>17</v>
      </c>
      <c r="B24" s="5">
        <v>25016</v>
      </c>
      <c r="C24" s="5" t="s">
        <v>122</v>
      </c>
      <c r="D24" s="5" t="str">
        <f>VLOOKUP($B24, Spa!$B:$P, 14, 0)</f>
        <v>Lisa</v>
      </c>
      <c r="E24" s="5" t="str">
        <f>VLOOKUP($B24, Spa!$B:$P, 15, 0)</f>
        <v>Southeast</v>
      </c>
      <c r="F24" s="5">
        <f>VLOOKUP(B24, Spa!$B:$E, 3, 0)</f>
        <v>2022</v>
      </c>
      <c r="G24" s="6">
        <f>VLOOKUP(B24, Spa!$B:$E, 4, 0)</f>
        <v>44652</v>
      </c>
      <c r="H24" s="5" t="str">
        <f t="shared" si="7"/>
        <v>20224</v>
      </c>
      <c r="I24" s="5" t="str">
        <f>VLOOKUP(B24, Spa!$B:$L, 11, 0)</f>
        <v>Yes</v>
      </c>
      <c r="J24" s="16">
        <v>21196.78</v>
      </c>
      <c r="K24" s="16">
        <v>2519.5</v>
      </c>
      <c r="L24" s="16">
        <v>1444.5</v>
      </c>
      <c r="M24" s="16">
        <v>0</v>
      </c>
      <c r="N24" s="16">
        <v>1325</v>
      </c>
      <c r="O24" s="16">
        <v>0</v>
      </c>
      <c r="P24" s="16">
        <v>0</v>
      </c>
      <c r="Q24" s="16">
        <v>0</v>
      </c>
      <c r="R24" s="16">
        <v>996</v>
      </c>
      <c r="S24" s="16">
        <v>3599</v>
      </c>
      <c r="T24" s="16">
        <v>1582.5</v>
      </c>
      <c r="U24" s="16">
        <v>0</v>
      </c>
      <c r="V24" s="16">
        <v>0</v>
      </c>
      <c r="X24" s="14">
        <f>SUM($K24:K24)</f>
        <v>2519.5</v>
      </c>
      <c r="Y24" s="14">
        <f>SUM($K24:L24)</f>
        <v>3964</v>
      </c>
      <c r="Z24" s="14">
        <f>SUM($K24:M24)</f>
        <v>3964</v>
      </c>
      <c r="AA24" s="14">
        <f>SUM($K24:N24)</f>
        <v>5289</v>
      </c>
      <c r="AB24" s="14">
        <f>SUM($K24:O24)</f>
        <v>5289</v>
      </c>
      <c r="AC24" s="14">
        <f>SUM($K24:P24)</f>
        <v>5289</v>
      </c>
      <c r="AD24" s="14">
        <f>SUM($K24:Q24)</f>
        <v>5289</v>
      </c>
      <c r="AE24" s="14">
        <f>SUM($K24:R24)</f>
        <v>6285</v>
      </c>
      <c r="AF24" s="14">
        <f>SUM($K24:S24)</f>
        <v>9884</v>
      </c>
      <c r="AG24" s="14">
        <f>SUM($K24:T24)</f>
        <v>11466.5</v>
      </c>
      <c r="AH24" s="14">
        <f>SUM($K24:U24)</f>
        <v>11466.5</v>
      </c>
      <c r="AI24" s="14">
        <f>SUM($K24:V24)</f>
        <v>11466.5</v>
      </c>
    </row>
    <row r="25" spans="1:35">
      <c r="A25" s="5">
        <v>18</v>
      </c>
      <c r="B25" s="5">
        <v>25018</v>
      </c>
      <c r="C25" s="5" t="s">
        <v>145</v>
      </c>
      <c r="D25" s="5" t="str">
        <f>VLOOKUP($B25, Spa!$B:$P, 14, 0)</f>
        <v>Lisa</v>
      </c>
      <c r="E25" s="5" t="str">
        <f>VLOOKUP($B25, Spa!$B:$P, 15, 0)</f>
        <v>Southeast</v>
      </c>
      <c r="F25" s="5">
        <f>VLOOKUP(B25, Spa!$B:$E, 3, 0)</f>
        <v>2022</v>
      </c>
      <c r="G25" s="6">
        <f>VLOOKUP(B25, Spa!$B:$E, 4, 0)</f>
        <v>44743</v>
      </c>
      <c r="H25" s="5" t="str">
        <f t="shared" si="7"/>
        <v>20227</v>
      </c>
      <c r="I25" s="5" t="str">
        <f>VLOOKUP(B25, Spa!$B:$L, 11, 0)</f>
        <v>No</v>
      </c>
      <c r="J25" s="16">
        <v>8694</v>
      </c>
      <c r="K25" s="16"/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X25" s="14">
        <f>SUM($K25:K25)</f>
        <v>0</v>
      </c>
      <c r="Y25" s="14">
        <f>SUM($K25:L25)</f>
        <v>0</v>
      </c>
      <c r="Z25" s="14">
        <f>SUM($K25:M25)</f>
        <v>0</v>
      </c>
      <c r="AA25" s="14">
        <f>SUM($K25:N25)</f>
        <v>0</v>
      </c>
      <c r="AB25" s="14">
        <f>SUM($K25:O25)</f>
        <v>0</v>
      </c>
      <c r="AC25" s="14">
        <f>SUM($K25:P25)</f>
        <v>0</v>
      </c>
      <c r="AD25" s="14">
        <f>SUM($K25:Q25)</f>
        <v>0</v>
      </c>
      <c r="AE25" s="14">
        <f>SUM($K25:R25)</f>
        <v>0</v>
      </c>
      <c r="AF25" s="14">
        <f>SUM($K25:S25)</f>
        <v>0</v>
      </c>
      <c r="AG25" s="14">
        <f>SUM($K25:T25)</f>
        <v>0</v>
      </c>
      <c r="AH25" s="14">
        <f>SUM($K25:U25)</f>
        <v>0</v>
      </c>
      <c r="AI25" s="14">
        <f>SUM($K25:V25)</f>
        <v>0</v>
      </c>
    </row>
    <row r="26" spans="1:35">
      <c r="A26" s="5">
        <v>19</v>
      </c>
      <c r="B26" s="5">
        <v>25019</v>
      </c>
      <c r="C26" s="5" t="s">
        <v>146</v>
      </c>
      <c r="D26" s="5" t="str">
        <f>VLOOKUP($B26, Spa!$B:$P, 14, 0)</f>
        <v>Lisa</v>
      </c>
      <c r="E26" s="5" t="str">
        <f>VLOOKUP($B26, Spa!$B:$P, 15, 0)</f>
        <v>Southeast</v>
      </c>
      <c r="F26" s="5">
        <f>VLOOKUP(B26, Spa!$B:$E, 3, 0)</f>
        <v>2022</v>
      </c>
      <c r="G26" s="6">
        <f>VLOOKUP(B26, Spa!$B:$E, 4, 0)</f>
        <v>44713</v>
      </c>
      <c r="H26" s="5" t="str">
        <f t="shared" si="7"/>
        <v>20226</v>
      </c>
      <c r="I26" s="5" t="str">
        <f>VLOOKUP(B26, Spa!$B:$L, 11, 0)</f>
        <v>No</v>
      </c>
      <c r="J26" s="16">
        <v>3203.8</v>
      </c>
      <c r="K26" s="16"/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X26" s="14">
        <f>SUM($K26:K26)</f>
        <v>0</v>
      </c>
      <c r="Y26" s="14">
        <f>SUM($K26:L26)</f>
        <v>0</v>
      </c>
      <c r="Z26" s="14">
        <f>SUM($K26:M26)</f>
        <v>0</v>
      </c>
      <c r="AA26" s="14">
        <f>SUM($K26:N26)</f>
        <v>0</v>
      </c>
      <c r="AB26" s="14">
        <f>SUM($K26:O26)</f>
        <v>0</v>
      </c>
      <c r="AC26" s="14">
        <f>SUM($K26:P26)</f>
        <v>0</v>
      </c>
      <c r="AD26" s="14">
        <f>SUM($K26:Q26)</f>
        <v>0</v>
      </c>
      <c r="AE26" s="14">
        <f>SUM($K26:R26)</f>
        <v>0</v>
      </c>
      <c r="AF26" s="14">
        <f>SUM($K26:S26)</f>
        <v>0</v>
      </c>
      <c r="AG26" s="14">
        <f>SUM($K26:T26)</f>
        <v>0</v>
      </c>
      <c r="AH26" s="14">
        <f>SUM($K26:U26)</f>
        <v>0</v>
      </c>
      <c r="AI26" s="14">
        <f>SUM($K26:V26)</f>
        <v>0</v>
      </c>
    </row>
    <row r="27" spans="1:35">
      <c r="A27" s="5">
        <v>20</v>
      </c>
      <c r="B27" s="5">
        <v>25020</v>
      </c>
      <c r="C27" s="5" t="s">
        <v>147</v>
      </c>
      <c r="D27" s="5" t="str">
        <f>VLOOKUP($B27, Spa!$B:$P, 14, 0)</f>
        <v>Lisa</v>
      </c>
      <c r="E27" s="5" t="str">
        <f>VLOOKUP($B27, Spa!$B:$P, 15, 0)</f>
        <v>Southeast</v>
      </c>
      <c r="F27" s="5">
        <f>VLOOKUP(B27, Spa!$B:$E, 3, 0)</f>
        <v>2022</v>
      </c>
      <c r="G27" s="6">
        <f>VLOOKUP(B27, Spa!$B:$E, 4, 0)</f>
        <v>44743</v>
      </c>
      <c r="H27" s="5" t="str">
        <f t="shared" si="7"/>
        <v>20227</v>
      </c>
      <c r="I27" s="5" t="str">
        <f>VLOOKUP(B27, Spa!$B:$L, 11, 0)</f>
        <v>No</v>
      </c>
      <c r="J27" s="16">
        <v>7514.3</v>
      </c>
      <c r="K27" s="16"/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X27" s="14">
        <f>SUM($K27:K27)</f>
        <v>0</v>
      </c>
      <c r="Y27" s="14">
        <f>SUM($K27:L27)</f>
        <v>0</v>
      </c>
      <c r="Z27" s="14">
        <f>SUM($K27:M27)</f>
        <v>0</v>
      </c>
      <c r="AA27" s="14">
        <f>SUM($K27:N27)</f>
        <v>0</v>
      </c>
      <c r="AB27" s="14">
        <f>SUM($K27:O27)</f>
        <v>0</v>
      </c>
      <c r="AC27" s="14">
        <f>SUM($K27:P27)</f>
        <v>0</v>
      </c>
      <c r="AD27" s="14">
        <f>SUM($K27:Q27)</f>
        <v>0</v>
      </c>
      <c r="AE27" s="14">
        <f>SUM($K27:R27)</f>
        <v>0</v>
      </c>
      <c r="AF27" s="14">
        <f>SUM($K27:S27)</f>
        <v>0</v>
      </c>
      <c r="AG27" s="14">
        <f>SUM($K27:T27)</f>
        <v>0</v>
      </c>
      <c r="AH27" s="14">
        <f>SUM($K27:U27)</f>
        <v>0</v>
      </c>
      <c r="AI27" s="14">
        <f>SUM($K27:V27)</f>
        <v>0</v>
      </c>
    </row>
    <row r="28" spans="1:35">
      <c r="A28" s="5">
        <v>21</v>
      </c>
      <c r="B28" s="5">
        <v>25021</v>
      </c>
      <c r="C28" s="5" t="s">
        <v>148</v>
      </c>
      <c r="D28" s="5" t="str">
        <f>VLOOKUP($B28, Spa!$B:$P, 14, 0)</f>
        <v>Amy</v>
      </c>
      <c r="E28" s="5" t="str">
        <f>VLOOKUP($B28, Spa!$B:$P, 15, 0)</f>
        <v>Central</v>
      </c>
      <c r="F28" s="5" t="str">
        <f>VLOOKUP(B28, Spa!$B:$E, 3, 0)</f>
        <v>N/A</v>
      </c>
      <c r="G28" s="6" t="str">
        <f>VLOOKUP(B28, Spa!$B:$E, 4, 0)</f>
        <v>N/A</v>
      </c>
      <c r="H28" s="5" t="e">
        <f t="shared" si="7"/>
        <v>#VALUE!</v>
      </c>
      <c r="I28" s="5" t="str">
        <f>VLOOKUP(B28, Spa!$B:$L, 11, 0)</f>
        <v>No</v>
      </c>
      <c r="J28" s="16">
        <v>0</v>
      </c>
      <c r="K28" s="16"/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X28" s="14">
        <f>SUM($K28:K28)</f>
        <v>0</v>
      </c>
      <c r="Y28" s="14">
        <f>SUM($K28:L28)</f>
        <v>0</v>
      </c>
      <c r="Z28" s="14">
        <f>SUM($K28:M28)</f>
        <v>0</v>
      </c>
      <c r="AA28" s="14">
        <f>SUM($K28:N28)</f>
        <v>0</v>
      </c>
      <c r="AB28" s="14">
        <f>SUM($K28:O28)</f>
        <v>0</v>
      </c>
      <c r="AC28" s="14">
        <f>SUM($K28:P28)</f>
        <v>0</v>
      </c>
      <c r="AD28" s="14">
        <f>SUM($K28:Q28)</f>
        <v>0</v>
      </c>
      <c r="AE28" s="14">
        <f>SUM($K28:R28)</f>
        <v>0</v>
      </c>
      <c r="AF28" s="14">
        <f>SUM($K28:S28)</f>
        <v>0</v>
      </c>
      <c r="AG28" s="14">
        <f>SUM($K28:T28)</f>
        <v>0</v>
      </c>
      <c r="AH28" s="14">
        <f>SUM($K28:U28)</f>
        <v>0</v>
      </c>
      <c r="AI28" s="14">
        <f>SUM($K28:V28)</f>
        <v>0</v>
      </c>
    </row>
    <row r="29" spans="1:35">
      <c r="A29" s="5">
        <v>22</v>
      </c>
      <c r="B29" s="5">
        <v>25022</v>
      </c>
      <c r="C29" s="5" t="s">
        <v>149</v>
      </c>
      <c r="D29" s="5" t="str">
        <f>VLOOKUP($B29, Spa!$B:$P, 14, 0)</f>
        <v>Amy</v>
      </c>
      <c r="E29" s="5" t="str">
        <f>VLOOKUP($B29, Spa!$B:$P, 15, 0)</f>
        <v>Central</v>
      </c>
      <c r="F29" s="5">
        <f>VLOOKUP(B29, Spa!$B:$E, 3, 0)</f>
        <v>2022</v>
      </c>
      <c r="G29" s="6">
        <f>VLOOKUP(B29, Spa!$B:$E, 4, 0)</f>
        <v>44774</v>
      </c>
      <c r="H29" s="5" t="str">
        <f t="shared" si="7"/>
        <v>20228</v>
      </c>
      <c r="I29" s="5" t="str">
        <f>VLOOKUP(B29, Spa!$B:$L, 11, 0)</f>
        <v>No</v>
      </c>
      <c r="J29" s="16">
        <v>2997.3</v>
      </c>
      <c r="K29" s="16"/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X29" s="14">
        <f>SUM($K29:K29)</f>
        <v>0</v>
      </c>
      <c r="Y29" s="14">
        <f>SUM($K29:L29)</f>
        <v>0</v>
      </c>
      <c r="Z29" s="14">
        <f>SUM($K29:M29)</f>
        <v>0</v>
      </c>
      <c r="AA29" s="14">
        <f>SUM($K29:N29)</f>
        <v>0</v>
      </c>
      <c r="AB29" s="14">
        <f>SUM($K29:O29)</f>
        <v>0</v>
      </c>
      <c r="AC29" s="14">
        <f>SUM($K29:P29)</f>
        <v>0</v>
      </c>
      <c r="AD29" s="14">
        <f>SUM($K29:Q29)</f>
        <v>0</v>
      </c>
      <c r="AE29" s="14">
        <f>SUM($K29:R29)</f>
        <v>0</v>
      </c>
      <c r="AF29" s="14">
        <f>SUM($K29:S29)</f>
        <v>0</v>
      </c>
      <c r="AG29" s="14">
        <f>SUM($K29:T29)</f>
        <v>0</v>
      </c>
      <c r="AH29" s="14">
        <f>SUM($K29:U29)</f>
        <v>0</v>
      </c>
      <c r="AI29" s="14">
        <f>SUM($K29:V29)</f>
        <v>0</v>
      </c>
    </row>
    <row r="30" spans="1:35">
      <c r="A30" s="5">
        <v>23</v>
      </c>
      <c r="B30" s="5">
        <v>25023</v>
      </c>
      <c r="C30" s="5" t="s">
        <v>150</v>
      </c>
      <c r="D30" s="5" t="str">
        <f>VLOOKUP($B30, Spa!$B:$P, 14, 0)</f>
        <v>Amy</v>
      </c>
      <c r="E30" s="5" t="str">
        <f>VLOOKUP($B30, Spa!$B:$P, 15, 0)</f>
        <v>Central</v>
      </c>
      <c r="F30" s="5">
        <f>VLOOKUP(B30, Spa!$B:$E, 3, 0)</f>
        <v>2022</v>
      </c>
      <c r="G30" s="6">
        <f>VLOOKUP(B30, Spa!$B:$E, 4, 0)</f>
        <v>44805</v>
      </c>
      <c r="H30" s="5" t="str">
        <f t="shared" si="7"/>
        <v>20229</v>
      </c>
      <c r="I30" s="5" t="str">
        <f>VLOOKUP(B30, Spa!$B:$L, 11, 0)</f>
        <v>No</v>
      </c>
      <c r="J30" s="16">
        <v>15579.78</v>
      </c>
      <c r="K30" s="16"/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X30" s="14">
        <f>SUM($K30:K30)</f>
        <v>0</v>
      </c>
      <c r="Y30" s="14">
        <f>SUM($K30:L30)</f>
        <v>0</v>
      </c>
      <c r="Z30" s="14">
        <f>SUM($K30:M30)</f>
        <v>0</v>
      </c>
      <c r="AA30" s="14">
        <f>SUM($K30:N30)</f>
        <v>0</v>
      </c>
      <c r="AB30" s="14">
        <f>SUM($K30:O30)</f>
        <v>0</v>
      </c>
      <c r="AC30" s="14">
        <f>SUM($K30:P30)</f>
        <v>0</v>
      </c>
      <c r="AD30" s="14">
        <f>SUM($K30:Q30)</f>
        <v>0</v>
      </c>
      <c r="AE30" s="14">
        <f>SUM($K30:R30)</f>
        <v>0</v>
      </c>
      <c r="AF30" s="14">
        <f>SUM($K30:S30)</f>
        <v>0</v>
      </c>
      <c r="AG30" s="14">
        <f>SUM($K30:T30)</f>
        <v>0</v>
      </c>
      <c r="AH30" s="14">
        <f>SUM($K30:U30)</f>
        <v>0</v>
      </c>
      <c r="AI30" s="14">
        <f>SUM($K30:V30)</f>
        <v>0</v>
      </c>
    </row>
    <row r="31" spans="1:35">
      <c r="A31" s="5">
        <v>24</v>
      </c>
      <c r="B31" s="5">
        <v>25024</v>
      </c>
      <c r="C31" s="5" t="s">
        <v>128</v>
      </c>
      <c r="D31" s="5" t="str">
        <f>VLOOKUP($B31, Spa!$B:$P, 14, 0)</f>
        <v>Lisa</v>
      </c>
      <c r="E31" s="5" t="str">
        <f>VLOOKUP($B31, Spa!$B:$P, 15, 0)</f>
        <v>Southeast</v>
      </c>
      <c r="F31" s="5">
        <f>VLOOKUP(B31, Spa!$B:$E, 3, 0)</f>
        <v>2022</v>
      </c>
      <c r="G31" s="6">
        <f>VLOOKUP(B31, Spa!$B:$E, 4, 0)</f>
        <v>44835</v>
      </c>
      <c r="H31" s="5" t="str">
        <f t="shared" si="7"/>
        <v>202210</v>
      </c>
      <c r="I31" s="5" t="str">
        <f>VLOOKUP(B31, Spa!$B:$L, 11, 0)</f>
        <v>Yes</v>
      </c>
      <c r="J31" s="16">
        <v>9553.84</v>
      </c>
      <c r="K31" s="16"/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X31" s="14">
        <f>SUM($K31:K31)</f>
        <v>0</v>
      </c>
      <c r="Y31" s="14">
        <f>SUM($K31:L31)</f>
        <v>0</v>
      </c>
      <c r="Z31" s="14">
        <f>SUM($K31:M31)</f>
        <v>0</v>
      </c>
      <c r="AA31" s="14">
        <f>SUM($K31:N31)</f>
        <v>0</v>
      </c>
      <c r="AB31" s="14">
        <f>SUM($K31:O31)</f>
        <v>0</v>
      </c>
      <c r="AC31" s="14">
        <f>SUM($K31:P31)</f>
        <v>0</v>
      </c>
      <c r="AD31" s="14">
        <f>SUM($K31:Q31)</f>
        <v>0</v>
      </c>
      <c r="AE31" s="14">
        <f>SUM($K31:R31)</f>
        <v>0</v>
      </c>
      <c r="AF31" s="14">
        <f>SUM($K31:S31)</f>
        <v>0</v>
      </c>
      <c r="AG31" s="14">
        <f>SUM($K31:T31)</f>
        <v>0</v>
      </c>
      <c r="AH31" s="14">
        <f>SUM($K31:U31)</f>
        <v>0</v>
      </c>
      <c r="AI31" s="14">
        <f>SUM($K31:V31)</f>
        <v>0</v>
      </c>
    </row>
    <row r="32" spans="1:35">
      <c r="A32" s="5">
        <v>25</v>
      </c>
      <c r="B32" s="5">
        <v>25025</v>
      </c>
      <c r="C32" s="5" t="s">
        <v>151</v>
      </c>
      <c r="D32" s="5" t="str">
        <f>VLOOKUP($B32, Spa!$B:$P, 14, 0)</f>
        <v>Lisa</v>
      </c>
      <c r="E32" s="5" t="str">
        <f>VLOOKUP($B32, Spa!$B:$P, 15, 0)</f>
        <v>Southeast</v>
      </c>
      <c r="F32" s="5" t="str">
        <f>VLOOKUP(B32, Spa!$B:$E, 3, 0)</f>
        <v>N/A</v>
      </c>
      <c r="G32" s="6" t="str">
        <f>VLOOKUP(B32, Spa!$B:$E, 4, 0)</f>
        <v>N/A</v>
      </c>
      <c r="H32" s="5" t="e">
        <f t="shared" si="7"/>
        <v>#VALUE!</v>
      </c>
      <c r="I32" s="5" t="str">
        <f>VLOOKUP(B32, Spa!$B:$L, 11, 0)</f>
        <v>No</v>
      </c>
      <c r="J32" s="16">
        <v>0</v>
      </c>
      <c r="K32" s="16"/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X32" s="14">
        <f>SUM($K32:K32)</f>
        <v>0</v>
      </c>
      <c r="Y32" s="14">
        <f>SUM($K32:L32)</f>
        <v>0</v>
      </c>
      <c r="Z32" s="14">
        <f>SUM($K32:M32)</f>
        <v>0</v>
      </c>
      <c r="AA32" s="14">
        <f>SUM($K32:N32)</f>
        <v>0</v>
      </c>
      <c r="AB32" s="14">
        <f>SUM($K32:O32)</f>
        <v>0</v>
      </c>
      <c r="AC32" s="14">
        <f>SUM($K32:P32)</f>
        <v>0</v>
      </c>
      <c r="AD32" s="14">
        <f>SUM($K32:Q32)</f>
        <v>0</v>
      </c>
      <c r="AE32" s="14">
        <f>SUM($K32:R32)</f>
        <v>0</v>
      </c>
      <c r="AF32" s="14">
        <f>SUM($K32:S32)</f>
        <v>0</v>
      </c>
      <c r="AG32" s="14">
        <f>SUM($K32:T32)</f>
        <v>0</v>
      </c>
      <c r="AH32" s="14">
        <f>SUM($K32:U32)</f>
        <v>0</v>
      </c>
      <c r="AI32" s="14">
        <f>SUM($K32:V32)</f>
        <v>0</v>
      </c>
    </row>
    <row r="33" spans="1:35">
      <c r="A33" s="5">
        <v>26</v>
      </c>
      <c r="B33" s="5">
        <v>25026</v>
      </c>
      <c r="C33" s="5" t="s">
        <v>123</v>
      </c>
      <c r="D33" s="5" t="str">
        <f>VLOOKUP($B33, Spa!$B:$P, 14, 0)</f>
        <v>Lisa</v>
      </c>
      <c r="E33" s="5" t="str">
        <f>VLOOKUP($B33, Spa!$B:$P, 15, 0)</f>
        <v>Southeast</v>
      </c>
      <c r="F33" s="5">
        <f>VLOOKUP(B33, Spa!$B:$E, 3, 0)</f>
        <v>2023</v>
      </c>
      <c r="G33" s="6">
        <f>VLOOKUP(B33, Spa!$B:$E, 4, 0)</f>
        <v>44927</v>
      </c>
      <c r="H33" s="5" t="str">
        <f t="shared" si="7"/>
        <v>20231</v>
      </c>
      <c r="I33" s="5" t="str">
        <f>VLOOKUP(B33, Spa!$B:$L, 11, 0)</f>
        <v>Yes</v>
      </c>
      <c r="J33" s="16">
        <v>10735.11</v>
      </c>
      <c r="K33" s="16"/>
      <c r="L33" s="16">
        <v>0</v>
      </c>
      <c r="M33" s="16">
        <v>0</v>
      </c>
      <c r="N33" s="16">
        <v>0</v>
      </c>
      <c r="O33" s="16">
        <v>0</v>
      </c>
      <c r="P33" s="16">
        <v>3224.75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X33" s="14">
        <f>SUM($K33:K33)</f>
        <v>0</v>
      </c>
      <c r="Y33" s="14">
        <f>SUM($K33:L33)</f>
        <v>0</v>
      </c>
      <c r="Z33" s="14">
        <f>SUM($K33:M33)</f>
        <v>0</v>
      </c>
      <c r="AA33" s="14">
        <f>SUM($K33:N33)</f>
        <v>0</v>
      </c>
      <c r="AB33" s="14">
        <f>SUM($K33:O33)</f>
        <v>0</v>
      </c>
      <c r="AC33" s="14">
        <f>SUM($K33:P33)</f>
        <v>3224.75</v>
      </c>
      <c r="AD33" s="14">
        <f>SUM($K33:Q33)</f>
        <v>3224.75</v>
      </c>
      <c r="AE33" s="14">
        <f>SUM($K33:R33)</f>
        <v>3224.75</v>
      </c>
      <c r="AF33" s="14">
        <f>SUM($K33:S33)</f>
        <v>3224.75</v>
      </c>
      <c r="AG33" s="14">
        <f>SUM($K33:T33)</f>
        <v>3224.75</v>
      </c>
      <c r="AH33" s="14">
        <f>SUM($K33:U33)</f>
        <v>3224.75</v>
      </c>
      <c r="AI33" s="14">
        <f>SUM($K33:V33)</f>
        <v>3224.75</v>
      </c>
    </row>
    <row r="34" spans="1:35">
      <c r="A34" s="5">
        <v>27</v>
      </c>
      <c r="B34" s="5">
        <v>25027</v>
      </c>
      <c r="C34" s="5" t="s">
        <v>102</v>
      </c>
      <c r="D34" s="5" t="str">
        <f>VLOOKUP($B34, Spa!$B:$P, 14, 0)</f>
        <v>Amy</v>
      </c>
      <c r="E34" s="5" t="str">
        <f>VLOOKUP($B34, Spa!$B:$P, 15, 0)</f>
        <v>West</v>
      </c>
      <c r="F34" s="5">
        <f>VLOOKUP(B34, Spa!$B:$E, 3, 0)</f>
        <v>2022</v>
      </c>
      <c r="G34" s="6">
        <f>VLOOKUP(B34, Spa!$B:$E, 4, 0)</f>
        <v>44896</v>
      </c>
      <c r="H34" s="5" t="str">
        <f t="shared" si="7"/>
        <v>202212</v>
      </c>
      <c r="I34" s="5" t="str">
        <f>VLOOKUP(B34, Spa!$B:$L, 11, 0)</f>
        <v>Yes</v>
      </c>
      <c r="J34" s="16">
        <v>76587.88</v>
      </c>
      <c r="K34" s="16"/>
      <c r="L34" s="16">
        <v>14041.85</v>
      </c>
      <c r="M34" s="16">
        <v>19306.36</v>
      </c>
      <c r="N34" s="16">
        <v>6061.78</v>
      </c>
      <c r="O34" s="16">
        <v>2470.96</v>
      </c>
      <c r="P34" s="16">
        <v>6754.48</v>
      </c>
      <c r="Q34" s="16">
        <v>2580</v>
      </c>
      <c r="R34" s="16">
        <v>16324.06</v>
      </c>
      <c r="S34" s="16">
        <v>13275.44</v>
      </c>
      <c r="T34" s="16">
        <v>11157.86</v>
      </c>
      <c r="U34" s="16">
        <v>907.92</v>
      </c>
      <c r="V34" s="16">
        <v>10847.68</v>
      </c>
      <c r="X34" s="14">
        <f>SUM($K34:K34)</f>
        <v>0</v>
      </c>
      <c r="Y34" s="14">
        <f>SUM($K34:L34)</f>
        <v>14041.85</v>
      </c>
      <c r="Z34" s="14">
        <f>SUM($K34:M34)</f>
        <v>33348.21</v>
      </c>
      <c r="AA34" s="14">
        <f>SUM($K34:N34)</f>
        <v>39409.99</v>
      </c>
      <c r="AB34" s="14">
        <f>SUM($K34:O34)</f>
        <v>41880.949999999997</v>
      </c>
      <c r="AC34" s="14">
        <f>SUM($K34:P34)</f>
        <v>48635.429999999993</v>
      </c>
      <c r="AD34" s="14">
        <f>SUM($K34:Q34)</f>
        <v>51215.429999999993</v>
      </c>
      <c r="AE34" s="14">
        <f>SUM($K34:R34)</f>
        <v>67539.489999999991</v>
      </c>
      <c r="AF34" s="14">
        <f>SUM($K34:S34)</f>
        <v>80814.929999999993</v>
      </c>
      <c r="AG34" s="14">
        <f>SUM($K34:T34)</f>
        <v>91972.79</v>
      </c>
      <c r="AH34" s="14">
        <f>SUM($K34:U34)</f>
        <v>92880.709999999992</v>
      </c>
      <c r="AI34" s="14">
        <f>SUM($K34:V34)</f>
        <v>103728.38999999998</v>
      </c>
    </row>
    <row r="35" spans="1:35">
      <c r="A35" s="5">
        <v>28</v>
      </c>
      <c r="B35" s="5">
        <v>25028</v>
      </c>
      <c r="C35" s="5" t="s">
        <v>152</v>
      </c>
      <c r="D35" s="5" t="str">
        <f>VLOOKUP($B35, Spa!$B:$P, 14, 0)</f>
        <v>Emily</v>
      </c>
      <c r="E35" s="5" t="str">
        <f>VLOOKUP($B35, Spa!$B:$P, 15, 0)</f>
        <v>Northeast</v>
      </c>
      <c r="F35" s="5">
        <f>VLOOKUP(B35, Spa!$B:$E, 3, 0)</f>
        <v>2023</v>
      </c>
      <c r="G35" s="6">
        <f>VLOOKUP(B35, Spa!$B:$E, 4, 0)</f>
        <v>44927</v>
      </c>
      <c r="H35" s="5" t="str">
        <f t="shared" si="7"/>
        <v>20231</v>
      </c>
      <c r="I35" s="5" t="str">
        <f>VLOOKUP(B35, Spa!$B:$L, 11, 0)</f>
        <v>No</v>
      </c>
      <c r="J35" s="16">
        <v>2978</v>
      </c>
      <c r="K35" s="16"/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X35" s="14">
        <f>SUM($K35:K35)</f>
        <v>0</v>
      </c>
      <c r="Y35" s="14">
        <f>SUM($K35:L35)</f>
        <v>0</v>
      </c>
      <c r="Z35" s="14">
        <f>SUM($K35:M35)</f>
        <v>0</v>
      </c>
      <c r="AA35" s="14">
        <f>SUM($K35:N35)</f>
        <v>0</v>
      </c>
      <c r="AB35" s="14">
        <f>SUM($K35:O35)</f>
        <v>0</v>
      </c>
      <c r="AC35" s="14">
        <f>SUM($K35:P35)</f>
        <v>0</v>
      </c>
      <c r="AD35" s="14">
        <f>SUM($K35:Q35)</f>
        <v>0</v>
      </c>
      <c r="AE35" s="14">
        <f>SUM($K35:R35)</f>
        <v>0</v>
      </c>
      <c r="AF35" s="14">
        <f>SUM($K35:S35)</f>
        <v>0</v>
      </c>
      <c r="AG35" s="14">
        <f>SUM($K35:T35)</f>
        <v>0</v>
      </c>
      <c r="AH35" s="14">
        <f>SUM($K35:U35)</f>
        <v>0</v>
      </c>
      <c r="AI35" s="14">
        <f>SUM($K35:V35)</f>
        <v>0</v>
      </c>
    </row>
    <row r="36" spans="1:35">
      <c r="A36" s="5">
        <v>29</v>
      </c>
      <c r="B36" s="5">
        <v>25029</v>
      </c>
      <c r="C36" s="5" t="s">
        <v>124</v>
      </c>
      <c r="D36" s="5" t="str">
        <f>VLOOKUP($B36, Spa!$B:$P, 14, 0)</f>
        <v>Lisa</v>
      </c>
      <c r="E36" s="5" t="str">
        <f>VLOOKUP($B36, Spa!$B:$P, 15, 0)</f>
        <v>Southeast</v>
      </c>
      <c r="F36" s="5">
        <f>VLOOKUP(B36, Spa!$B:$E, 3, 0)</f>
        <v>2023</v>
      </c>
      <c r="G36" s="6">
        <f>VLOOKUP(B36, Spa!$B:$E, 4, 0)</f>
        <v>44927</v>
      </c>
      <c r="H36" s="5" t="str">
        <f t="shared" si="7"/>
        <v>20231</v>
      </c>
      <c r="I36" s="5" t="str">
        <f>VLOOKUP(B36, Spa!$B:$L, 11, 0)</f>
        <v>Yes</v>
      </c>
      <c r="J36" s="16">
        <v>3872.89</v>
      </c>
      <c r="K36" s="16"/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3224.51</v>
      </c>
      <c r="R36" s="16">
        <v>397.5</v>
      </c>
      <c r="S36" s="16">
        <v>2122.36</v>
      </c>
      <c r="T36" s="16">
        <v>0</v>
      </c>
      <c r="U36" s="16">
        <v>1914.89</v>
      </c>
      <c r="V36" s="16">
        <v>0</v>
      </c>
      <c r="X36" s="14">
        <f>SUM($K36:K36)</f>
        <v>0</v>
      </c>
      <c r="Y36" s="14">
        <f>SUM($K36:L36)</f>
        <v>0</v>
      </c>
      <c r="Z36" s="14">
        <f>SUM($K36:M36)</f>
        <v>0</v>
      </c>
      <c r="AA36" s="14">
        <f>SUM($K36:N36)</f>
        <v>0</v>
      </c>
      <c r="AB36" s="14">
        <f>SUM($K36:O36)</f>
        <v>0</v>
      </c>
      <c r="AC36" s="14">
        <f>SUM($K36:P36)</f>
        <v>0</v>
      </c>
      <c r="AD36" s="14">
        <f>SUM($K36:Q36)</f>
        <v>3224.51</v>
      </c>
      <c r="AE36" s="14">
        <f>SUM($K36:R36)</f>
        <v>3622.01</v>
      </c>
      <c r="AF36" s="14">
        <f>SUM($K36:S36)</f>
        <v>5744.3700000000008</v>
      </c>
      <c r="AG36" s="14">
        <f>SUM($K36:T36)</f>
        <v>5744.3700000000008</v>
      </c>
      <c r="AH36" s="14">
        <f>SUM($K36:U36)</f>
        <v>7659.2600000000011</v>
      </c>
      <c r="AI36" s="14">
        <f>SUM($K36:V36)</f>
        <v>7659.2600000000011</v>
      </c>
    </row>
    <row r="37" spans="1:35">
      <c r="A37" s="5">
        <v>32</v>
      </c>
      <c r="B37" s="5">
        <v>25032</v>
      </c>
      <c r="C37" s="5" t="s">
        <v>103</v>
      </c>
      <c r="D37" s="5" t="str">
        <f>VLOOKUP($B37, Spa!$B:$P, 14, 0)</f>
        <v>Amy</v>
      </c>
      <c r="E37" s="5" t="str">
        <f>VLOOKUP($B37, Spa!$B:$P, 15, 0)</f>
        <v>West</v>
      </c>
      <c r="F37" s="5">
        <f>VLOOKUP(B37, Spa!$B:$E, 3, 0)</f>
        <v>2023</v>
      </c>
      <c r="G37" s="6">
        <f>VLOOKUP(B37, Spa!$B:$E, 4, 0)</f>
        <v>45017</v>
      </c>
      <c r="H37" s="5" t="str">
        <f t="shared" si="7"/>
        <v>20234</v>
      </c>
      <c r="I37" s="5" t="str">
        <f>VLOOKUP(B37, Spa!$B:$L, 11, 0)</f>
        <v>Yes</v>
      </c>
      <c r="J37" s="16">
        <v>43029.09</v>
      </c>
      <c r="K37" s="16">
        <v>4246.34</v>
      </c>
      <c r="L37" s="16">
        <v>3162.09</v>
      </c>
      <c r="M37" s="16">
        <v>4900.87</v>
      </c>
      <c r="N37" s="16">
        <v>1887.69</v>
      </c>
      <c r="O37" s="16">
        <v>4378.54</v>
      </c>
      <c r="P37" s="16">
        <v>4138.6000000000004</v>
      </c>
      <c r="Q37" s="16">
        <v>3923.46</v>
      </c>
      <c r="R37" s="16">
        <v>3742.45</v>
      </c>
      <c r="S37" s="16">
        <v>5866.05</v>
      </c>
      <c r="T37" s="16">
        <v>4237.6400000000003</v>
      </c>
      <c r="U37" s="16">
        <v>6726.53</v>
      </c>
      <c r="V37" s="16">
        <v>2900.02</v>
      </c>
      <c r="X37" s="14">
        <f>SUM($K37:K37)</f>
        <v>4246.34</v>
      </c>
      <c r="Y37" s="14">
        <f>SUM($K37:L37)</f>
        <v>7408.43</v>
      </c>
      <c r="Z37" s="14">
        <f>SUM($K37:M37)</f>
        <v>12309.3</v>
      </c>
      <c r="AA37" s="14">
        <f>SUM($K37:N37)</f>
        <v>14196.99</v>
      </c>
      <c r="AB37" s="14">
        <f>SUM($K37:O37)</f>
        <v>18575.53</v>
      </c>
      <c r="AC37" s="14">
        <f>SUM($K37:P37)</f>
        <v>22714.129999999997</v>
      </c>
      <c r="AD37" s="14">
        <f>SUM($K37:Q37)</f>
        <v>26637.589999999997</v>
      </c>
      <c r="AE37" s="14">
        <f>SUM($K37:R37)</f>
        <v>30380.039999999997</v>
      </c>
      <c r="AF37" s="14">
        <f>SUM($K37:S37)</f>
        <v>36246.089999999997</v>
      </c>
      <c r="AG37" s="14">
        <f>SUM($K37:T37)</f>
        <v>40483.729999999996</v>
      </c>
      <c r="AH37" s="14">
        <f>SUM($K37:U37)</f>
        <v>47210.259999999995</v>
      </c>
      <c r="AI37" s="14">
        <f>SUM($K37:V37)</f>
        <v>50110.279999999992</v>
      </c>
    </row>
    <row r="38" spans="1:35">
      <c r="A38" s="5">
        <v>33</v>
      </c>
      <c r="B38" s="5">
        <v>25033</v>
      </c>
      <c r="C38" s="5" t="s">
        <v>153</v>
      </c>
      <c r="D38" s="5" t="str">
        <f>VLOOKUP($B38, Spa!$B:$P, 14, 0)</f>
        <v>Emily</v>
      </c>
      <c r="E38" s="5" t="str">
        <f>VLOOKUP($B38, Spa!$B:$P, 15, 0)</f>
        <v>Northeast</v>
      </c>
      <c r="F38" s="5">
        <f>VLOOKUP(B38, Spa!$B:$E, 3, 0)</f>
        <v>2023</v>
      </c>
      <c r="G38" s="6">
        <f>VLOOKUP(B38, Spa!$B:$E, 4, 0)</f>
        <v>45047</v>
      </c>
      <c r="H38" s="5" t="str">
        <f t="shared" si="7"/>
        <v>20235</v>
      </c>
      <c r="I38" s="5" t="str">
        <f>VLOOKUP(B38, Spa!$B:$L, 11, 0)</f>
        <v>No</v>
      </c>
      <c r="J38" s="16">
        <v>5424.13</v>
      </c>
      <c r="K38" s="16"/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X38" s="14">
        <f>SUM($K38:K38)</f>
        <v>0</v>
      </c>
      <c r="Y38" s="14">
        <f>SUM($K38:L38)</f>
        <v>0</v>
      </c>
      <c r="Z38" s="14">
        <f>SUM($K38:M38)</f>
        <v>0</v>
      </c>
      <c r="AA38" s="14">
        <f>SUM($K38:N38)</f>
        <v>0</v>
      </c>
      <c r="AB38" s="14">
        <f>SUM($K38:O38)</f>
        <v>0</v>
      </c>
      <c r="AC38" s="14">
        <f>SUM($K38:P38)</f>
        <v>0</v>
      </c>
      <c r="AD38" s="14">
        <f>SUM($K38:Q38)</f>
        <v>0</v>
      </c>
      <c r="AE38" s="14">
        <f>SUM($K38:R38)</f>
        <v>0</v>
      </c>
      <c r="AF38" s="14">
        <f>SUM($K38:S38)</f>
        <v>0</v>
      </c>
      <c r="AG38" s="14">
        <f>SUM($K38:T38)</f>
        <v>0</v>
      </c>
      <c r="AH38" s="14">
        <f>SUM($K38:U38)</f>
        <v>0</v>
      </c>
      <c r="AI38" s="14">
        <f>SUM($K38:V38)</f>
        <v>0</v>
      </c>
    </row>
    <row r="39" spans="1:35">
      <c r="A39" s="5">
        <v>34</v>
      </c>
      <c r="B39" s="5">
        <v>25034</v>
      </c>
      <c r="C39" s="5" t="s">
        <v>154</v>
      </c>
      <c r="D39" s="5" t="str">
        <f>VLOOKUP($B39, Spa!$B:$P, 14, 0)</f>
        <v>Melissa</v>
      </c>
      <c r="E39" s="5" t="str">
        <f>VLOOKUP($B39, Spa!$B:$P, 15, 0)</f>
        <v>Other</v>
      </c>
      <c r="F39" s="5">
        <f>VLOOKUP(B39, Spa!$B:$E, 3, 0)</f>
        <v>2023</v>
      </c>
      <c r="G39" s="6">
        <f>VLOOKUP(B39, Spa!$B:$E, 4, 0)</f>
        <v>45047</v>
      </c>
      <c r="H39" s="5" t="str">
        <f t="shared" si="7"/>
        <v>20235</v>
      </c>
      <c r="I39" s="5" t="str">
        <f>VLOOKUP(B39, Spa!$B:$L, 11, 0)</f>
        <v>Yes</v>
      </c>
      <c r="J39" s="16">
        <v>494</v>
      </c>
      <c r="K39" s="16"/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X39" s="14">
        <f>SUM($K39:K39)</f>
        <v>0</v>
      </c>
      <c r="Y39" s="14">
        <f>SUM($K39:L39)</f>
        <v>0</v>
      </c>
      <c r="Z39" s="14">
        <f>SUM($K39:M39)</f>
        <v>0</v>
      </c>
      <c r="AA39" s="14">
        <f>SUM($K39:N39)</f>
        <v>0</v>
      </c>
      <c r="AB39" s="14">
        <f>SUM($K39:O39)</f>
        <v>0</v>
      </c>
      <c r="AC39" s="14">
        <f>SUM($K39:P39)</f>
        <v>0</v>
      </c>
      <c r="AD39" s="14">
        <f>SUM($K39:Q39)</f>
        <v>0</v>
      </c>
      <c r="AE39" s="14">
        <f>SUM($K39:R39)</f>
        <v>0</v>
      </c>
      <c r="AF39" s="14">
        <f>SUM($K39:S39)</f>
        <v>0</v>
      </c>
      <c r="AG39" s="14">
        <f>SUM($K39:T39)</f>
        <v>0</v>
      </c>
      <c r="AH39" s="14">
        <f>SUM($K39:U39)</f>
        <v>0</v>
      </c>
      <c r="AI39" s="14">
        <f>SUM($K39:V39)</f>
        <v>0</v>
      </c>
    </row>
    <row r="40" spans="1:35">
      <c r="A40" s="5">
        <v>35</v>
      </c>
      <c r="B40" s="5">
        <v>25035</v>
      </c>
      <c r="C40" s="5" t="s">
        <v>135</v>
      </c>
      <c r="D40" s="5" t="str">
        <f>VLOOKUP($B40, Spa!$B:$P, 14, 0)</f>
        <v>Melissa</v>
      </c>
      <c r="E40" s="5" t="str">
        <f>VLOOKUP($B40, Spa!$B:$P, 15, 0)</f>
        <v>Other</v>
      </c>
      <c r="F40" s="5">
        <f>VLOOKUP(B40, Spa!$B:$E, 3, 0)</f>
        <v>2023</v>
      </c>
      <c r="G40" s="6">
        <f>VLOOKUP(B40, Spa!$B:$E, 4, 0)</f>
        <v>45170</v>
      </c>
      <c r="H40" s="5" t="str">
        <f t="shared" si="7"/>
        <v>20239</v>
      </c>
      <c r="I40" s="5" t="str">
        <f>VLOOKUP(B40, Spa!$B:$L, 11, 0)</f>
        <v>Yes</v>
      </c>
      <c r="J40" s="16">
        <v>22651.16</v>
      </c>
      <c r="K40" s="16"/>
      <c r="L40" s="16">
        <v>0</v>
      </c>
      <c r="M40" s="16">
        <v>3417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10306.61</v>
      </c>
      <c r="V40" s="16">
        <v>0</v>
      </c>
      <c r="X40" s="14">
        <f>SUM($K40:K40)</f>
        <v>0</v>
      </c>
      <c r="Y40" s="14">
        <f>SUM($K40:L40)</f>
        <v>0</v>
      </c>
      <c r="Z40" s="14">
        <f>SUM($K40:M40)</f>
        <v>3417</v>
      </c>
      <c r="AA40" s="14">
        <f>SUM($K40:N40)</f>
        <v>3417</v>
      </c>
      <c r="AB40" s="14">
        <f>SUM($K40:O40)</f>
        <v>3417</v>
      </c>
      <c r="AC40" s="14">
        <f>SUM($K40:P40)</f>
        <v>3417</v>
      </c>
      <c r="AD40" s="14">
        <f>SUM($K40:Q40)</f>
        <v>3417</v>
      </c>
      <c r="AE40" s="14">
        <f>SUM($K40:R40)</f>
        <v>3417</v>
      </c>
      <c r="AF40" s="14">
        <f>SUM($K40:S40)</f>
        <v>3417</v>
      </c>
      <c r="AG40" s="14">
        <f>SUM($K40:T40)</f>
        <v>3417</v>
      </c>
      <c r="AH40" s="14">
        <f>SUM($K40:U40)</f>
        <v>13723.61</v>
      </c>
      <c r="AI40" s="14">
        <f>SUM($K40:V40)</f>
        <v>13723.61</v>
      </c>
    </row>
    <row r="41" spans="1:35">
      <c r="A41" s="5">
        <v>36</v>
      </c>
      <c r="B41" s="5">
        <v>25036</v>
      </c>
      <c r="C41" s="5" t="s">
        <v>108</v>
      </c>
      <c r="D41" s="5" t="str">
        <f>VLOOKUP($B41, Spa!$B:$P, 14, 0)</f>
        <v>Amy</v>
      </c>
      <c r="E41" s="5" t="str">
        <f>VLOOKUP($B41, Spa!$B:$P, 15, 0)</f>
        <v>West</v>
      </c>
      <c r="F41" s="5">
        <f>VLOOKUP(B41, Spa!$B:$E, 3, 0)</f>
        <v>2023</v>
      </c>
      <c r="G41" s="6">
        <f>VLOOKUP(B41, Spa!$B:$E, 4, 0)</f>
        <v>45139</v>
      </c>
      <c r="H41" s="5" t="str">
        <f t="shared" si="7"/>
        <v>20238</v>
      </c>
      <c r="I41" s="5" t="str">
        <f>VLOOKUP(B41, Spa!$B:$L, 11, 0)</f>
        <v>Yes</v>
      </c>
      <c r="J41" s="16">
        <v>5919.87</v>
      </c>
      <c r="K41" s="16"/>
      <c r="L41" s="16">
        <v>0</v>
      </c>
      <c r="M41" s="16">
        <v>0</v>
      </c>
      <c r="N41" s="16">
        <v>267.52</v>
      </c>
      <c r="O41" s="16">
        <v>0</v>
      </c>
      <c r="P41" s="16">
        <v>0</v>
      </c>
      <c r="Q41" s="16">
        <v>0</v>
      </c>
      <c r="R41" s="16">
        <v>0</v>
      </c>
      <c r="S41" s="16">
        <v>1749.32</v>
      </c>
      <c r="T41" s="16">
        <v>0</v>
      </c>
      <c r="U41" s="16">
        <v>0</v>
      </c>
      <c r="V41" s="16">
        <v>340.74</v>
      </c>
      <c r="X41" s="14">
        <f>SUM($K41:K41)</f>
        <v>0</v>
      </c>
      <c r="Y41" s="14">
        <f>SUM($K41:L41)</f>
        <v>0</v>
      </c>
      <c r="Z41" s="14">
        <f>SUM($K41:M41)</f>
        <v>0</v>
      </c>
      <c r="AA41" s="14">
        <f>SUM($K41:N41)</f>
        <v>267.52</v>
      </c>
      <c r="AB41" s="14">
        <f>SUM($K41:O41)</f>
        <v>267.52</v>
      </c>
      <c r="AC41" s="14">
        <f>SUM($K41:P41)</f>
        <v>267.52</v>
      </c>
      <c r="AD41" s="14">
        <f>SUM($K41:Q41)</f>
        <v>267.52</v>
      </c>
      <c r="AE41" s="14">
        <f>SUM($K41:R41)</f>
        <v>267.52</v>
      </c>
      <c r="AF41" s="14">
        <f>SUM($K41:S41)</f>
        <v>2016.84</v>
      </c>
      <c r="AG41" s="14">
        <f>SUM($K41:T41)</f>
        <v>2016.84</v>
      </c>
      <c r="AH41" s="14">
        <f>SUM($K41:U41)</f>
        <v>2016.84</v>
      </c>
      <c r="AI41" s="14">
        <f>SUM($K41:V41)</f>
        <v>2357.58</v>
      </c>
    </row>
    <row r="42" spans="1:35">
      <c r="A42" s="5">
        <v>37</v>
      </c>
      <c r="B42" s="5">
        <v>25037</v>
      </c>
      <c r="C42" s="5" t="s">
        <v>197</v>
      </c>
      <c r="D42" s="5" t="str">
        <f>VLOOKUP($B42, Spa!$B:$P, 14, 0)</f>
        <v>Emily</v>
      </c>
      <c r="E42" s="5" t="str">
        <f>VLOOKUP($B42, Spa!$B:$P, 15, 0)</f>
        <v>Northeast</v>
      </c>
      <c r="F42" s="5">
        <f>VLOOKUP(B42, Spa!$B:$E, 3, 0)</f>
        <v>2023</v>
      </c>
      <c r="G42" s="6">
        <f>VLOOKUP(B42, Spa!$B:$E, 4, 0)</f>
        <v>45139</v>
      </c>
      <c r="H42" s="5" t="str">
        <f t="shared" si="7"/>
        <v>20238</v>
      </c>
      <c r="I42" s="5" t="str">
        <f>VLOOKUP(B42, Spa!$B:$L, 11, 0)</f>
        <v>Yes</v>
      </c>
      <c r="J42" s="16">
        <v>21563.64</v>
      </c>
      <c r="K42" s="16">
        <v>736.5</v>
      </c>
      <c r="L42" s="16">
        <v>910.5</v>
      </c>
      <c r="M42" s="16">
        <v>445</v>
      </c>
      <c r="N42" s="16">
        <v>740.58</v>
      </c>
      <c r="O42" s="16">
        <v>1445</v>
      </c>
      <c r="P42" s="16">
        <v>534.08000000000004</v>
      </c>
      <c r="Q42" s="16">
        <v>125</v>
      </c>
      <c r="R42" s="16">
        <v>414.48</v>
      </c>
      <c r="S42" s="16">
        <v>0</v>
      </c>
      <c r="T42" s="16">
        <v>7195.74</v>
      </c>
      <c r="U42" s="16">
        <v>1568.91</v>
      </c>
      <c r="V42" s="16">
        <v>225.35</v>
      </c>
      <c r="X42" s="14">
        <f>SUM($K42:K42)</f>
        <v>736.5</v>
      </c>
      <c r="Y42" s="14">
        <f>SUM($K42:L42)</f>
        <v>1647</v>
      </c>
      <c r="Z42" s="14">
        <f>SUM($K42:M42)</f>
        <v>2092</v>
      </c>
      <c r="AA42" s="14">
        <f>SUM($K42:N42)</f>
        <v>2832.58</v>
      </c>
      <c r="AB42" s="14">
        <f>SUM($K42:O42)</f>
        <v>4277.58</v>
      </c>
      <c r="AC42" s="14">
        <f>SUM($K42:P42)</f>
        <v>4811.66</v>
      </c>
      <c r="AD42" s="14">
        <f>SUM($K42:Q42)</f>
        <v>4936.66</v>
      </c>
      <c r="AE42" s="14">
        <f>SUM($K42:R42)</f>
        <v>5351.1399999999994</v>
      </c>
      <c r="AF42" s="14">
        <f>SUM($K42:S42)</f>
        <v>5351.1399999999994</v>
      </c>
      <c r="AG42" s="14">
        <f>SUM($K42:T42)</f>
        <v>12546.88</v>
      </c>
      <c r="AH42" s="14">
        <f>SUM($K42:U42)</f>
        <v>14115.789999999999</v>
      </c>
      <c r="AI42" s="14">
        <f>SUM($K42:V42)</f>
        <v>14341.14</v>
      </c>
    </row>
    <row r="43" spans="1:35">
      <c r="A43" s="5">
        <v>38</v>
      </c>
      <c r="B43" s="5">
        <v>25038</v>
      </c>
      <c r="C43" s="5" t="s">
        <v>104</v>
      </c>
      <c r="D43" s="5" t="str">
        <f>VLOOKUP($B43, Spa!$B:$P, 14, 0)</f>
        <v>Amy</v>
      </c>
      <c r="E43" s="5" t="str">
        <f>VLOOKUP($B43, Spa!$B:$P, 15, 0)</f>
        <v>West</v>
      </c>
      <c r="F43" s="5">
        <f>VLOOKUP(B43, Spa!$B:$E, 3, 0)</f>
        <v>2023</v>
      </c>
      <c r="G43" s="6">
        <f>VLOOKUP(B43, Spa!$B:$E, 4, 0)</f>
        <v>45200</v>
      </c>
      <c r="H43" s="5" t="str">
        <f t="shared" si="7"/>
        <v>202310</v>
      </c>
      <c r="I43" s="5" t="str">
        <f>VLOOKUP(B43, Spa!$B:$L, 11, 0)</f>
        <v>Yes</v>
      </c>
      <c r="J43" s="16">
        <v>7243.37</v>
      </c>
      <c r="K43" s="16">
        <v>2039</v>
      </c>
      <c r="L43" s="16">
        <v>2142.19</v>
      </c>
      <c r="M43" s="16">
        <v>0</v>
      </c>
      <c r="N43" s="16">
        <v>1252.57</v>
      </c>
      <c r="O43" s="16">
        <v>613.02</v>
      </c>
      <c r="P43" s="16">
        <v>3167.33</v>
      </c>
      <c r="Q43" s="16">
        <v>4219.91</v>
      </c>
      <c r="R43" s="16">
        <v>497.8</v>
      </c>
      <c r="S43" s="16">
        <v>1528.3</v>
      </c>
      <c r="T43" s="16">
        <v>3578.59</v>
      </c>
      <c r="U43" s="16">
        <v>5492.25</v>
      </c>
      <c r="V43" s="16">
        <v>4000</v>
      </c>
      <c r="X43" s="14">
        <f>SUM($K43:K43)</f>
        <v>2039</v>
      </c>
      <c r="Y43" s="14">
        <f>SUM($K43:L43)</f>
        <v>4181.1900000000005</v>
      </c>
      <c r="Z43" s="14">
        <f>SUM($K43:M43)</f>
        <v>4181.1900000000005</v>
      </c>
      <c r="AA43" s="14">
        <f>SUM($K43:N43)</f>
        <v>5433.76</v>
      </c>
      <c r="AB43" s="14">
        <f>SUM($K43:O43)</f>
        <v>6046.7800000000007</v>
      </c>
      <c r="AC43" s="14">
        <f>SUM($K43:P43)</f>
        <v>9214.11</v>
      </c>
      <c r="AD43" s="14">
        <f>SUM($K43:Q43)</f>
        <v>13434.02</v>
      </c>
      <c r="AE43" s="14">
        <f>SUM($K43:R43)</f>
        <v>13931.82</v>
      </c>
      <c r="AF43" s="14">
        <f>SUM($K43:S43)</f>
        <v>15460.119999999999</v>
      </c>
      <c r="AG43" s="14">
        <f>SUM($K43:T43)</f>
        <v>19038.71</v>
      </c>
      <c r="AH43" s="14">
        <f>SUM($K43:U43)</f>
        <v>24530.959999999999</v>
      </c>
      <c r="AI43" s="14">
        <f>SUM($K43:V43)</f>
        <v>28530.959999999999</v>
      </c>
    </row>
    <row r="44" spans="1:35">
      <c r="A44" s="5">
        <v>39</v>
      </c>
      <c r="B44" s="5">
        <v>25039</v>
      </c>
      <c r="C44" s="17" t="s">
        <v>88</v>
      </c>
      <c r="D44" s="5" t="str">
        <f>VLOOKUP($B44, Spa!$B:$P, 14, 0)</f>
        <v>Emily</v>
      </c>
      <c r="E44" s="5" t="str">
        <f>VLOOKUP($B44, Spa!$B:$P, 15, 0)</f>
        <v>Central</v>
      </c>
      <c r="F44" s="5">
        <f>VLOOKUP(B44, Spa!$B:$E, 3, 0)</f>
        <v>2024</v>
      </c>
      <c r="G44" s="6">
        <f>VLOOKUP(B44, Spa!$B:$E, 4, 0)</f>
        <v>45352</v>
      </c>
      <c r="H44" s="5" t="str">
        <f t="shared" si="7"/>
        <v>20243</v>
      </c>
      <c r="I44" s="5" t="str">
        <f>VLOOKUP(B44, Spa!$B:$L, 11, 0)</f>
        <v>Yes</v>
      </c>
      <c r="J44" s="16">
        <v>0</v>
      </c>
      <c r="K44" s="16">
        <v>0</v>
      </c>
      <c r="L44" s="16">
        <v>0</v>
      </c>
      <c r="M44" s="16">
        <v>5828.27</v>
      </c>
      <c r="N44" s="16">
        <v>1545</v>
      </c>
      <c r="O44" s="16">
        <v>0</v>
      </c>
      <c r="P44" s="16">
        <v>0</v>
      </c>
      <c r="Q44" s="16">
        <v>0</v>
      </c>
      <c r="R44" s="16">
        <v>0</v>
      </c>
      <c r="S44" s="16">
        <v>4118.55</v>
      </c>
      <c r="T44" s="16">
        <v>0</v>
      </c>
      <c r="U44" s="16">
        <v>3765.5</v>
      </c>
      <c r="V44" s="16">
        <v>3153.5</v>
      </c>
      <c r="X44" s="14">
        <f>SUM($K44:K44)</f>
        <v>0</v>
      </c>
      <c r="Y44" s="14">
        <f>SUM($K44:L44)</f>
        <v>0</v>
      </c>
      <c r="Z44" s="14">
        <f>SUM($K44:M44)</f>
        <v>5828.27</v>
      </c>
      <c r="AA44" s="14">
        <f>SUM($K44:N44)</f>
        <v>7373.27</v>
      </c>
      <c r="AB44" s="14">
        <f>SUM($K44:O44)</f>
        <v>7373.27</v>
      </c>
      <c r="AC44" s="14">
        <f>SUM($K44:P44)</f>
        <v>7373.27</v>
      </c>
      <c r="AD44" s="14">
        <f>SUM($K44:Q44)</f>
        <v>7373.27</v>
      </c>
      <c r="AE44" s="14">
        <f>SUM($K44:R44)</f>
        <v>7373.27</v>
      </c>
      <c r="AF44" s="14">
        <f>SUM($K44:S44)</f>
        <v>11491.82</v>
      </c>
      <c r="AG44" s="14">
        <f>SUM($K44:T44)</f>
        <v>11491.82</v>
      </c>
      <c r="AH44" s="14">
        <f>SUM($K44:U44)</f>
        <v>15257.32</v>
      </c>
      <c r="AI44" s="14">
        <f>SUM($K44:V44)</f>
        <v>18410.82</v>
      </c>
    </row>
    <row r="45" spans="1:35">
      <c r="A45" s="5">
        <v>40</v>
      </c>
      <c r="B45" s="5">
        <v>25040</v>
      </c>
      <c r="C45" s="5" t="s">
        <v>166</v>
      </c>
      <c r="D45" s="5" t="str">
        <f>VLOOKUP($B45, Spa!$B:$P, 14, 0)</f>
        <v>Lisa</v>
      </c>
      <c r="E45" s="5" t="str">
        <f>VLOOKUP($B45, Spa!$B:$P, 15, 0)</f>
        <v>Southeast</v>
      </c>
      <c r="F45" s="5">
        <f>VLOOKUP(B45, Spa!$B:$E, 3, 0)</f>
        <v>2023</v>
      </c>
      <c r="G45" s="6">
        <f>VLOOKUP(B45, Spa!$B:$E, 4, 0)</f>
        <v>45200</v>
      </c>
      <c r="H45" s="5" t="str">
        <f t="shared" si="7"/>
        <v>202310</v>
      </c>
      <c r="I45" s="5" t="str">
        <f>VLOOKUP(B45, Spa!$B:$L, 11, 0)</f>
        <v>Yes</v>
      </c>
      <c r="J45" s="16">
        <v>6451.14</v>
      </c>
      <c r="K45" s="16">
        <v>234.78</v>
      </c>
      <c r="L45" s="16">
        <v>0</v>
      </c>
      <c r="M45" s="16">
        <v>0</v>
      </c>
      <c r="N45" s="16">
        <v>1427.6</v>
      </c>
      <c r="O45" s="16">
        <v>711.92</v>
      </c>
      <c r="P45" s="16">
        <v>0</v>
      </c>
      <c r="Q45" s="16">
        <v>0</v>
      </c>
      <c r="R45" s="16">
        <v>1205.1199999999999</v>
      </c>
      <c r="S45" s="16">
        <v>1413.75</v>
      </c>
      <c r="T45" s="16">
        <v>322.5</v>
      </c>
      <c r="U45" s="16">
        <v>2105.39</v>
      </c>
      <c r="V45" s="16">
        <v>0</v>
      </c>
      <c r="X45" s="14">
        <f>SUM($K45:K45)</f>
        <v>234.78</v>
      </c>
      <c r="Y45" s="14">
        <f>SUM($K45:L45)</f>
        <v>234.78</v>
      </c>
      <c r="Z45" s="14">
        <f>SUM($K45:M45)</f>
        <v>234.78</v>
      </c>
      <c r="AA45" s="14">
        <f>SUM($K45:N45)</f>
        <v>1662.3799999999999</v>
      </c>
      <c r="AB45" s="14">
        <f>SUM($K45:O45)</f>
        <v>2374.2999999999997</v>
      </c>
      <c r="AC45" s="14">
        <f>SUM($K45:P45)</f>
        <v>2374.2999999999997</v>
      </c>
      <c r="AD45" s="14">
        <f>SUM($K45:Q45)</f>
        <v>2374.2999999999997</v>
      </c>
      <c r="AE45" s="14">
        <f>SUM($K45:R45)</f>
        <v>3579.4199999999996</v>
      </c>
      <c r="AF45" s="14">
        <f>SUM($K45:S45)</f>
        <v>4993.17</v>
      </c>
      <c r="AG45" s="14">
        <f>SUM($K45:T45)</f>
        <v>5315.67</v>
      </c>
      <c r="AH45" s="14">
        <f>SUM($K45:U45)</f>
        <v>7421.0599999999995</v>
      </c>
      <c r="AI45" s="14">
        <f>SUM($K45:V45)</f>
        <v>7421.0599999999995</v>
      </c>
    </row>
    <row r="46" spans="1:35">
      <c r="A46" s="5">
        <v>41</v>
      </c>
      <c r="B46" s="5">
        <v>25041</v>
      </c>
      <c r="C46" s="5" t="s">
        <v>155</v>
      </c>
      <c r="D46" s="5" t="str">
        <f>VLOOKUP($B46, Spa!$B:$P, 14, 0)</f>
        <v>Emily</v>
      </c>
      <c r="E46" s="5" t="str">
        <f>VLOOKUP($B46, Spa!$B:$P, 15, 0)</f>
        <v>Central</v>
      </c>
      <c r="F46" s="5">
        <f>VLOOKUP(B46, Spa!$B:$E, 3, 0)</f>
        <v>2023</v>
      </c>
      <c r="G46" s="6">
        <f>VLOOKUP(B46, Spa!$B:$E, 4, 0)</f>
        <v>45231</v>
      </c>
      <c r="H46" s="5" t="str">
        <f t="shared" si="7"/>
        <v>202311</v>
      </c>
      <c r="I46" s="5" t="str">
        <f>VLOOKUP(B46, Spa!$B:$L, 11, 0)</f>
        <v>No</v>
      </c>
      <c r="J46" s="16">
        <v>575.16</v>
      </c>
      <c r="K46" s="16"/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X46" s="14">
        <f>SUM($K46:K46)</f>
        <v>0</v>
      </c>
      <c r="Y46" s="14">
        <f>SUM($K46:L46)</f>
        <v>0</v>
      </c>
      <c r="Z46" s="14">
        <f>SUM($K46:M46)</f>
        <v>0</v>
      </c>
      <c r="AA46" s="14">
        <f>SUM($K46:N46)</f>
        <v>0</v>
      </c>
      <c r="AB46" s="14">
        <f>SUM($K46:O46)</f>
        <v>0</v>
      </c>
      <c r="AC46" s="14">
        <f>SUM($K46:P46)</f>
        <v>0</v>
      </c>
      <c r="AD46" s="14">
        <f>SUM($K46:Q46)</f>
        <v>0</v>
      </c>
      <c r="AE46" s="14">
        <f>SUM($K46:R46)</f>
        <v>0</v>
      </c>
      <c r="AF46" s="14">
        <f>SUM($K46:S46)</f>
        <v>0</v>
      </c>
      <c r="AG46" s="14">
        <f>SUM($K46:T46)</f>
        <v>0</v>
      </c>
      <c r="AH46" s="14">
        <f>SUM($K46:U46)</f>
        <v>0</v>
      </c>
      <c r="AI46" s="14">
        <f>SUM($K46:V46)</f>
        <v>0</v>
      </c>
    </row>
    <row r="47" spans="1:35">
      <c r="A47" s="5">
        <v>42</v>
      </c>
      <c r="B47" s="5">
        <v>25042</v>
      </c>
      <c r="C47" s="5" t="s">
        <v>136</v>
      </c>
      <c r="D47" s="5" t="str">
        <f>VLOOKUP($B47, Spa!$B:$P, 14, 0)</f>
        <v>Lisa</v>
      </c>
      <c r="E47" s="5" t="str">
        <f>VLOOKUP($B47, Spa!$B:$P, 15, 0)</f>
        <v>Southeast</v>
      </c>
      <c r="F47" s="5">
        <f>VLOOKUP(B47, Spa!$B:$E, 3, 0)</f>
        <v>2023</v>
      </c>
      <c r="G47" s="6">
        <f>VLOOKUP(B47, Spa!$B:$E, 4, 0)</f>
        <v>45261</v>
      </c>
      <c r="H47" s="5" t="str">
        <f t="shared" si="7"/>
        <v>202312</v>
      </c>
      <c r="I47" s="5" t="str">
        <f>VLOOKUP(B47, Spa!$B:$L, 11, 0)</f>
        <v>Yes</v>
      </c>
      <c r="J47" s="16">
        <v>24324</v>
      </c>
      <c r="K47" s="16"/>
      <c r="L47" s="16">
        <v>0</v>
      </c>
      <c r="M47" s="16">
        <v>0</v>
      </c>
      <c r="N47" s="16">
        <v>8262</v>
      </c>
      <c r="O47" s="16">
        <v>0</v>
      </c>
      <c r="P47" s="16">
        <v>0</v>
      </c>
      <c r="Q47" s="16">
        <v>0</v>
      </c>
      <c r="R47" s="16">
        <v>0</v>
      </c>
      <c r="S47" s="16">
        <v>7753</v>
      </c>
      <c r="T47" s="16">
        <v>6893.82</v>
      </c>
      <c r="U47" s="16">
        <v>17834.689999999999</v>
      </c>
      <c r="V47" s="16">
        <v>5380.26</v>
      </c>
      <c r="X47" s="14">
        <f>SUM($K47:K47)</f>
        <v>0</v>
      </c>
      <c r="Y47" s="14">
        <f>SUM($K47:L47)</f>
        <v>0</v>
      </c>
      <c r="Z47" s="14">
        <f>SUM($K47:M47)</f>
        <v>0</v>
      </c>
      <c r="AA47" s="14">
        <f>SUM($K47:N47)</f>
        <v>8262</v>
      </c>
      <c r="AB47" s="14">
        <f>SUM($K47:O47)</f>
        <v>8262</v>
      </c>
      <c r="AC47" s="14">
        <f>SUM($K47:P47)</f>
        <v>8262</v>
      </c>
      <c r="AD47" s="14">
        <f>SUM($K47:Q47)</f>
        <v>8262</v>
      </c>
      <c r="AE47" s="14">
        <f>SUM($K47:R47)</f>
        <v>8262</v>
      </c>
      <c r="AF47" s="14">
        <f>SUM($K47:S47)</f>
        <v>16015</v>
      </c>
      <c r="AG47" s="14">
        <f>SUM($K47:T47)</f>
        <v>22908.82</v>
      </c>
      <c r="AH47" s="14">
        <f>SUM($K47:U47)</f>
        <v>40743.509999999995</v>
      </c>
      <c r="AI47" s="14">
        <f>SUM($K47:V47)</f>
        <v>46123.77</v>
      </c>
    </row>
    <row r="48" spans="1:35">
      <c r="A48" s="5">
        <v>43</v>
      </c>
      <c r="B48" s="5">
        <v>25043</v>
      </c>
      <c r="C48" s="5" t="s">
        <v>126</v>
      </c>
      <c r="D48" s="5" t="str">
        <f>VLOOKUP($B48, Spa!$B:$P, 14, 0)</f>
        <v>Lisa</v>
      </c>
      <c r="E48" s="5" t="str">
        <f>VLOOKUP($B48, Spa!$B:$P, 15, 0)</f>
        <v>Southeast</v>
      </c>
      <c r="F48" s="5">
        <f>VLOOKUP(B48, Spa!$B:$E, 3, 0)</f>
        <v>2023</v>
      </c>
      <c r="G48" s="6">
        <f>VLOOKUP(B48, Spa!$B:$E, 4, 0)</f>
        <v>45261</v>
      </c>
      <c r="H48" s="5" t="str">
        <f t="shared" si="7"/>
        <v>202312</v>
      </c>
      <c r="I48" s="5" t="str">
        <f>VLOOKUP(B48, Spa!$B:$L, 11, 0)</f>
        <v>Yes</v>
      </c>
      <c r="J48" s="16">
        <v>1212</v>
      </c>
      <c r="K48" s="16"/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2916</v>
      </c>
      <c r="U48" s="16">
        <v>0</v>
      </c>
      <c r="V48" s="16">
        <v>0</v>
      </c>
      <c r="X48" s="14">
        <f>SUM($K48:K48)</f>
        <v>0</v>
      </c>
      <c r="Y48" s="14">
        <f>SUM($K48:L48)</f>
        <v>0</v>
      </c>
      <c r="Z48" s="14">
        <f>SUM($K48:M48)</f>
        <v>0</v>
      </c>
      <c r="AA48" s="14">
        <f>SUM($K48:N48)</f>
        <v>0</v>
      </c>
      <c r="AB48" s="14">
        <f>SUM($K48:O48)</f>
        <v>0</v>
      </c>
      <c r="AC48" s="14">
        <f>SUM($K48:P48)</f>
        <v>0</v>
      </c>
      <c r="AD48" s="14">
        <f>SUM($K48:Q48)</f>
        <v>0</v>
      </c>
      <c r="AE48" s="14">
        <f>SUM($K48:R48)</f>
        <v>0</v>
      </c>
      <c r="AF48" s="14">
        <f>SUM($K48:S48)</f>
        <v>0</v>
      </c>
      <c r="AG48" s="14">
        <f>SUM($K48:T48)</f>
        <v>2916</v>
      </c>
      <c r="AH48" s="14">
        <f>SUM($K48:U48)</f>
        <v>2916</v>
      </c>
      <c r="AI48" s="14">
        <f>SUM($K48:V48)</f>
        <v>2916</v>
      </c>
    </row>
    <row r="49" spans="1:35">
      <c r="A49" s="5">
        <v>44</v>
      </c>
      <c r="B49" s="5">
        <v>25044</v>
      </c>
      <c r="C49" s="17" t="s">
        <v>90</v>
      </c>
      <c r="D49" s="5" t="str">
        <f>VLOOKUP($B49, Spa!$B:$P, 14, 0)</f>
        <v>Emily</v>
      </c>
      <c r="E49" s="5" t="str">
        <f>VLOOKUP($B49, Spa!$B:$P, 15, 0)</f>
        <v>Central</v>
      </c>
      <c r="F49" s="5">
        <f>VLOOKUP(B49, Spa!$B:$E, 3, 0)</f>
        <v>2024</v>
      </c>
      <c r="G49" s="6">
        <f>VLOOKUP(B49, Spa!$B:$E, 4, 0)</f>
        <v>45292</v>
      </c>
      <c r="H49" s="5" t="str">
        <f t="shared" si="7"/>
        <v>20241</v>
      </c>
      <c r="I49" s="5" t="str">
        <f>VLOOKUP(B49, Spa!$B:$L, 11, 0)</f>
        <v>Yes</v>
      </c>
      <c r="J49" s="16">
        <v>5613.07</v>
      </c>
      <c r="K49" s="16">
        <v>5613.07</v>
      </c>
      <c r="L49" s="16">
        <v>0</v>
      </c>
      <c r="M49" s="16">
        <v>0</v>
      </c>
      <c r="N49" s="16">
        <v>4054.66</v>
      </c>
      <c r="O49" s="16">
        <v>0</v>
      </c>
      <c r="P49" s="16">
        <v>0</v>
      </c>
      <c r="Q49" s="16">
        <v>5837.96</v>
      </c>
      <c r="R49" s="16">
        <v>0</v>
      </c>
      <c r="S49" s="16">
        <v>4807.04</v>
      </c>
      <c r="T49" s="16">
        <v>0</v>
      </c>
      <c r="U49" s="16">
        <v>1695.28</v>
      </c>
      <c r="V49" s="16">
        <v>1374.72</v>
      </c>
      <c r="X49" s="14">
        <f>SUM($K49:K49)</f>
        <v>5613.07</v>
      </c>
      <c r="Y49" s="14">
        <f>SUM($K49:L49)</f>
        <v>5613.07</v>
      </c>
      <c r="Z49" s="14">
        <f>SUM($K49:M49)</f>
        <v>5613.07</v>
      </c>
      <c r="AA49" s="14">
        <f>SUM($K49:N49)</f>
        <v>9667.73</v>
      </c>
      <c r="AB49" s="14">
        <f>SUM($K49:O49)</f>
        <v>9667.73</v>
      </c>
      <c r="AC49" s="14">
        <f>SUM($K49:P49)</f>
        <v>9667.73</v>
      </c>
      <c r="AD49" s="14">
        <f>SUM($K49:Q49)</f>
        <v>15505.689999999999</v>
      </c>
      <c r="AE49" s="14">
        <f>SUM($K49:R49)</f>
        <v>15505.689999999999</v>
      </c>
      <c r="AF49" s="14">
        <f>SUM($K49:S49)</f>
        <v>20312.73</v>
      </c>
      <c r="AG49" s="14">
        <f>SUM($K49:T49)</f>
        <v>20312.73</v>
      </c>
      <c r="AH49" s="14">
        <f>SUM($K49:U49)</f>
        <v>22008.01</v>
      </c>
      <c r="AI49" s="14">
        <f>SUM($K49:V49)</f>
        <v>23382.73</v>
      </c>
    </row>
    <row r="50" spans="1:35">
      <c r="A50" s="5">
        <v>45</v>
      </c>
      <c r="B50" s="5">
        <v>25045</v>
      </c>
      <c r="C50" s="17" t="s">
        <v>77</v>
      </c>
      <c r="D50" s="5" t="str">
        <f>VLOOKUP($B50, Spa!$B:$P, 14, 0)</f>
        <v>Emily</v>
      </c>
      <c r="E50" s="5" t="str">
        <f>VLOOKUP($B50, Spa!$B:$P, 15, 0)</f>
        <v>Northeast</v>
      </c>
      <c r="F50" s="5">
        <f>VLOOKUP(B50, Spa!$B:$E, 3, 0)</f>
        <v>2024</v>
      </c>
      <c r="G50" s="6">
        <f>VLOOKUP(B50, Spa!$B:$E, 4, 0)</f>
        <v>45323</v>
      </c>
      <c r="H50" s="5" t="str">
        <f t="shared" si="7"/>
        <v>20242</v>
      </c>
      <c r="I50" s="5" t="str">
        <f>VLOOKUP(B50, Spa!$B:$L, 11, 0)</f>
        <v>Yes</v>
      </c>
      <c r="J50" s="16"/>
      <c r="L50" s="16">
        <v>8084.29</v>
      </c>
      <c r="M50" s="16">
        <v>3001.5</v>
      </c>
      <c r="N50" s="16">
        <v>3351.5</v>
      </c>
      <c r="O50" s="16">
        <v>0</v>
      </c>
      <c r="P50" s="16">
        <v>0</v>
      </c>
      <c r="Q50" s="16">
        <v>0</v>
      </c>
      <c r="R50" s="16">
        <v>3322.5</v>
      </c>
      <c r="S50" s="16">
        <v>0</v>
      </c>
      <c r="T50" s="16">
        <v>5345.24</v>
      </c>
      <c r="U50" s="16">
        <v>0</v>
      </c>
      <c r="V50" s="16">
        <v>4000</v>
      </c>
      <c r="X50" s="14">
        <f>SUM($K50:K50)</f>
        <v>0</v>
      </c>
      <c r="Y50" s="14">
        <f>SUM($K50:L50)</f>
        <v>8084.29</v>
      </c>
      <c r="Z50" s="14">
        <f>SUM($K50:M50)</f>
        <v>11085.79</v>
      </c>
      <c r="AA50" s="14">
        <f>SUM($K50:N50)</f>
        <v>14437.29</v>
      </c>
      <c r="AB50" s="14">
        <f>SUM($K50:O50)</f>
        <v>14437.29</v>
      </c>
      <c r="AC50" s="14">
        <f>SUM($K50:P50)</f>
        <v>14437.29</v>
      </c>
      <c r="AD50" s="14">
        <f>SUM($K50:Q50)</f>
        <v>14437.29</v>
      </c>
      <c r="AE50" s="14">
        <f>SUM($K50:R50)</f>
        <v>17759.79</v>
      </c>
      <c r="AF50" s="14">
        <f>SUM($K50:S50)</f>
        <v>17759.79</v>
      </c>
      <c r="AG50" s="14">
        <f>SUM($K50:T50)</f>
        <v>23105.03</v>
      </c>
      <c r="AH50" s="14">
        <f>SUM($K50:U50)</f>
        <v>23105.03</v>
      </c>
      <c r="AI50" s="14">
        <f>SUM($K50:V50)</f>
        <v>27105.03</v>
      </c>
    </row>
    <row r="51" spans="1:35">
      <c r="B51" s="5">
        <v>25046</v>
      </c>
      <c r="C51" s="17" t="s">
        <v>109</v>
      </c>
      <c r="D51" s="5" t="str">
        <f>VLOOKUP($B51, Spa!$B:$P, 14, 0)</f>
        <v>Amy</v>
      </c>
      <c r="E51" s="5" t="str">
        <f>VLOOKUP($B51, Spa!$B:$P, 15, 0)</f>
        <v>West</v>
      </c>
      <c r="F51" s="5">
        <f>VLOOKUP(B51, Spa!$B:$E, 3, 0)</f>
        <v>2024</v>
      </c>
      <c r="G51" s="6">
        <f>VLOOKUP(B51, Spa!$B:$E, 4, 0)</f>
        <v>45383</v>
      </c>
      <c r="H51" s="5" t="str">
        <f t="shared" si="7"/>
        <v>20244</v>
      </c>
      <c r="I51" s="5" t="str">
        <f>VLOOKUP(B51, Spa!$B:$L, 11, 0)</f>
        <v>Yes</v>
      </c>
      <c r="N51" s="16">
        <v>11898.24</v>
      </c>
      <c r="O51" s="16">
        <v>0</v>
      </c>
      <c r="P51" s="16">
        <v>0</v>
      </c>
      <c r="Q51" s="16">
        <v>0</v>
      </c>
      <c r="R51" s="16">
        <v>2382</v>
      </c>
      <c r="S51" s="16">
        <v>0</v>
      </c>
      <c r="T51" s="16">
        <v>160</v>
      </c>
      <c r="U51" s="16">
        <v>0</v>
      </c>
      <c r="V51" s="16">
        <v>0</v>
      </c>
      <c r="X51" s="14">
        <f>SUM($K51:K51)</f>
        <v>0</v>
      </c>
      <c r="Y51" s="14">
        <f>SUM($K51:L51)</f>
        <v>0</v>
      </c>
      <c r="Z51" s="14">
        <f>SUM($K51:M51)</f>
        <v>0</v>
      </c>
      <c r="AA51" s="14">
        <f>SUM($K51:N51)</f>
        <v>11898.24</v>
      </c>
      <c r="AB51" s="14">
        <f>SUM($K51:O51)</f>
        <v>11898.24</v>
      </c>
      <c r="AC51" s="14">
        <f>SUM($K51:P51)</f>
        <v>11898.24</v>
      </c>
      <c r="AD51" s="14">
        <f>SUM($K51:Q51)</f>
        <v>11898.24</v>
      </c>
      <c r="AE51" s="14">
        <f>SUM($K51:R51)</f>
        <v>14280.24</v>
      </c>
      <c r="AF51" s="14">
        <f>SUM($K51:S51)</f>
        <v>14280.24</v>
      </c>
      <c r="AG51" s="14">
        <f>SUM($K51:T51)</f>
        <v>14440.24</v>
      </c>
      <c r="AH51" s="14">
        <f>SUM($K51:U51)</f>
        <v>14440.24</v>
      </c>
      <c r="AI51" s="14">
        <f>SUM($K51:V51)</f>
        <v>14440.24</v>
      </c>
    </row>
    <row r="52" spans="1:35">
      <c r="B52" s="5">
        <v>25047</v>
      </c>
      <c r="C52" s="17" t="s">
        <v>129</v>
      </c>
      <c r="D52" s="5" t="str">
        <f>VLOOKUP($B52, Spa!$B:$P, 14, 0)</f>
        <v>Lisa</v>
      </c>
      <c r="E52" s="5" t="str">
        <f>VLOOKUP($B52, Spa!$B:$P, 15, 0)</f>
        <v>Southeast</v>
      </c>
      <c r="F52" s="5">
        <f>VLOOKUP(B52, Spa!$B:$E, 3, 0)</f>
        <v>2024</v>
      </c>
      <c r="G52" s="6">
        <f>VLOOKUP(B52, Spa!$B:$E, 4, 0)</f>
        <v>45413</v>
      </c>
      <c r="H52" s="5" t="str">
        <f t="shared" si="7"/>
        <v>20245</v>
      </c>
      <c r="I52" s="5" t="str">
        <f>VLOOKUP(B52, Spa!$B:$L, 11, 0)</f>
        <v>Yes</v>
      </c>
      <c r="O52" s="16">
        <v>8532.14</v>
      </c>
      <c r="P52" s="16">
        <v>4779.1499999999996</v>
      </c>
      <c r="Q52" s="16">
        <v>5850.89</v>
      </c>
      <c r="R52" s="16">
        <v>5246.85</v>
      </c>
      <c r="S52" s="16">
        <v>4471.8999999999996</v>
      </c>
      <c r="T52" s="16">
        <v>534.26</v>
      </c>
      <c r="U52" s="16">
        <v>7572.04</v>
      </c>
      <c r="V52" s="16">
        <v>369.4</v>
      </c>
      <c r="X52" s="14">
        <f>SUM($K52:K52)</f>
        <v>0</v>
      </c>
      <c r="Y52" s="14">
        <f>SUM($K52:L52)</f>
        <v>0</v>
      </c>
      <c r="Z52" s="14">
        <f>SUM($K52:M52)</f>
        <v>0</v>
      </c>
      <c r="AA52" s="14">
        <f>SUM($K52:N52)</f>
        <v>0</v>
      </c>
      <c r="AB52" s="14">
        <f>SUM($K52:O52)</f>
        <v>8532.14</v>
      </c>
      <c r="AC52" s="14">
        <f>SUM($K52:P52)</f>
        <v>13311.289999999999</v>
      </c>
      <c r="AD52" s="14">
        <f>SUM($K52:Q52)</f>
        <v>19162.18</v>
      </c>
      <c r="AE52" s="14">
        <f>SUM($K52:R52)</f>
        <v>24409.03</v>
      </c>
      <c r="AF52" s="14">
        <f>SUM($K52:S52)</f>
        <v>28880.93</v>
      </c>
      <c r="AG52" s="14">
        <f>SUM($K52:T52)</f>
        <v>29415.19</v>
      </c>
      <c r="AH52" s="14">
        <f>SUM($K52:U52)</f>
        <v>36987.229999999996</v>
      </c>
      <c r="AI52" s="14">
        <f>SUM($K52:V52)</f>
        <v>37356.629999999997</v>
      </c>
    </row>
    <row r="53" spans="1:35">
      <c r="B53" s="5">
        <v>25049</v>
      </c>
      <c r="C53" s="17" t="s">
        <v>78</v>
      </c>
      <c r="D53" s="5" t="str">
        <f>VLOOKUP($B53, Spa!$B:$P, 14, 0)</f>
        <v>Emily</v>
      </c>
      <c r="E53" s="5" t="str">
        <f>VLOOKUP($B53, Spa!$B:$P, 15, 0)</f>
        <v>Northeast</v>
      </c>
      <c r="F53" s="5">
        <f>VLOOKUP(B53, Spa!$B:$E, 3, 0)</f>
        <v>2024</v>
      </c>
      <c r="G53" s="6">
        <f>VLOOKUP(B53, Spa!$B:$E, 4, 0)</f>
        <v>45413</v>
      </c>
      <c r="H53" s="5" t="str">
        <f t="shared" si="7"/>
        <v>20245</v>
      </c>
      <c r="I53" s="5" t="str">
        <f>VLOOKUP(B53, Spa!$B:$L, 11, 0)</f>
        <v>Yes</v>
      </c>
      <c r="O53" s="16">
        <v>5398.5</v>
      </c>
      <c r="P53" s="16">
        <v>0</v>
      </c>
      <c r="Q53" s="16">
        <v>1860.5</v>
      </c>
      <c r="R53" s="16">
        <v>0</v>
      </c>
      <c r="S53" s="16">
        <v>1996.94</v>
      </c>
      <c r="T53" s="16">
        <v>1562.97</v>
      </c>
      <c r="U53" s="16">
        <v>1314.99</v>
      </c>
      <c r="V53" s="16">
        <v>3619.82</v>
      </c>
      <c r="X53" s="14">
        <f>SUM($K53:K53)</f>
        <v>0</v>
      </c>
      <c r="Y53" s="14">
        <f>SUM($K53:L53)</f>
        <v>0</v>
      </c>
      <c r="Z53" s="14">
        <f>SUM($K53:M53)</f>
        <v>0</v>
      </c>
      <c r="AA53" s="14">
        <f>SUM($K53:N53)</f>
        <v>0</v>
      </c>
      <c r="AB53" s="14">
        <f>SUM($K53:O53)</f>
        <v>5398.5</v>
      </c>
      <c r="AC53" s="14">
        <f>SUM($K53:P53)</f>
        <v>5398.5</v>
      </c>
      <c r="AD53" s="14">
        <f>SUM($K53:Q53)</f>
        <v>7259</v>
      </c>
      <c r="AE53" s="14">
        <f>SUM($K53:R53)</f>
        <v>7259</v>
      </c>
      <c r="AF53" s="14">
        <f>SUM($K53:S53)</f>
        <v>9255.94</v>
      </c>
      <c r="AG53" s="14">
        <f>SUM($K53:T53)</f>
        <v>10818.91</v>
      </c>
      <c r="AH53" s="14">
        <f>SUM($K53:U53)</f>
        <v>12133.9</v>
      </c>
      <c r="AI53" s="14">
        <f>SUM($K53:V53)</f>
        <v>15753.72</v>
      </c>
    </row>
    <row r="54" spans="1:35">
      <c r="B54" s="5">
        <v>25050</v>
      </c>
      <c r="C54" s="17" t="s">
        <v>91</v>
      </c>
      <c r="D54" s="5" t="str">
        <f>VLOOKUP($B54, Spa!$B:$P, 14, 0)</f>
        <v>Emily</v>
      </c>
      <c r="E54" s="5" t="str">
        <f>VLOOKUP($B54, Spa!$B:$P, 15, 0)</f>
        <v>Central</v>
      </c>
      <c r="F54" s="5">
        <f>VLOOKUP(B54, Spa!$B:$E, 3, 0)</f>
        <v>2024</v>
      </c>
      <c r="G54" s="6">
        <f>VLOOKUP(B54, Spa!$B:$E, 4, 0)</f>
        <v>45444</v>
      </c>
      <c r="H54" s="5" t="str">
        <f t="shared" si="7"/>
        <v>20246</v>
      </c>
      <c r="I54" s="5" t="str">
        <f>VLOOKUP(B54, Spa!$B:$L, 11, 0)</f>
        <v>Yes</v>
      </c>
      <c r="P54" s="16">
        <v>8986.5499999999993</v>
      </c>
      <c r="Q54" s="16">
        <v>0</v>
      </c>
      <c r="R54" s="16">
        <v>0</v>
      </c>
      <c r="S54" s="16">
        <v>0</v>
      </c>
      <c r="T54" s="16">
        <v>1932</v>
      </c>
      <c r="U54" s="16">
        <v>1224.4100000000001</v>
      </c>
      <c r="V54" s="16">
        <v>4000</v>
      </c>
      <c r="X54" s="14">
        <f>SUM($K54:K54)</f>
        <v>0</v>
      </c>
      <c r="Y54" s="14">
        <f>SUM($K54:L54)</f>
        <v>0</v>
      </c>
      <c r="Z54" s="14">
        <f>SUM($K54:M54)</f>
        <v>0</v>
      </c>
      <c r="AA54" s="14">
        <f>SUM($K54:N54)</f>
        <v>0</v>
      </c>
      <c r="AB54" s="14">
        <f>SUM($K54:O54)</f>
        <v>0</v>
      </c>
      <c r="AC54" s="14">
        <f>SUM($K54:P54)</f>
        <v>8986.5499999999993</v>
      </c>
      <c r="AD54" s="14">
        <f>SUM($K54:Q54)</f>
        <v>8986.5499999999993</v>
      </c>
      <c r="AE54" s="14">
        <f>SUM($K54:R54)</f>
        <v>8986.5499999999993</v>
      </c>
      <c r="AF54" s="14">
        <f>SUM($K54:S54)</f>
        <v>8986.5499999999993</v>
      </c>
      <c r="AG54" s="14">
        <f>SUM($K54:T54)</f>
        <v>10918.55</v>
      </c>
      <c r="AH54" s="14">
        <f>SUM($K54:U54)</f>
        <v>12142.96</v>
      </c>
      <c r="AI54" s="14">
        <f>SUM($K54:V54)</f>
        <v>16142.96</v>
      </c>
    </row>
    <row r="55" spans="1:35">
      <c r="B55" s="5">
        <v>25052</v>
      </c>
      <c r="C55" s="17" t="s">
        <v>110</v>
      </c>
      <c r="D55" s="5" t="str">
        <f>VLOOKUP($B55, Spa!$B:$P, 14, 0)</f>
        <v>Amy</v>
      </c>
      <c r="E55" s="5" t="str">
        <f>VLOOKUP($B55, Spa!$B:$P, 15, 0)</f>
        <v>West</v>
      </c>
      <c r="F55" s="5">
        <f>VLOOKUP(B55, Spa!$B:$E, 3, 0)</f>
        <v>2024</v>
      </c>
      <c r="G55" s="6">
        <f>VLOOKUP(B55, Spa!$B:$E, 4, 0)</f>
        <v>45474</v>
      </c>
      <c r="H55" s="5" t="str">
        <f t="shared" si="7"/>
        <v>20247</v>
      </c>
      <c r="I55" s="5" t="str">
        <f>VLOOKUP(B55, Spa!$B:$L, 11, 0)</f>
        <v>Yes</v>
      </c>
      <c r="P55" s="16"/>
      <c r="Q55" s="16">
        <v>1734</v>
      </c>
      <c r="R55" s="16">
        <v>0</v>
      </c>
      <c r="S55" s="16">
        <v>0</v>
      </c>
      <c r="T55" s="16">
        <v>0</v>
      </c>
      <c r="U55" s="16">
        <v>0</v>
      </c>
      <c r="V55" s="16">
        <v>4000</v>
      </c>
      <c r="X55" s="14">
        <f>SUM($K55:K55)</f>
        <v>0</v>
      </c>
      <c r="Y55" s="14">
        <f>SUM($K55:L55)</f>
        <v>0</v>
      </c>
      <c r="Z55" s="14">
        <f>SUM($K55:M55)</f>
        <v>0</v>
      </c>
      <c r="AA55" s="14">
        <f>SUM($K55:N55)</f>
        <v>0</v>
      </c>
      <c r="AB55" s="14">
        <f>SUM($K55:O55)</f>
        <v>0</v>
      </c>
      <c r="AC55" s="14">
        <f>SUM($K55:P55)</f>
        <v>0</v>
      </c>
      <c r="AD55" s="14">
        <f>SUM($K55:Q55)</f>
        <v>1734</v>
      </c>
      <c r="AE55" s="14">
        <f>SUM($K55:R55)</f>
        <v>1734</v>
      </c>
      <c r="AF55" s="14">
        <f>SUM($K55:S55)</f>
        <v>1734</v>
      </c>
      <c r="AG55" s="14">
        <f>SUM($K55:T55)</f>
        <v>1734</v>
      </c>
      <c r="AH55" s="14">
        <f>SUM($K55:U55)</f>
        <v>1734</v>
      </c>
      <c r="AI55" s="14">
        <f>SUM($K55:V55)</f>
        <v>5734</v>
      </c>
    </row>
    <row r="56" spans="1:35">
      <c r="B56" s="5">
        <v>25053</v>
      </c>
      <c r="C56" s="17" t="s">
        <v>111</v>
      </c>
      <c r="D56" s="5" t="str">
        <f>VLOOKUP($B56, Spa!$B:$P, 14, 0)</f>
        <v>Amy</v>
      </c>
      <c r="E56" s="5" t="str">
        <f>VLOOKUP($B56, Spa!$B:$P, 15, 0)</f>
        <v>West</v>
      </c>
      <c r="F56" s="5">
        <f>VLOOKUP(B56, Spa!$B:$E, 3, 0)</f>
        <v>2024</v>
      </c>
      <c r="G56" s="6">
        <f>VLOOKUP(B56, Spa!$B:$E, 4, 0)</f>
        <v>45505</v>
      </c>
      <c r="H56" s="5" t="str">
        <f t="shared" si="7"/>
        <v>20248</v>
      </c>
      <c r="I56" s="5" t="str">
        <f>VLOOKUP(B56, Spa!$B:$L, 11, 0)</f>
        <v>Yes</v>
      </c>
      <c r="P56" s="16"/>
      <c r="Q56" s="16">
        <v>0</v>
      </c>
      <c r="R56" s="16">
        <v>3320.71</v>
      </c>
      <c r="S56" s="16">
        <v>8928.66</v>
      </c>
      <c r="T56" s="16">
        <v>0</v>
      </c>
      <c r="U56" s="16">
        <v>0</v>
      </c>
      <c r="V56" s="16">
        <v>283.66000000000003</v>
      </c>
      <c r="X56" s="14">
        <f>SUM($K56:K56)</f>
        <v>0</v>
      </c>
      <c r="Y56" s="14">
        <f>SUM($K56:L56)</f>
        <v>0</v>
      </c>
      <c r="Z56" s="14">
        <f>SUM($K56:M56)</f>
        <v>0</v>
      </c>
      <c r="AA56" s="14">
        <f>SUM($K56:N56)</f>
        <v>0</v>
      </c>
      <c r="AB56" s="14">
        <f>SUM($K56:O56)</f>
        <v>0</v>
      </c>
      <c r="AC56" s="14">
        <f>SUM($K56:P56)</f>
        <v>0</v>
      </c>
      <c r="AD56" s="14">
        <f>SUM($K56:Q56)</f>
        <v>0</v>
      </c>
      <c r="AE56" s="14">
        <f>SUM($K56:R56)</f>
        <v>3320.71</v>
      </c>
      <c r="AF56" s="14">
        <f>SUM($K56:S56)</f>
        <v>12249.369999999999</v>
      </c>
      <c r="AG56" s="14">
        <f>SUM($K56:T56)</f>
        <v>12249.369999999999</v>
      </c>
      <c r="AH56" s="14">
        <f>SUM($K56:U56)</f>
        <v>12249.369999999999</v>
      </c>
      <c r="AI56" s="14">
        <f>SUM($K56:V56)</f>
        <v>12533.029999999999</v>
      </c>
    </row>
    <row r="57" spans="1:35">
      <c r="B57" s="5">
        <v>25054</v>
      </c>
      <c r="C57" s="17" t="s">
        <v>92</v>
      </c>
      <c r="D57" s="5" t="str">
        <f>VLOOKUP($B57, Spa!$B:$P, 14, 0)</f>
        <v>Lisa</v>
      </c>
      <c r="E57" s="5" t="str">
        <f>VLOOKUP($B57, Spa!$B:$P, 15, 0)</f>
        <v>Southeast</v>
      </c>
      <c r="F57" s="5">
        <f>VLOOKUP(B57, Spa!$B:$E, 3, 0)</f>
        <v>2024</v>
      </c>
      <c r="G57" s="6">
        <f>VLOOKUP(B57, Spa!$B:$E, 4, 0)</f>
        <v>45505</v>
      </c>
      <c r="H57" s="5" t="str">
        <f t="shared" si="7"/>
        <v>20248</v>
      </c>
      <c r="I57" s="5" t="str">
        <f>VLOOKUP(B57, Spa!$B:$L, 11, 0)</f>
        <v>Yes</v>
      </c>
      <c r="P57" s="16"/>
      <c r="Q57" s="16">
        <v>0</v>
      </c>
      <c r="R57" s="16">
        <v>20268.7</v>
      </c>
      <c r="S57" s="16">
        <v>0</v>
      </c>
      <c r="T57" s="16">
        <v>2116.8200000000002</v>
      </c>
      <c r="U57" s="16">
        <v>1709.5</v>
      </c>
      <c r="V57" s="16">
        <v>0</v>
      </c>
      <c r="X57" s="14">
        <f>SUM($K57:K57)</f>
        <v>0</v>
      </c>
      <c r="Y57" s="14">
        <f>SUM($K57:L57)</f>
        <v>0</v>
      </c>
      <c r="Z57" s="14">
        <f>SUM($K57:M57)</f>
        <v>0</v>
      </c>
      <c r="AA57" s="14">
        <f>SUM($K57:N57)</f>
        <v>0</v>
      </c>
      <c r="AB57" s="14">
        <f>SUM($K57:O57)</f>
        <v>0</v>
      </c>
      <c r="AC57" s="14">
        <f>SUM($K57:P57)</f>
        <v>0</v>
      </c>
      <c r="AD57" s="14">
        <f>SUM($K57:Q57)</f>
        <v>0</v>
      </c>
      <c r="AE57" s="14">
        <f>SUM($K57:R57)</f>
        <v>20268.7</v>
      </c>
      <c r="AF57" s="14">
        <f>SUM($K57:S57)</f>
        <v>20268.7</v>
      </c>
      <c r="AG57" s="14">
        <f>SUM($K57:T57)</f>
        <v>22385.52</v>
      </c>
      <c r="AH57" s="14">
        <f>SUM($K57:U57)</f>
        <v>24095.02</v>
      </c>
      <c r="AI57" s="14">
        <f>SUM($K57:V57)</f>
        <v>24095.02</v>
      </c>
    </row>
    <row r="58" spans="1:35">
      <c r="B58" s="5">
        <v>25055</v>
      </c>
      <c r="C58" s="17" t="s">
        <v>130</v>
      </c>
      <c r="D58" s="5" t="str">
        <f>VLOOKUP($B58, Spa!$B:$P, 14, 0)</f>
        <v>Lisa</v>
      </c>
      <c r="E58" s="5" t="str">
        <f>VLOOKUP($B58, Spa!$B:$P, 15, 0)</f>
        <v>Southeast</v>
      </c>
      <c r="F58" s="5">
        <f>VLOOKUP(B58, Spa!$B:$E, 3, 0)</f>
        <v>2024</v>
      </c>
      <c r="G58" s="6">
        <f>VLOOKUP(B58, Spa!$B:$E, 4, 0)</f>
        <v>45536</v>
      </c>
      <c r="H58" s="5" t="str">
        <f t="shared" si="7"/>
        <v>20249</v>
      </c>
      <c r="I58" s="5" t="str">
        <f>VLOOKUP(B58, Spa!$B:$L, 11, 0)</f>
        <v>Yes</v>
      </c>
      <c r="P58" s="16"/>
      <c r="Q58" s="16">
        <v>0</v>
      </c>
      <c r="R58" s="16">
        <v>0</v>
      </c>
      <c r="S58" s="16">
        <v>8536.4</v>
      </c>
      <c r="T58" s="16">
        <v>0</v>
      </c>
      <c r="U58" s="16">
        <v>8536.4</v>
      </c>
      <c r="V58" s="16">
        <v>248.92</v>
      </c>
      <c r="X58" s="14">
        <f>SUM($K58:K58)</f>
        <v>0</v>
      </c>
      <c r="Y58" s="14">
        <f>SUM($K58:L58)</f>
        <v>0</v>
      </c>
      <c r="Z58" s="14">
        <f>SUM($K58:M58)</f>
        <v>0</v>
      </c>
      <c r="AA58" s="14">
        <f>SUM($K58:N58)</f>
        <v>0</v>
      </c>
      <c r="AB58" s="14">
        <f>SUM($K58:O58)</f>
        <v>0</v>
      </c>
      <c r="AC58" s="14">
        <f>SUM($K58:P58)</f>
        <v>0</v>
      </c>
      <c r="AD58" s="14">
        <f>SUM($K58:Q58)</f>
        <v>0</v>
      </c>
      <c r="AE58" s="14">
        <f>SUM($K58:R58)</f>
        <v>0</v>
      </c>
      <c r="AF58" s="14">
        <f>SUM($K58:S58)</f>
        <v>8536.4</v>
      </c>
      <c r="AG58" s="14">
        <f>SUM($K58:T58)</f>
        <v>8536.4</v>
      </c>
      <c r="AH58" s="14">
        <f>SUM($K58:U58)</f>
        <v>17072.8</v>
      </c>
      <c r="AI58" s="14">
        <f>SUM($K58:V58)</f>
        <v>17321.719999999998</v>
      </c>
    </row>
    <row r="59" spans="1:35">
      <c r="B59" s="5">
        <v>25056</v>
      </c>
      <c r="C59" s="17" t="s">
        <v>94</v>
      </c>
      <c r="D59" s="5" t="str">
        <f>VLOOKUP($B59, Spa!$B:$P, 14, 0)</f>
        <v>Amy</v>
      </c>
      <c r="E59" s="5" t="str">
        <f>VLOOKUP($B59, Spa!$B:$P, 15, 0)</f>
        <v>Central</v>
      </c>
      <c r="F59" s="5">
        <f>VLOOKUP(B59, Spa!$B:$E, 3, 0)</f>
        <v>2024</v>
      </c>
      <c r="G59" s="6">
        <f>VLOOKUP(B59, Spa!$B:$E, 4, 0)</f>
        <v>45536</v>
      </c>
      <c r="H59" s="5" t="str">
        <f t="shared" si="7"/>
        <v>20249</v>
      </c>
      <c r="I59" s="5" t="str">
        <f>VLOOKUP(B59, Spa!$B:$L, 11, 0)</f>
        <v>Yes</v>
      </c>
      <c r="P59" s="16"/>
      <c r="Q59" s="16">
        <v>0</v>
      </c>
      <c r="R59" s="16">
        <v>0</v>
      </c>
      <c r="S59" s="16">
        <v>17367.740000000002</v>
      </c>
      <c r="T59" s="16">
        <v>4704</v>
      </c>
      <c r="U59" s="16">
        <v>4599.42</v>
      </c>
      <c r="V59" s="16">
        <v>7534.48</v>
      </c>
      <c r="X59" s="14">
        <f>SUM($K59:K59)</f>
        <v>0</v>
      </c>
      <c r="Y59" s="14">
        <f>SUM($K59:L59)</f>
        <v>0</v>
      </c>
      <c r="Z59" s="14">
        <f>SUM($K59:M59)</f>
        <v>0</v>
      </c>
      <c r="AA59" s="14">
        <f>SUM($K59:N59)</f>
        <v>0</v>
      </c>
      <c r="AB59" s="14">
        <f>SUM($K59:O59)</f>
        <v>0</v>
      </c>
      <c r="AC59" s="14">
        <f>SUM($K59:P59)</f>
        <v>0</v>
      </c>
      <c r="AD59" s="14">
        <f>SUM($K59:Q59)</f>
        <v>0</v>
      </c>
      <c r="AE59" s="14">
        <f>SUM($K59:R59)</f>
        <v>0</v>
      </c>
      <c r="AF59" s="14">
        <f>SUM($K59:S59)</f>
        <v>17367.740000000002</v>
      </c>
      <c r="AG59" s="14">
        <f>SUM($K59:T59)</f>
        <v>22071.74</v>
      </c>
      <c r="AH59" s="14">
        <f>SUM($K59:U59)</f>
        <v>26671.160000000003</v>
      </c>
      <c r="AI59" s="14">
        <f>SUM($K59:V59)</f>
        <v>34205.64</v>
      </c>
    </row>
    <row r="60" spans="1:35">
      <c r="B60" s="11">
        <v>25057</v>
      </c>
      <c r="C60" s="11" t="s">
        <v>156</v>
      </c>
      <c r="D60" s="5" t="str">
        <f>VLOOKUP($B60, Spa!$B:$P, 14, 0)</f>
        <v>Emily</v>
      </c>
      <c r="E60" s="5" t="str">
        <f>VLOOKUP($B60, Spa!$B:$P, 15, 0)</f>
        <v>Central</v>
      </c>
      <c r="F60" s="5">
        <f>VLOOKUP(B60, Spa!$B:$E, 3, 0)</f>
        <v>2024</v>
      </c>
      <c r="G60" s="6">
        <f>VLOOKUP(B60, Spa!$B:$E, 4, 0)</f>
        <v>45566</v>
      </c>
      <c r="H60" s="5" t="str">
        <f t="shared" si="7"/>
        <v>202410</v>
      </c>
      <c r="I60" s="5" t="str">
        <f>VLOOKUP(B60, Spa!$B:$L, 11, 0)</f>
        <v>No</v>
      </c>
      <c r="P60" s="16"/>
      <c r="Q60" s="16">
        <v>0</v>
      </c>
      <c r="R60" s="16">
        <v>0</v>
      </c>
      <c r="S60" s="16">
        <v>0</v>
      </c>
      <c r="T60" s="16">
        <v>1494</v>
      </c>
      <c r="U60" s="16">
        <v>0</v>
      </c>
      <c r="V60" s="16">
        <v>4000</v>
      </c>
      <c r="X60" s="14">
        <f>SUM($K60:K60)</f>
        <v>0</v>
      </c>
      <c r="Y60" s="14">
        <f>SUM($K60:L60)</f>
        <v>0</v>
      </c>
      <c r="Z60" s="14">
        <f>SUM($K60:M60)</f>
        <v>0</v>
      </c>
      <c r="AA60" s="14">
        <f>SUM($K60:N60)</f>
        <v>0</v>
      </c>
      <c r="AB60" s="14">
        <f>SUM($K60:O60)</f>
        <v>0</v>
      </c>
      <c r="AC60" s="14">
        <f>SUM($K60:P60)</f>
        <v>0</v>
      </c>
      <c r="AD60" s="14">
        <f>SUM($K60:Q60)</f>
        <v>0</v>
      </c>
      <c r="AE60" s="14">
        <f>SUM($K60:R60)</f>
        <v>0</v>
      </c>
      <c r="AF60" s="14">
        <f>SUM($K60:S60)</f>
        <v>0</v>
      </c>
      <c r="AG60" s="14">
        <f>SUM($K60:T60)</f>
        <v>1494</v>
      </c>
      <c r="AH60" s="14">
        <f>SUM($K60:U60)</f>
        <v>1494</v>
      </c>
      <c r="AI60" s="14">
        <f>SUM($K60:V60)</f>
        <v>5494</v>
      </c>
    </row>
    <row r="61" spans="1:35">
      <c r="B61" s="12">
        <v>25058</v>
      </c>
      <c r="C61" s="18" t="s">
        <v>112</v>
      </c>
      <c r="D61" s="5" t="str">
        <f>VLOOKUP($B61, Spa!$B:$P, 14, 0)</f>
        <v>Amy</v>
      </c>
      <c r="E61" s="5" t="str">
        <f>VLOOKUP($B61, Spa!$B:$P, 15, 0)</f>
        <v>West</v>
      </c>
      <c r="F61" s="5">
        <f>VLOOKUP(B61, Spa!$B:$E, 3, 0)</f>
        <v>2024</v>
      </c>
      <c r="G61" s="6">
        <f>VLOOKUP(B61, Spa!$B:$E, 4, 0)</f>
        <v>45566</v>
      </c>
      <c r="H61" s="5" t="str">
        <f t="shared" si="7"/>
        <v>202410</v>
      </c>
      <c r="I61" s="5" t="str">
        <f>VLOOKUP(B61, Spa!$B:$L, 11, 0)</f>
        <v>Yes</v>
      </c>
      <c r="P61" s="16"/>
      <c r="Q61" s="16">
        <v>0</v>
      </c>
      <c r="R61" s="16">
        <v>0</v>
      </c>
      <c r="S61" s="16">
        <v>0</v>
      </c>
      <c r="T61" s="16">
        <v>3131.93</v>
      </c>
      <c r="U61" s="16">
        <v>0</v>
      </c>
      <c r="V61" s="16">
        <v>1227.56</v>
      </c>
      <c r="X61" s="14">
        <f>SUM($K61:K61)</f>
        <v>0</v>
      </c>
      <c r="Y61" s="14">
        <f>SUM($K61:L61)</f>
        <v>0</v>
      </c>
      <c r="Z61" s="14">
        <f>SUM($K61:M61)</f>
        <v>0</v>
      </c>
      <c r="AA61" s="14">
        <f>SUM($K61:N61)</f>
        <v>0</v>
      </c>
      <c r="AB61" s="14">
        <f>SUM($K61:O61)</f>
        <v>0</v>
      </c>
      <c r="AC61" s="14">
        <f>SUM($K61:P61)</f>
        <v>0</v>
      </c>
      <c r="AD61" s="14">
        <f>SUM($K61:Q61)</f>
        <v>0</v>
      </c>
      <c r="AE61" s="14">
        <f>SUM($K61:R61)</f>
        <v>0</v>
      </c>
      <c r="AF61" s="14">
        <f>SUM($K61:S61)</f>
        <v>0</v>
      </c>
      <c r="AG61" s="14">
        <f>SUM($K61:T61)</f>
        <v>3131.93</v>
      </c>
      <c r="AH61" s="14">
        <f>SUM($K61:U61)</f>
        <v>3131.93</v>
      </c>
      <c r="AI61" s="14">
        <f>SUM($K61:V61)</f>
        <v>4359.49</v>
      </c>
    </row>
    <row r="62" spans="1:35">
      <c r="B62" s="5">
        <v>25059</v>
      </c>
      <c r="C62" s="5" t="s">
        <v>113</v>
      </c>
      <c r="D62" s="5" t="str">
        <f>VLOOKUP($B62, Spa!$B:$P, 14, 0)</f>
        <v>Amy</v>
      </c>
      <c r="E62" s="5" t="str">
        <f>VLOOKUP($B62, Spa!$B:$P, 15, 0)</f>
        <v>West</v>
      </c>
      <c r="F62" s="5">
        <f>VLOOKUP(B62, Spa!$B:$E, 3, 0)</f>
        <v>2024</v>
      </c>
      <c r="G62" s="6">
        <f>VLOOKUP(B62, Spa!$B:$E, 4, 0)</f>
        <v>45627</v>
      </c>
      <c r="H62" s="5" t="str">
        <f t="shared" si="7"/>
        <v>202412</v>
      </c>
      <c r="I62" s="5" t="str">
        <f>VLOOKUP(B62, Spa!$B:$L, 11, 0)</f>
        <v>Yes</v>
      </c>
      <c r="P62" s="16"/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2469.9699999999998</v>
      </c>
      <c r="X62" s="14">
        <f>SUM($K62:K62)</f>
        <v>0</v>
      </c>
      <c r="Y62" s="14">
        <f>SUM($K62:L62)</f>
        <v>0</v>
      </c>
      <c r="Z62" s="14">
        <f>SUM($K62:M62)</f>
        <v>0</v>
      </c>
      <c r="AA62" s="14">
        <f>SUM($K62:N62)</f>
        <v>0</v>
      </c>
      <c r="AB62" s="14">
        <f>SUM($K62:O62)</f>
        <v>0</v>
      </c>
      <c r="AC62" s="14">
        <f>SUM($K62:P62)</f>
        <v>0</v>
      </c>
      <c r="AD62" s="14">
        <f>SUM($K62:Q62)</f>
        <v>0</v>
      </c>
      <c r="AE62" s="14">
        <f>SUM($K62:R62)</f>
        <v>0</v>
      </c>
      <c r="AF62" s="14">
        <f>SUM($K62:S62)</f>
        <v>0</v>
      </c>
      <c r="AG62" s="14">
        <f>SUM($K62:T62)</f>
        <v>0</v>
      </c>
      <c r="AH62" s="14">
        <f>SUM($K62:U62)</f>
        <v>0</v>
      </c>
      <c r="AI62" s="14">
        <f>SUM($K62:V62)</f>
        <v>2469.9699999999998</v>
      </c>
    </row>
  </sheetData>
  <autoFilter ref="A11:V62" xr:uid="{00000000-0001-0000-00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772A-F3B6-4E47-A137-42DCF895F905}">
  <sheetPr filterMode="1"/>
  <dimension ref="A1:AI79"/>
  <sheetViews>
    <sheetView zoomScale="85" zoomScaleNormal="85" workbookViewId="0">
      <selection activeCell="E49" sqref="E49"/>
    </sheetView>
  </sheetViews>
  <sheetFormatPr defaultColWidth="9.140625" defaultRowHeight="15"/>
  <cols>
    <col min="1" max="2" width="9.140625" style="5"/>
    <col min="3" max="3" width="47.85546875" style="5" bestFit="1" customWidth="1"/>
    <col min="4" max="5" width="21.7109375" style="5" customWidth="1"/>
    <col min="6" max="6" width="15.42578125" style="5" customWidth="1"/>
    <col min="7" max="9" width="27.7109375" style="5" customWidth="1"/>
    <col min="10" max="10" width="16.42578125" style="5" customWidth="1"/>
    <col min="11" max="11" width="10.42578125" style="5" customWidth="1"/>
    <col min="12" max="13" width="11.42578125" style="5" customWidth="1"/>
    <col min="14" max="14" width="14.42578125" style="5" customWidth="1"/>
    <col min="15" max="15" width="12.42578125" style="5" customWidth="1"/>
    <col min="16" max="16" width="11.42578125" style="5" customWidth="1"/>
    <col min="17" max="18" width="11.42578125" style="16" customWidth="1"/>
    <col min="19" max="22" width="11.42578125" style="5" customWidth="1"/>
    <col min="23" max="23" width="9.140625" style="5" customWidth="1"/>
    <col min="24" max="27" width="10.42578125" style="5" customWidth="1"/>
    <col min="28" max="32" width="10.42578125" style="5" bestFit="1" customWidth="1"/>
    <col min="33" max="35" width="11.42578125" style="5" bestFit="1" customWidth="1"/>
    <col min="36" max="16384" width="9.140625" style="5"/>
  </cols>
  <sheetData>
    <row r="1" spans="1:35">
      <c r="J1" s="5" t="s">
        <v>184</v>
      </c>
      <c r="K1" s="14">
        <v>73050.880000000005</v>
      </c>
      <c r="L1" s="14">
        <v>64200.95</v>
      </c>
      <c r="M1" s="14">
        <v>32804.93</v>
      </c>
      <c r="N1" s="14">
        <v>87375.930000000008</v>
      </c>
      <c r="O1" s="14">
        <v>69816.240000000005</v>
      </c>
      <c r="P1" s="14">
        <v>59492.42</v>
      </c>
      <c r="Q1" s="14">
        <v>73033.3</v>
      </c>
      <c r="R1" s="14">
        <v>27569.239999999998</v>
      </c>
      <c r="S1" s="14">
        <v>71227.3</v>
      </c>
      <c r="T1" s="14">
        <v>84256.130000000019</v>
      </c>
      <c r="U1" s="14">
        <v>44537.08</v>
      </c>
      <c r="V1" s="14">
        <v>49528.55</v>
      </c>
    </row>
    <row r="2" spans="1:35">
      <c r="J2" s="5" t="s">
        <v>185</v>
      </c>
      <c r="K2" s="14">
        <v>73050.880000000005</v>
      </c>
      <c r="L2" s="14">
        <v>137251.83000000002</v>
      </c>
      <c r="M2" s="14">
        <v>170056.76</v>
      </c>
      <c r="N2" s="14">
        <v>257432.69</v>
      </c>
      <c r="O2" s="14">
        <v>327248.93</v>
      </c>
      <c r="P2" s="14">
        <v>386741.35</v>
      </c>
      <c r="Q2" s="14">
        <v>459774.64999999997</v>
      </c>
      <c r="R2" s="14">
        <v>487343.88999999996</v>
      </c>
      <c r="S2" s="14">
        <v>558571.18999999994</v>
      </c>
      <c r="T2" s="14">
        <v>642827.31999999995</v>
      </c>
      <c r="U2" s="14">
        <v>687364.39999999991</v>
      </c>
      <c r="V2" s="14">
        <v>736892.95</v>
      </c>
    </row>
    <row r="3" spans="1:35">
      <c r="J3" s="5" t="s">
        <v>186</v>
      </c>
      <c r="K3" s="15">
        <v>20</v>
      </c>
      <c r="L3" s="15">
        <v>20</v>
      </c>
      <c r="M3" s="15">
        <v>18</v>
      </c>
      <c r="N3" s="15">
        <v>21</v>
      </c>
      <c r="O3" s="15">
        <v>21</v>
      </c>
      <c r="P3" s="15">
        <v>16</v>
      </c>
      <c r="Q3" s="15">
        <v>15</v>
      </c>
      <c r="R3" s="15">
        <v>16</v>
      </c>
      <c r="S3" s="15">
        <v>26</v>
      </c>
      <c r="T3" s="15">
        <v>24</v>
      </c>
      <c r="U3" s="15">
        <v>13</v>
      </c>
      <c r="V3" s="15">
        <v>23</v>
      </c>
    </row>
    <row r="4" spans="1:35">
      <c r="J4" s="5" t="s">
        <v>187</v>
      </c>
      <c r="K4" s="15">
        <v>20</v>
      </c>
      <c r="L4" s="15">
        <v>27</v>
      </c>
      <c r="M4" s="15">
        <v>31</v>
      </c>
      <c r="N4" s="15">
        <v>36</v>
      </c>
      <c r="O4" s="15">
        <v>38</v>
      </c>
      <c r="P4" s="15">
        <v>41</v>
      </c>
      <c r="Q4" s="15">
        <v>44</v>
      </c>
      <c r="R4" s="15">
        <v>44</v>
      </c>
      <c r="S4" s="15">
        <v>44</v>
      </c>
      <c r="T4" s="15">
        <v>48</v>
      </c>
      <c r="U4" s="15">
        <v>48</v>
      </c>
      <c r="V4" s="15">
        <v>49</v>
      </c>
    </row>
    <row r="5" spans="1:35">
      <c r="J5" s="5" t="s">
        <v>188</v>
      </c>
      <c r="K5" s="5">
        <v>4921.83</v>
      </c>
      <c r="L5" s="5">
        <v>2458.3000000000002</v>
      </c>
      <c r="M5" s="5">
        <v>3072.7</v>
      </c>
      <c r="N5" s="5">
        <v>2205</v>
      </c>
      <c r="O5" s="5">
        <v>36317.78</v>
      </c>
      <c r="P5" s="5">
        <v>9881</v>
      </c>
      <c r="Q5" s="5">
        <v>28800.33</v>
      </c>
      <c r="R5" s="5">
        <v>0</v>
      </c>
      <c r="S5" s="5">
        <v>0</v>
      </c>
      <c r="T5" s="5">
        <v>29486.079999999998</v>
      </c>
      <c r="U5" s="5">
        <v>0</v>
      </c>
      <c r="V5" s="5">
        <v>3193.01</v>
      </c>
    </row>
    <row r="6" spans="1:35">
      <c r="J6" s="5" t="s">
        <v>189</v>
      </c>
      <c r="K6" s="5">
        <v>4921.83</v>
      </c>
      <c r="L6" s="5">
        <v>2458.3000000000002</v>
      </c>
      <c r="M6" s="5">
        <v>8130.4500000000007</v>
      </c>
      <c r="N6" s="5">
        <v>4338.76</v>
      </c>
      <c r="O6" s="5">
        <v>40688.910000000003</v>
      </c>
      <c r="P6" s="5">
        <v>12838</v>
      </c>
      <c r="Q6" s="5">
        <v>29177.33</v>
      </c>
      <c r="R6" s="5">
        <v>1199.1599999999999</v>
      </c>
      <c r="S6" s="5">
        <v>11599.06</v>
      </c>
      <c r="T6" s="5">
        <v>33597.35</v>
      </c>
      <c r="U6" s="5">
        <v>476.36</v>
      </c>
      <c r="V6" s="5">
        <v>8171.83</v>
      </c>
    </row>
    <row r="7" spans="1:35">
      <c r="J7" s="5" t="s">
        <v>190</v>
      </c>
      <c r="K7" s="14">
        <v>4921.83</v>
      </c>
      <c r="L7" s="14">
        <v>7380.13</v>
      </c>
      <c r="M7" s="14">
        <v>15510.580000000002</v>
      </c>
      <c r="N7" s="14">
        <v>19849.340000000004</v>
      </c>
      <c r="O7" s="14">
        <v>60538.250000000007</v>
      </c>
      <c r="P7" s="14">
        <v>73376.25</v>
      </c>
      <c r="Q7" s="14">
        <v>102553.58</v>
      </c>
      <c r="R7" s="14">
        <v>103752.74</v>
      </c>
      <c r="S7" s="14">
        <v>115351.8</v>
      </c>
      <c r="T7" s="14">
        <v>148949.15</v>
      </c>
      <c r="U7" s="14">
        <v>149425.50999999998</v>
      </c>
      <c r="V7" s="14">
        <v>157597.33999999997</v>
      </c>
    </row>
    <row r="8" spans="1:35">
      <c r="J8" s="5" t="s">
        <v>191</v>
      </c>
      <c r="K8" s="15">
        <v>1</v>
      </c>
      <c r="L8" s="15">
        <v>2</v>
      </c>
      <c r="M8" s="15">
        <v>2</v>
      </c>
      <c r="N8" s="15">
        <v>1</v>
      </c>
      <c r="O8" s="15">
        <v>2</v>
      </c>
      <c r="P8" s="15">
        <v>2</v>
      </c>
      <c r="Q8" s="15">
        <v>3</v>
      </c>
      <c r="R8" s="15">
        <v>0</v>
      </c>
      <c r="S8" s="15">
        <v>0</v>
      </c>
      <c r="T8" s="15">
        <v>3</v>
      </c>
      <c r="U8" s="15">
        <v>0</v>
      </c>
      <c r="V8" s="15">
        <v>1</v>
      </c>
    </row>
    <row r="9" spans="1:35">
      <c r="J9" s="5" t="s">
        <v>190</v>
      </c>
      <c r="K9" s="15">
        <v>1</v>
      </c>
      <c r="L9" s="15">
        <v>3</v>
      </c>
      <c r="M9" s="15">
        <v>5</v>
      </c>
      <c r="N9" s="15">
        <v>6</v>
      </c>
      <c r="O9" s="15">
        <v>8</v>
      </c>
      <c r="P9" s="15">
        <v>10</v>
      </c>
      <c r="Q9" s="15">
        <v>13</v>
      </c>
      <c r="R9" s="15">
        <v>13</v>
      </c>
      <c r="S9" s="15">
        <v>13</v>
      </c>
      <c r="T9" s="15">
        <v>16</v>
      </c>
      <c r="U9" s="15">
        <v>16</v>
      </c>
      <c r="V9" s="15">
        <v>17</v>
      </c>
    </row>
    <row r="10" spans="1:35">
      <c r="Q10" s="5"/>
      <c r="R10" s="5"/>
      <c r="X10" s="5" t="s">
        <v>198</v>
      </c>
      <c r="Y10" s="5" t="s">
        <v>198</v>
      </c>
      <c r="Z10" s="5" t="s">
        <v>198</v>
      </c>
      <c r="AA10" s="5" t="s">
        <v>198</v>
      </c>
      <c r="AB10" s="5" t="s">
        <v>198</v>
      </c>
      <c r="AC10" s="5" t="s">
        <v>198</v>
      </c>
      <c r="AD10" s="5" t="s">
        <v>198</v>
      </c>
      <c r="AE10" s="5" t="s">
        <v>198</v>
      </c>
      <c r="AF10" s="5" t="s">
        <v>198</v>
      </c>
      <c r="AG10" s="5" t="s">
        <v>198</v>
      </c>
      <c r="AH10" s="5" t="s">
        <v>198</v>
      </c>
      <c r="AI10" s="5" t="s">
        <v>198</v>
      </c>
    </row>
    <row r="11" spans="1:35">
      <c r="A11" s="5" t="s">
        <v>192</v>
      </c>
      <c r="B11" s="5" t="s">
        <v>54</v>
      </c>
      <c r="C11" s="5" t="s">
        <v>55</v>
      </c>
      <c r="D11" s="5" t="s">
        <v>57</v>
      </c>
      <c r="E11" s="5" t="s">
        <v>56</v>
      </c>
      <c r="F11" s="5" t="s">
        <v>58</v>
      </c>
      <c r="G11" s="5" t="s">
        <v>193</v>
      </c>
      <c r="H11" s="5" t="s">
        <v>194</v>
      </c>
      <c r="I11" s="5" t="s">
        <v>59</v>
      </c>
      <c r="J11" s="5" t="s">
        <v>195</v>
      </c>
      <c r="K11" s="6">
        <v>45658</v>
      </c>
      <c r="L11" s="6">
        <v>45689</v>
      </c>
      <c r="M11" s="6">
        <v>45717</v>
      </c>
      <c r="N11" s="6">
        <v>45748</v>
      </c>
      <c r="O11" s="6">
        <v>45778</v>
      </c>
      <c r="P11" s="6">
        <v>45809</v>
      </c>
      <c r="Q11" s="6">
        <v>45839</v>
      </c>
      <c r="R11" s="6">
        <v>45870</v>
      </c>
      <c r="S11" s="6">
        <v>45901</v>
      </c>
      <c r="T11" s="6">
        <v>45931</v>
      </c>
      <c r="U11" s="6">
        <v>45962</v>
      </c>
      <c r="V11" s="6">
        <v>45992</v>
      </c>
      <c r="X11" s="6">
        <v>45658</v>
      </c>
      <c r="Y11" s="6">
        <v>45689</v>
      </c>
      <c r="Z11" s="6">
        <v>45717</v>
      </c>
      <c r="AA11" s="6">
        <v>45748</v>
      </c>
      <c r="AB11" s="6">
        <v>45778</v>
      </c>
      <c r="AC11" s="6">
        <v>45809</v>
      </c>
      <c r="AD11" s="6">
        <v>45839</v>
      </c>
      <c r="AE11" s="6">
        <v>45870</v>
      </c>
      <c r="AF11" s="6">
        <v>45901</v>
      </c>
      <c r="AG11" s="6">
        <v>45931</v>
      </c>
      <c r="AH11" s="6">
        <v>45962</v>
      </c>
      <c r="AI11" s="6">
        <v>45992</v>
      </c>
    </row>
    <row r="12" spans="1:35" hidden="1">
      <c r="A12" s="5">
        <v>2</v>
      </c>
      <c r="B12" s="5">
        <v>25000</v>
      </c>
      <c r="C12" s="5" t="s">
        <v>106</v>
      </c>
      <c r="D12" s="5" t="s">
        <v>178</v>
      </c>
      <c r="E12" s="5" t="s">
        <v>18</v>
      </c>
      <c r="F12" s="5">
        <v>2021</v>
      </c>
      <c r="G12" s="6">
        <v>44378</v>
      </c>
      <c r="H12" s="5" t="s">
        <v>199</v>
      </c>
      <c r="I12" s="5" t="s">
        <v>177</v>
      </c>
      <c r="J12" s="16">
        <v>737</v>
      </c>
      <c r="K12" s="16">
        <v>737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X12" s="14">
        <v>737</v>
      </c>
      <c r="Y12" s="14">
        <v>737</v>
      </c>
      <c r="Z12" s="14">
        <v>737</v>
      </c>
      <c r="AA12" s="14">
        <v>737</v>
      </c>
      <c r="AB12" s="14">
        <v>737</v>
      </c>
      <c r="AC12" s="14">
        <v>737</v>
      </c>
      <c r="AD12" s="14">
        <v>737</v>
      </c>
      <c r="AE12" s="14">
        <v>737</v>
      </c>
      <c r="AF12" s="14">
        <v>737</v>
      </c>
      <c r="AG12" s="14">
        <v>737</v>
      </c>
      <c r="AH12" s="14">
        <v>737</v>
      </c>
      <c r="AI12" s="14">
        <v>737</v>
      </c>
    </row>
    <row r="13" spans="1:35" hidden="1">
      <c r="A13" s="5">
        <v>3</v>
      </c>
      <c r="B13" s="5">
        <v>25001</v>
      </c>
      <c r="C13" s="5" t="s">
        <v>196</v>
      </c>
      <c r="D13" s="5" t="s">
        <v>179</v>
      </c>
      <c r="E13" s="5" t="s">
        <v>16</v>
      </c>
      <c r="F13" s="5">
        <v>2021</v>
      </c>
      <c r="G13" s="6">
        <v>44317</v>
      </c>
      <c r="H13" s="5" t="s">
        <v>200</v>
      </c>
      <c r="I13" s="5" t="s">
        <v>177</v>
      </c>
      <c r="J13" s="16">
        <v>26036.49</v>
      </c>
      <c r="K13" s="16">
        <v>833.18</v>
      </c>
      <c r="L13" s="16">
        <v>262.64</v>
      </c>
      <c r="M13" s="16">
        <v>488.31</v>
      </c>
      <c r="N13" s="16">
        <v>1396</v>
      </c>
      <c r="O13" s="16">
        <v>822.43</v>
      </c>
      <c r="P13" s="16">
        <v>5230.6400000000003</v>
      </c>
      <c r="Q13" s="16">
        <v>0</v>
      </c>
      <c r="R13" s="16">
        <v>6969</v>
      </c>
      <c r="S13" s="16">
        <v>1920.18</v>
      </c>
      <c r="T13" s="16">
        <v>2417.8000000000002</v>
      </c>
      <c r="U13" s="16">
        <v>4004</v>
      </c>
      <c r="V13" s="16">
        <v>1692.31</v>
      </c>
      <c r="X13" s="14">
        <v>833.18</v>
      </c>
      <c r="Y13" s="14">
        <v>1095.82</v>
      </c>
      <c r="Z13" s="14">
        <v>1584.1299999999999</v>
      </c>
      <c r="AA13" s="14">
        <v>2980.13</v>
      </c>
      <c r="AB13" s="14">
        <v>3802.56</v>
      </c>
      <c r="AC13" s="14">
        <v>9033.2000000000007</v>
      </c>
      <c r="AD13" s="14">
        <v>9033.2000000000007</v>
      </c>
      <c r="AE13" s="14">
        <v>16002.2</v>
      </c>
      <c r="AF13" s="14">
        <v>17922.38</v>
      </c>
      <c r="AG13" s="14">
        <v>20340.18</v>
      </c>
      <c r="AH13" s="14">
        <v>24344.18</v>
      </c>
      <c r="AI13" s="14">
        <v>26036.49</v>
      </c>
    </row>
    <row r="14" spans="1:35" hidden="1">
      <c r="A14" s="5">
        <v>4</v>
      </c>
      <c r="B14" s="5">
        <v>25002</v>
      </c>
      <c r="C14" s="5" t="s">
        <v>121</v>
      </c>
      <c r="D14" s="5" t="s">
        <v>180</v>
      </c>
      <c r="E14" s="5" t="s">
        <v>19</v>
      </c>
      <c r="F14" s="5">
        <v>2021</v>
      </c>
      <c r="G14" s="6">
        <v>44409</v>
      </c>
      <c r="H14" s="5" t="s">
        <v>201</v>
      </c>
      <c r="I14" s="5" t="s">
        <v>177</v>
      </c>
      <c r="J14" s="16">
        <v>25700.67</v>
      </c>
      <c r="K14" s="16">
        <v>910.67</v>
      </c>
      <c r="L14" s="16">
        <v>2894.2</v>
      </c>
      <c r="M14" s="16">
        <v>0</v>
      </c>
      <c r="N14" s="16">
        <v>7086.93</v>
      </c>
      <c r="O14" s="16">
        <v>1245</v>
      </c>
      <c r="P14" s="16">
        <v>2330.64</v>
      </c>
      <c r="Q14" s="16">
        <v>2045.25</v>
      </c>
      <c r="R14" s="16">
        <v>0</v>
      </c>
      <c r="S14" s="16">
        <v>4741.24</v>
      </c>
      <c r="T14" s="16">
        <v>0</v>
      </c>
      <c r="U14" s="16">
        <v>0</v>
      </c>
      <c r="V14" s="16">
        <v>4446.74</v>
      </c>
      <c r="X14" s="14">
        <v>910.67</v>
      </c>
      <c r="Y14" s="14">
        <v>3804.87</v>
      </c>
      <c r="Z14" s="14">
        <v>3804.87</v>
      </c>
      <c r="AA14" s="14">
        <v>10891.8</v>
      </c>
      <c r="AB14" s="14">
        <v>12136.8</v>
      </c>
      <c r="AC14" s="14">
        <v>14467.439999999999</v>
      </c>
      <c r="AD14" s="14">
        <v>16512.689999999999</v>
      </c>
      <c r="AE14" s="14">
        <v>16512.689999999999</v>
      </c>
      <c r="AF14" s="14">
        <v>21253.93</v>
      </c>
      <c r="AG14" s="14">
        <v>21253.93</v>
      </c>
      <c r="AH14" s="14">
        <v>21253.93</v>
      </c>
      <c r="AI14" s="14">
        <v>25700.67</v>
      </c>
    </row>
    <row r="15" spans="1:35" hidden="1">
      <c r="A15" s="5">
        <v>5</v>
      </c>
      <c r="B15" s="5">
        <v>25003</v>
      </c>
      <c r="C15" s="5" t="s">
        <v>140</v>
      </c>
      <c r="D15" s="5" t="s">
        <v>180</v>
      </c>
      <c r="E15" s="5" t="s">
        <v>19</v>
      </c>
      <c r="F15" s="5">
        <v>2021</v>
      </c>
      <c r="G15" s="6">
        <v>44440</v>
      </c>
      <c r="H15" s="5" t="s">
        <v>202</v>
      </c>
      <c r="I15" s="5" t="s">
        <v>141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</row>
    <row r="16" spans="1:35" hidden="1">
      <c r="A16" s="5">
        <v>6</v>
      </c>
      <c r="B16" s="5">
        <v>25004</v>
      </c>
      <c r="C16" s="5" t="s">
        <v>105</v>
      </c>
      <c r="D16" s="5" t="s">
        <v>178</v>
      </c>
      <c r="E16" s="5" t="s">
        <v>18</v>
      </c>
      <c r="F16" s="5">
        <v>2021</v>
      </c>
      <c r="G16" s="6">
        <v>44440</v>
      </c>
      <c r="H16" s="5" t="s">
        <v>202</v>
      </c>
      <c r="I16" s="5" t="s">
        <v>177</v>
      </c>
      <c r="J16" s="16">
        <v>6008.52</v>
      </c>
      <c r="K16" s="16">
        <v>744.2</v>
      </c>
      <c r="L16" s="16">
        <v>539.58000000000004</v>
      </c>
      <c r="M16" s="16">
        <v>2416.0300000000002</v>
      </c>
      <c r="N16" s="16">
        <v>0</v>
      </c>
      <c r="O16" s="16">
        <v>0</v>
      </c>
      <c r="P16" s="16">
        <v>0</v>
      </c>
      <c r="Q16" s="16">
        <v>0</v>
      </c>
      <c r="R16" s="16">
        <v>1430.67</v>
      </c>
      <c r="S16" s="16">
        <v>498</v>
      </c>
      <c r="T16" s="16">
        <v>0</v>
      </c>
      <c r="U16" s="16">
        <v>0</v>
      </c>
      <c r="V16" s="16">
        <v>380.04</v>
      </c>
      <c r="X16" s="14">
        <v>744.2</v>
      </c>
      <c r="Y16" s="14">
        <v>1283.7800000000002</v>
      </c>
      <c r="Z16" s="14">
        <v>3699.8100000000004</v>
      </c>
      <c r="AA16" s="14">
        <v>3699.8100000000004</v>
      </c>
      <c r="AB16" s="14">
        <v>3699.8100000000004</v>
      </c>
      <c r="AC16" s="14">
        <v>3699.8100000000004</v>
      </c>
      <c r="AD16" s="14">
        <v>3699.8100000000004</v>
      </c>
      <c r="AE16" s="14">
        <v>5130.4800000000005</v>
      </c>
      <c r="AF16" s="14">
        <v>5628.4800000000005</v>
      </c>
      <c r="AG16" s="14">
        <v>5628.4800000000005</v>
      </c>
      <c r="AH16" s="14">
        <v>5628.4800000000005</v>
      </c>
      <c r="AI16" s="14">
        <v>6008.52</v>
      </c>
    </row>
    <row r="17" spans="1:35" hidden="1">
      <c r="A17" s="5">
        <v>10</v>
      </c>
      <c r="B17" s="5">
        <v>25008</v>
      </c>
      <c r="C17" s="5" t="s">
        <v>127</v>
      </c>
      <c r="D17" s="5" t="s">
        <v>180</v>
      </c>
      <c r="E17" s="5" t="s">
        <v>19</v>
      </c>
      <c r="F17" s="5">
        <v>2021</v>
      </c>
      <c r="G17" s="6">
        <v>44531</v>
      </c>
      <c r="H17" s="5" t="s">
        <v>203</v>
      </c>
      <c r="I17" s="5" t="s">
        <v>177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</row>
    <row r="18" spans="1:35" hidden="1">
      <c r="A18" s="5">
        <v>11</v>
      </c>
      <c r="B18" s="5">
        <v>25009</v>
      </c>
      <c r="C18" s="5" t="s">
        <v>142</v>
      </c>
      <c r="D18" s="5" t="s">
        <v>178</v>
      </c>
      <c r="E18" s="5" t="s">
        <v>18</v>
      </c>
      <c r="F18" s="5">
        <v>2022</v>
      </c>
      <c r="G18" s="6">
        <v>44562</v>
      </c>
      <c r="H18" s="5" t="s">
        <v>204</v>
      </c>
      <c r="I18" s="5" t="s">
        <v>141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</row>
    <row r="19" spans="1:35" hidden="1">
      <c r="A19" s="5">
        <v>12</v>
      </c>
      <c r="B19" s="5">
        <v>25010</v>
      </c>
      <c r="C19" s="5" t="s">
        <v>119</v>
      </c>
      <c r="D19" s="5" t="s">
        <v>180</v>
      </c>
      <c r="E19" s="5" t="s">
        <v>19</v>
      </c>
      <c r="F19" s="5">
        <v>2022</v>
      </c>
      <c r="G19" s="6">
        <v>44562</v>
      </c>
      <c r="H19" s="5" t="s">
        <v>204</v>
      </c>
      <c r="I19" s="5" t="s">
        <v>177</v>
      </c>
      <c r="J19" s="16">
        <v>37341.279999999999</v>
      </c>
      <c r="K19" s="16">
        <v>23336.22</v>
      </c>
      <c r="L19" s="16">
        <v>-3626.5</v>
      </c>
      <c r="M19" s="16">
        <v>455.85</v>
      </c>
      <c r="N19" s="16">
        <v>4629.6400000000003</v>
      </c>
      <c r="O19" s="16">
        <v>0</v>
      </c>
      <c r="P19" s="16">
        <v>0</v>
      </c>
      <c r="Q19" s="16">
        <v>1730.11</v>
      </c>
      <c r="R19" s="16">
        <v>0</v>
      </c>
      <c r="S19" s="16">
        <v>1494</v>
      </c>
      <c r="T19" s="16">
        <v>0</v>
      </c>
      <c r="U19" s="16">
        <v>0</v>
      </c>
      <c r="V19" s="16">
        <v>9321.9599999999991</v>
      </c>
      <c r="X19" s="14">
        <v>23336.22</v>
      </c>
      <c r="Y19" s="14">
        <v>19709.72</v>
      </c>
      <c r="Z19" s="14">
        <v>20165.57</v>
      </c>
      <c r="AA19" s="14">
        <v>24795.21</v>
      </c>
      <c r="AB19" s="14">
        <v>24795.21</v>
      </c>
      <c r="AC19" s="14">
        <v>24795.21</v>
      </c>
      <c r="AD19" s="14">
        <v>26525.32</v>
      </c>
      <c r="AE19" s="14">
        <v>26525.32</v>
      </c>
      <c r="AF19" s="14">
        <v>28019.32</v>
      </c>
      <c r="AG19" s="14">
        <v>28019.32</v>
      </c>
      <c r="AH19" s="14">
        <v>28019.32</v>
      </c>
      <c r="AI19" s="14">
        <v>37341.279999999999</v>
      </c>
    </row>
    <row r="20" spans="1:35" hidden="1">
      <c r="A20" s="5">
        <v>13</v>
      </c>
      <c r="B20" s="5">
        <v>25011</v>
      </c>
      <c r="C20" s="5" t="s">
        <v>143</v>
      </c>
      <c r="D20" s="5" t="s">
        <v>178</v>
      </c>
      <c r="E20" s="5" t="s">
        <v>18</v>
      </c>
      <c r="F20" s="5">
        <v>2022</v>
      </c>
      <c r="G20" s="6">
        <v>44593</v>
      </c>
      <c r="H20" s="5" t="s">
        <v>205</v>
      </c>
      <c r="I20" s="5" t="s">
        <v>141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</row>
    <row r="21" spans="1:35" hidden="1">
      <c r="A21" s="5">
        <v>14</v>
      </c>
      <c r="B21" s="5">
        <v>25012</v>
      </c>
      <c r="C21" s="5" t="s">
        <v>100</v>
      </c>
      <c r="D21" s="5" t="s">
        <v>178</v>
      </c>
      <c r="E21" s="5" t="s">
        <v>18</v>
      </c>
      <c r="F21" s="5">
        <v>2022</v>
      </c>
      <c r="G21" s="6">
        <v>44621</v>
      </c>
      <c r="H21" s="5" t="s">
        <v>206</v>
      </c>
      <c r="I21" s="5" t="s">
        <v>177</v>
      </c>
      <c r="J21" s="16">
        <v>52636.330000000009</v>
      </c>
      <c r="K21" s="16">
        <v>0</v>
      </c>
      <c r="L21" s="16">
        <v>0</v>
      </c>
      <c r="M21" s="16">
        <v>4909.6499999999996</v>
      </c>
      <c r="N21" s="16">
        <v>13802.76</v>
      </c>
      <c r="O21" s="16">
        <v>6354.5</v>
      </c>
      <c r="P21" s="16">
        <v>7258.68</v>
      </c>
      <c r="Q21" s="16">
        <v>10917.54</v>
      </c>
      <c r="R21" s="16">
        <v>0</v>
      </c>
      <c r="S21" s="16">
        <v>8136.44</v>
      </c>
      <c r="T21" s="16">
        <v>1256.76</v>
      </c>
      <c r="U21" s="16">
        <v>0</v>
      </c>
      <c r="V21" s="16">
        <v>0</v>
      </c>
      <c r="X21" s="14">
        <v>0</v>
      </c>
      <c r="Y21" s="14">
        <v>0</v>
      </c>
      <c r="Z21" s="14">
        <v>4909.6499999999996</v>
      </c>
      <c r="AA21" s="14">
        <v>18712.41</v>
      </c>
      <c r="AB21" s="14">
        <v>25066.91</v>
      </c>
      <c r="AC21" s="14">
        <v>32325.59</v>
      </c>
      <c r="AD21" s="14">
        <v>43243.130000000005</v>
      </c>
      <c r="AE21" s="14">
        <v>43243.130000000005</v>
      </c>
      <c r="AF21" s="14">
        <v>51379.570000000007</v>
      </c>
      <c r="AG21" s="14">
        <v>52636.330000000009</v>
      </c>
      <c r="AH21" s="14">
        <v>52636.330000000009</v>
      </c>
      <c r="AI21" s="14">
        <v>52636.330000000009</v>
      </c>
    </row>
    <row r="22" spans="1:35" hidden="1">
      <c r="A22" s="5">
        <v>15</v>
      </c>
      <c r="B22" s="5">
        <v>25013</v>
      </c>
      <c r="C22" s="5" t="s">
        <v>144</v>
      </c>
      <c r="D22" s="5" t="s">
        <v>93</v>
      </c>
      <c r="E22" s="5" t="s">
        <v>17</v>
      </c>
      <c r="F22" s="5">
        <v>2022</v>
      </c>
      <c r="G22" s="6">
        <v>44621</v>
      </c>
      <c r="H22" s="5" t="s">
        <v>206</v>
      </c>
      <c r="I22" s="5" t="s">
        <v>141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</row>
    <row r="23" spans="1:35" hidden="1">
      <c r="A23" s="5">
        <v>16</v>
      </c>
      <c r="B23" s="5">
        <v>25015</v>
      </c>
      <c r="C23" s="5" t="s">
        <v>107</v>
      </c>
      <c r="D23" s="5" t="s">
        <v>178</v>
      </c>
      <c r="E23" s="5" t="s">
        <v>18</v>
      </c>
      <c r="F23" s="5">
        <v>2022</v>
      </c>
      <c r="G23" s="6">
        <v>44621</v>
      </c>
      <c r="H23" s="5" t="s">
        <v>206</v>
      </c>
      <c r="I23" s="5" t="s">
        <v>177</v>
      </c>
      <c r="J23" s="16">
        <v>1573.68</v>
      </c>
      <c r="K23" s="16">
        <v>0</v>
      </c>
      <c r="L23" s="16">
        <v>0</v>
      </c>
      <c r="M23" s="16">
        <v>0</v>
      </c>
      <c r="N23" s="16">
        <v>1035.24</v>
      </c>
      <c r="O23" s="16">
        <v>0</v>
      </c>
      <c r="P23" s="16">
        <v>538.44000000000005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X23" s="14">
        <v>0</v>
      </c>
      <c r="Y23" s="14">
        <v>0</v>
      </c>
      <c r="Z23" s="14">
        <v>0</v>
      </c>
      <c r="AA23" s="14">
        <v>1035.24</v>
      </c>
      <c r="AB23" s="14">
        <v>1035.24</v>
      </c>
      <c r="AC23" s="14">
        <v>1573.68</v>
      </c>
      <c r="AD23" s="14">
        <v>1573.68</v>
      </c>
      <c r="AE23" s="14">
        <v>1573.68</v>
      </c>
      <c r="AF23" s="14">
        <v>1573.68</v>
      </c>
      <c r="AG23" s="14">
        <v>1573.68</v>
      </c>
      <c r="AH23" s="14">
        <v>1573.68</v>
      </c>
      <c r="AI23" s="14">
        <v>1573.68</v>
      </c>
    </row>
    <row r="24" spans="1:35" hidden="1">
      <c r="A24" s="5">
        <v>17</v>
      </c>
      <c r="B24" s="5">
        <v>25016</v>
      </c>
      <c r="C24" s="5" t="s">
        <v>122</v>
      </c>
      <c r="D24" s="5" t="s">
        <v>180</v>
      </c>
      <c r="E24" s="5" t="s">
        <v>19</v>
      </c>
      <c r="F24" s="5">
        <v>2022</v>
      </c>
      <c r="G24" s="6">
        <v>44652</v>
      </c>
      <c r="H24" s="5" t="s">
        <v>207</v>
      </c>
      <c r="I24" s="5" t="s">
        <v>177</v>
      </c>
      <c r="J24" s="16">
        <v>3383.2200000000003</v>
      </c>
      <c r="K24" s="16">
        <v>1700.92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1682.3</v>
      </c>
      <c r="S24" s="16">
        <v>0</v>
      </c>
      <c r="T24" s="16">
        <v>0</v>
      </c>
      <c r="U24" s="16">
        <v>0</v>
      </c>
      <c r="V24" s="16">
        <v>0</v>
      </c>
      <c r="X24" s="14">
        <v>1700.92</v>
      </c>
      <c r="Y24" s="14">
        <v>1700.92</v>
      </c>
      <c r="Z24" s="14">
        <v>1700.92</v>
      </c>
      <c r="AA24" s="14">
        <v>1700.92</v>
      </c>
      <c r="AB24" s="14">
        <v>1700.92</v>
      </c>
      <c r="AC24" s="14">
        <v>1700.92</v>
      </c>
      <c r="AD24" s="14">
        <v>1700.92</v>
      </c>
      <c r="AE24" s="14">
        <v>3383.2200000000003</v>
      </c>
      <c r="AF24" s="14">
        <v>3383.2200000000003</v>
      </c>
      <c r="AG24" s="14">
        <v>3383.2200000000003</v>
      </c>
      <c r="AH24" s="14">
        <v>3383.2200000000003</v>
      </c>
      <c r="AI24" s="14">
        <v>3383.2200000000003</v>
      </c>
    </row>
    <row r="25" spans="1:35" hidden="1">
      <c r="A25" s="5">
        <v>18</v>
      </c>
      <c r="B25" s="5">
        <v>25018</v>
      </c>
      <c r="C25" s="5" t="s">
        <v>145</v>
      </c>
      <c r="D25" s="5" t="s">
        <v>180</v>
      </c>
      <c r="E25" s="5" t="s">
        <v>19</v>
      </c>
      <c r="F25" s="5">
        <v>2022</v>
      </c>
      <c r="G25" s="6">
        <v>44743</v>
      </c>
      <c r="H25" s="5" t="s">
        <v>208</v>
      </c>
      <c r="I25" s="5" t="s">
        <v>141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</row>
    <row r="26" spans="1:35" hidden="1">
      <c r="A26" s="5">
        <v>19</v>
      </c>
      <c r="B26" s="5">
        <v>25019</v>
      </c>
      <c r="C26" s="5" t="s">
        <v>146</v>
      </c>
      <c r="D26" s="5" t="s">
        <v>180</v>
      </c>
      <c r="E26" s="5" t="s">
        <v>19</v>
      </c>
      <c r="F26" s="5">
        <v>2022</v>
      </c>
      <c r="G26" s="6">
        <v>44713</v>
      </c>
      <c r="H26" s="5" t="s">
        <v>209</v>
      </c>
      <c r="I26" s="5" t="s">
        <v>141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</row>
    <row r="27" spans="1:35" hidden="1">
      <c r="A27" s="5">
        <v>20</v>
      </c>
      <c r="B27" s="5">
        <v>25020</v>
      </c>
      <c r="C27" s="5" t="s">
        <v>147</v>
      </c>
      <c r="D27" s="5" t="s">
        <v>180</v>
      </c>
      <c r="E27" s="5" t="s">
        <v>19</v>
      </c>
      <c r="F27" s="5">
        <v>2022</v>
      </c>
      <c r="G27" s="6">
        <v>44743</v>
      </c>
      <c r="H27" s="5" t="s">
        <v>208</v>
      </c>
      <c r="I27" s="5" t="s">
        <v>141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</row>
    <row r="28" spans="1:35" hidden="1">
      <c r="A28" s="5">
        <v>21</v>
      </c>
      <c r="B28" s="5">
        <v>25021</v>
      </c>
      <c r="C28" s="5" t="s">
        <v>148</v>
      </c>
      <c r="D28" s="5" t="s">
        <v>178</v>
      </c>
      <c r="E28" s="5" t="s">
        <v>17</v>
      </c>
      <c r="F28" s="5" t="s">
        <v>181</v>
      </c>
      <c r="G28" s="6" t="s">
        <v>181</v>
      </c>
      <c r="H28" s="5" t="e">
        <v>#VALUE!</v>
      </c>
      <c r="I28" s="5" t="s">
        <v>141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</row>
    <row r="29" spans="1:35" hidden="1">
      <c r="A29" s="5">
        <v>22</v>
      </c>
      <c r="B29" s="5">
        <v>25022</v>
      </c>
      <c r="C29" s="5" t="s">
        <v>149</v>
      </c>
      <c r="D29" s="5" t="s">
        <v>178</v>
      </c>
      <c r="E29" s="5" t="s">
        <v>17</v>
      </c>
      <c r="F29" s="5">
        <v>2022</v>
      </c>
      <c r="G29" s="6">
        <v>44774</v>
      </c>
      <c r="H29" s="5" t="s">
        <v>210</v>
      </c>
      <c r="I29" s="5" t="s">
        <v>141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</row>
    <row r="30" spans="1:35" hidden="1">
      <c r="A30" s="5">
        <v>23</v>
      </c>
      <c r="B30" s="5">
        <v>25023</v>
      </c>
      <c r="C30" s="5" t="s">
        <v>150</v>
      </c>
      <c r="D30" s="5" t="s">
        <v>178</v>
      </c>
      <c r="E30" s="5" t="s">
        <v>17</v>
      </c>
      <c r="F30" s="5">
        <v>2022</v>
      </c>
      <c r="G30" s="6">
        <v>44805</v>
      </c>
      <c r="H30" s="5" t="s">
        <v>211</v>
      </c>
      <c r="I30" s="5" t="s">
        <v>141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</row>
    <row r="31" spans="1:35" hidden="1">
      <c r="A31" s="5">
        <v>24</v>
      </c>
      <c r="B31" s="5">
        <v>25024</v>
      </c>
      <c r="C31" s="5" t="s">
        <v>128</v>
      </c>
      <c r="D31" s="5" t="s">
        <v>180</v>
      </c>
      <c r="E31" s="5" t="s">
        <v>19</v>
      </c>
      <c r="F31" s="5">
        <v>2022</v>
      </c>
      <c r="G31" s="6">
        <v>44835</v>
      </c>
      <c r="H31" s="5" t="s">
        <v>212</v>
      </c>
      <c r="I31" s="5" t="s">
        <v>177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</row>
    <row r="32" spans="1:35" hidden="1">
      <c r="A32" s="5">
        <v>25</v>
      </c>
      <c r="B32" s="5">
        <v>25025</v>
      </c>
      <c r="C32" s="5" t="s">
        <v>151</v>
      </c>
      <c r="D32" s="5" t="s">
        <v>180</v>
      </c>
      <c r="E32" s="5" t="s">
        <v>19</v>
      </c>
      <c r="F32" s="5" t="s">
        <v>181</v>
      </c>
      <c r="G32" s="6" t="s">
        <v>181</v>
      </c>
      <c r="H32" s="5" t="e">
        <v>#VALUE!</v>
      </c>
      <c r="I32" s="5" t="s">
        <v>141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</row>
    <row r="33" spans="1:35" hidden="1">
      <c r="A33" s="5">
        <v>26</v>
      </c>
      <c r="B33" s="5">
        <v>25026</v>
      </c>
      <c r="C33" s="5" t="s">
        <v>123</v>
      </c>
      <c r="D33" s="5" t="s">
        <v>180</v>
      </c>
      <c r="E33" s="5" t="s">
        <v>19</v>
      </c>
      <c r="F33" s="5">
        <v>2023</v>
      </c>
      <c r="G33" s="6">
        <v>44927</v>
      </c>
      <c r="H33" s="5" t="s">
        <v>213</v>
      </c>
      <c r="I33" s="5" t="s">
        <v>177</v>
      </c>
      <c r="J33" s="16">
        <v>3885.2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3885.2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3885.2</v>
      </c>
      <c r="AD33" s="14">
        <v>3885.2</v>
      </c>
      <c r="AE33" s="14">
        <v>3885.2</v>
      </c>
      <c r="AF33" s="14">
        <v>3885.2</v>
      </c>
      <c r="AG33" s="14">
        <v>3885.2</v>
      </c>
      <c r="AH33" s="14">
        <v>3885.2</v>
      </c>
      <c r="AI33" s="14">
        <v>3885.2</v>
      </c>
    </row>
    <row r="34" spans="1:35" hidden="1">
      <c r="A34" s="5">
        <v>27</v>
      </c>
      <c r="B34" s="5">
        <v>25027</v>
      </c>
      <c r="C34" s="5" t="s">
        <v>102</v>
      </c>
      <c r="D34" s="5" t="s">
        <v>178</v>
      </c>
      <c r="E34" s="5" t="s">
        <v>18</v>
      </c>
      <c r="F34" s="5">
        <v>2022</v>
      </c>
      <c r="G34" s="6">
        <v>44896</v>
      </c>
      <c r="H34" s="5" t="s">
        <v>214</v>
      </c>
      <c r="I34" s="5" t="s">
        <v>177</v>
      </c>
      <c r="J34" s="16">
        <v>113790.06999999999</v>
      </c>
      <c r="K34" s="16">
        <v>3142.68</v>
      </c>
      <c r="L34" s="16">
        <v>9744.23</v>
      </c>
      <c r="M34" s="16">
        <v>6904</v>
      </c>
      <c r="N34" s="16">
        <v>23162.12</v>
      </c>
      <c r="O34" s="16">
        <v>1765.84</v>
      </c>
      <c r="P34" s="16">
        <v>8470.2000000000007</v>
      </c>
      <c r="Q34" s="16">
        <v>737.84</v>
      </c>
      <c r="R34" s="16">
        <v>721.16</v>
      </c>
      <c r="S34" s="16">
        <v>19549.919999999998</v>
      </c>
      <c r="T34" s="16">
        <v>19810.2</v>
      </c>
      <c r="U34" s="16">
        <v>12933</v>
      </c>
      <c r="V34" s="16">
        <v>6848.88</v>
      </c>
      <c r="X34" s="14">
        <v>3142.68</v>
      </c>
      <c r="Y34" s="14">
        <v>12886.91</v>
      </c>
      <c r="Z34" s="14">
        <v>19790.91</v>
      </c>
      <c r="AA34" s="14">
        <v>42953.03</v>
      </c>
      <c r="AB34" s="14">
        <v>44718.869999999995</v>
      </c>
      <c r="AC34" s="14">
        <v>53189.069999999992</v>
      </c>
      <c r="AD34" s="14">
        <v>53926.909999999989</v>
      </c>
      <c r="AE34" s="14">
        <v>54648.069999999992</v>
      </c>
      <c r="AF34" s="14">
        <v>74197.989999999991</v>
      </c>
      <c r="AG34" s="14">
        <v>94008.189999999988</v>
      </c>
      <c r="AH34" s="14">
        <v>106941.18999999999</v>
      </c>
      <c r="AI34" s="14">
        <v>113790.06999999999</v>
      </c>
    </row>
    <row r="35" spans="1:35" hidden="1">
      <c r="A35" s="5">
        <v>28</v>
      </c>
      <c r="B35" s="5">
        <v>25028</v>
      </c>
      <c r="C35" s="5" t="s">
        <v>152</v>
      </c>
      <c r="D35" s="5" t="s">
        <v>93</v>
      </c>
      <c r="E35" s="5" t="s">
        <v>16</v>
      </c>
      <c r="F35" s="5">
        <v>2023</v>
      </c>
      <c r="G35" s="6">
        <v>44927</v>
      </c>
      <c r="H35" s="5" t="s">
        <v>213</v>
      </c>
      <c r="I35" s="5" t="s">
        <v>141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</row>
    <row r="36" spans="1:35" hidden="1">
      <c r="A36" s="5">
        <v>29</v>
      </c>
      <c r="B36" s="5">
        <v>25029</v>
      </c>
      <c r="C36" s="5" t="s">
        <v>124</v>
      </c>
      <c r="D36" s="5" t="s">
        <v>180</v>
      </c>
      <c r="E36" s="5" t="s">
        <v>19</v>
      </c>
      <c r="F36" s="5">
        <v>2023</v>
      </c>
      <c r="G36" s="6">
        <v>44927</v>
      </c>
      <c r="H36" s="5" t="s">
        <v>213</v>
      </c>
      <c r="I36" s="5" t="s">
        <v>177</v>
      </c>
      <c r="J36" s="16">
        <v>4862.18</v>
      </c>
      <c r="K36" s="16">
        <v>1904.99</v>
      </c>
      <c r="L36" s="16">
        <v>567.5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934.69</v>
      </c>
      <c r="S36" s="16">
        <v>0</v>
      </c>
      <c r="T36" s="16">
        <v>0</v>
      </c>
      <c r="U36" s="16">
        <v>0</v>
      </c>
      <c r="V36" s="16">
        <v>1455</v>
      </c>
      <c r="X36" s="14">
        <v>1904.99</v>
      </c>
      <c r="Y36" s="14">
        <v>2472.4899999999998</v>
      </c>
      <c r="Z36" s="14">
        <v>2472.4899999999998</v>
      </c>
      <c r="AA36" s="14">
        <v>2472.4899999999998</v>
      </c>
      <c r="AB36" s="14">
        <v>2472.4899999999998</v>
      </c>
      <c r="AC36" s="14">
        <v>2472.4899999999998</v>
      </c>
      <c r="AD36" s="14">
        <v>2472.4899999999998</v>
      </c>
      <c r="AE36" s="14">
        <v>3407.18</v>
      </c>
      <c r="AF36" s="14">
        <v>3407.18</v>
      </c>
      <c r="AG36" s="14">
        <v>3407.18</v>
      </c>
      <c r="AH36" s="14">
        <v>3407.18</v>
      </c>
      <c r="AI36" s="14">
        <v>4862.18</v>
      </c>
    </row>
    <row r="37" spans="1:35" hidden="1">
      <c r="A37" s="5">
        <v>32</v>
      </c>
      <c r="B37" s="5">
        <v>25032</v>
      </c>
      <c r="C37" s="5" t="s">
        <v>103</v>
      </c>
      <c r="D37" s="5" t="s">
        <v>178</v>
      </c>
      <c r="E37" s="5" t="s">
        <v>18</v>
      </c>
      <c r="F37" s="5">
        <v>2023</v>
      </c>
      <c r="G37" s="6">
        <v>45017</v>
      </c>
      <c r="H37" s="5" t="s">
        <v>215</v>
      </c>
      <c r="I37" s="5" t="s">
        <v>177</v>
      </c>
      <c r="J37" s="16">
        <v>44420.929999999993</v>
      </c>
      <c r="K37" s="16">
        <v>4111</v>
      </c>
      <c r="L37" s="16">
        <v>3922.65</v>
      </c>
      <c r="M37" s="16">
        <v>3240.77</v>
      </c>
      <c r="N37" s="16">
        <v>5702.19</v>
      </c>
      <c r="O37" s="16">
        <v>1785.22</v>
      </c>
      <c r="P37" s="16">
        <v>3769.48</v>
      </c>
      <c r="Q37" s="16">
        <v>4283.82</v>
      </c>
      <c r="R37" s="16">
        <v>2716.37</v>
      </c>
      <c r="S37" s="16">
        <v>2029.23</v>
      </c>
      <c r="T37" s="16">
        <v>4757.8599999999997</v>
      </c>
      <c r="U37" s="16">
        <v>4627.67</v>
      </c>
      <c r="V37" s="16">
        <v>3474.67</v>
      </c>
      <c r="X37" s="14">
        <v>4111</v>
      </c>
      <c r="Y37" s="14">
        <v>8033.65</v>
      </c>
      <c r="Z37" s="14">
        <v>11274.42</v>
      </c>
      <c r="AA37" s="14">
        <v>16976.61</v>
      </c>
      <c r="AB37" s="14">
        <v>18761.830000000002</v>
      </c>
      <c r="AC37" s="14">
        <v>22531.31</v>
      </c>
      <c r="AD37" s="14">
        <v>26815.13</v>
      </c>
      <c r="AE37" s="14">
        <v>29531.5</v>
      </c>
      <c r="AF37" s="14">
        <v>31560.73</v>
      </c>
      <c r="AG37" s="14">
        <v>36318.589999999997</v>
      </c>
      <c r="AH37" s="14">
        <v>40946.259999999995</v>
      </c>
      <c r="AI37" s="14">
        <v>44420.929999999993</v>
      </c>
    </row>
    <row r="38" spans="1:35" hidden="1">
      <c r="A38" s="5">
        <v>33</v>
      </c>
      <c r="B38" s="5">
        <v>25033</v>
      </c>
      <c r="C38" s="5" t="s">
        <v>153</v>
      </c>
      <c r="D38" s="5" t="s">
        <v>93</v>
      </c>
      <c r="E38" s="5" t="s">
        <v>16</v>
      </c>
      <c r="F38" s="5">
        <v>2023</v>
      </c>
      <c r="G38" s="6">
        <v>45047</v>
      </c>
      <c r="H38" s="5" t="s">
        <v>216</v>
      </c>
      <c r="I38" s="5" t="s">
        <v>141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</row>
    <row r="39" spans="1:35" hidden="1">
      <c r="A39" s="5">
        <v>34</v>
      </c>
      <c r="B39" s="5">
        <v>25034</v>
      </c>
      <c r="C39" s="5" t="s">
        <v>154</v>
      </c>
      <c r="D39" s="5" t="s">
        <v>138</v>
      </c>
      <c r="E39" s="5" t="s">
        <v>20</v>
      </c>
      <c r="F39" s="5">
        <v>2023</v>
      </c>
      <c r="G39" s="6">
        <v>45047</v>
      </c>
      <c r="H39" s="5" t="s">
        <v>216</v>
      </c>
      <c r="I39" s="5" t="s">
        <v>141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</row>
    <row r="40" spans="1:35" hidden="1">
      <c r="A40" s="5">
        <v>35</v>
      </c>
      <c r="B40" s="5">
        <v>25035</v>
      </c>
      <c r="C40" s="5" t="s">
        <v>135</v>
      </c>
      <c r="D40" s="5" t="s">
        <v>138</v>
      </c>
      <c r="E40" s="5" t="s">
        <v>20</v>
      </c>
      <c r="F40" s="5">
        <v>2023</v>
      </c>
      <c r="G40" s="6">
        <v>45170</v>
      </c>
      <c r="H40" s="5" t="s">
        <v>217</v>
      </c>
      <c r="I40" s="5" t="s">
        <v>177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</row>
    <row r="41" spans="1:35" hidden="1">
      <c r="A41" s="5">
        <v>36</v>
      </c>
      <c r="B41" s="5">
        <v>25036</v>
      </c>
      <c r="C41" s="5" t="s">
        <v>108</v>
      </c>
      <c r="D41" s="5" t="s">
        <v>178</v>
      </c>
      <c r="E41" s="5" t="s">
        <v>18</v>
      </c>
      <c r="F41" s="5">
        <v>2023</v>
      </c>
      <c r="G41" s="6">
        <v>45139</v>
      </c>
      <c r="H41" s="5" t="s">
        <v>218</v>
      </c>
      <c r="I41" s="5" t="s">
        <v>177</v>
      </c>
      <c r="J41" s="16">
        <v>654.34</v>
      </c>
      <c r="K41" s="16">
        <v>0</v>
      </c>
      <c r="L41" s="16">
        <v>0</v>
      </c>
      <c r="M41" s="16">
        <v>0</v>
      </c>
      <c r="N41" s="16">
        <v>654.34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X41" s="14">
        <v>0</v>
      </c>
      <c r="Y41" s="14">
        <v>0</v>
      </c>
      <c r="Z41" s="14">
        <v>0</v>
      </c>
      <c r="AA41" s="14">
        <v>654.34</v>
      </c>
      <c r="AB41" s="14">
        <v>654.34</v>
      </c>
      <c r="AC41" s="14">
        <v>654.34</v>
      </c>
      <c r="AD41" s="14">
        <v>654.34</v>
      </c>
      <c r="AE41" s="14">
        <v>654.34</v>
      </c>
      <c r="AF41" s="14">
        <v>654.34</v>
      </c>
      <c r="AG41" s="14">
        <v>654.34</v>
      </c>
      <c r="AH41" s="14">
        <v>654.34</v>
      </c>
      <c r="AI41" s="14">
        <v>654.34</v>
      </c>
    </row>
    <row r="42" spans="1:35" hidden="1">
      <c r="A42" s="5">
        <v>37</v>
      </c>
      <c r="B42" s="5">
        <v>25037</v>
      </c>
      <c r="C42" s="5" t="s">
        <v>197</v>
      </c>
      <c r="D42" s="5" t="s">
        <v>93</v>
      </c>
      <c r="E42" s="5" t="s">
        <v>16</v>
      </c>
      <c r="F42" s="5">
        <v>2023</v>
      </c>
      <c r="G42" s="6">
        <v>45139</v>
      </c>
      <c r="H42" s="5" t="s">
        <v>218</v>
      </c>
      <c r="I42" s="5" t="s">
        <v>177</v>
      </c>
      <c r="J42" s="16">
        <v>5249.3199999999988</v>
      </c>
      <c r="K42" s="16">
        <v>2917.25</v>
      </c>
      <c r="L42" s="16">
        <v>1055</v>
      </c>
      <c r="M42" s="16">
        <v>327.5</v>
      </c>
      <c r="N42" s="16">
        <v>0</v>
      </c>
      <c r="O42" s="16">
        <v>83.48</v>
      </c>
      <c r="P42" s="16">
        <v>0</v>
      </c>
      <c r="Q42" s="16">
        <v>0</v>
      </c>
      <c r="R42" s="16">
        <v>0</v>
      </c>
      <c r="S42" s="16">
        <v>350.15</v>
      </c>
      <c r="T42" s="16">
        <v>198.44</v>
      </c>
      <c r="U42" s="16">
        <v>0</v>
      </c>
      <c r="V42" s="16">
        <v>317.5</v>
      </c>
      <c r="X42" s="14">
        <v>2917.25</v>
      </c>
      <c r="Y42" s="14">
        <v>3972.25</v>
      </c>
      <c r="Z42" s="14">
        <v>4299.75</v>
      </c>
      <c r="AA42" s="14">
        <v>4299.75</v>
      </c>
      <c r="AB42" s="14">
        <v>4383.2299999999996</v>
      </c>
      <c r="AC42" s="14">
        <v>4383.2299999999996</v>
      </c>
      <c r="AD42" s="14">
        <v>4383.2299999999996</v>
      </c>
      <c r="AE42" s="14">
        <v>4383.2299999999996</v>
      </c>
      <c r="AF42" s="14">
        <v>4733.3799999999992</v>
      </c>
      <c r="AG42" s="14">
        <v>4931.8199999999988</v>
      </c>
      <c r="AH42" s="14">
        <v>4931.8199999999988</v>
      </c>
      <c r="AI42" s="14">
        <v>5249.3199999999988</v>
      </c>
    </row>
    <row r="43" spans="1:35" hidden="1">
      <c r="A43" s="5">
        <v>38</v>
      </c>
      <c r="B43" s="5">
        <v>25038</v>
      </c>
      <c r="C43" s="5" t="s">
        <v>104</v>
      </c>
      <c r="D43" s="5" t="s">
        <v>178</v>
      </c>
      <c r="E43" s="5" t="s">
        <v>18</v>
      </c>
      <c r="F43" s="5">
        <v>2023</v>
      </c>
      <c r="G43" s="6">
        <v>45200</v>
      </c>
      <c r="H43" s="5" t="s">
        <v>219</v>
      </c>
      <c r="I43" s="5" t="s">
        <v>177</v>
      </c>
      <c r="J43" s="16">
        <v>13457.210000000001</v>
      </c>
      <c r="K43" s="16">
        <v>755.96</v>
      </c>
      <c r="L43" s="16">
        <v>1340.71</v>
      </c>
      <c r="M43" s="16">
        <v>1486.63</v>
      </c>
      <c r="N43" s="16">
        <v>2076.61</v>
      </c>
      <c r="O43" s="16">
        <v>885.67</v>
      </c>
      <c r="P43" s="16">
        <v>1825.94</v>
      </c>
      <c r="Q43" s="16">
        <v>825</v>
      </c>
      <c r="R43" s="16">
        <v>1174.6600000000001</v>
      </c>
      <c r="S43" s="16">
        <v>1745.32</v>
      </c>
      <c r="T43" s="16">
        <v>642.69000000000005</v>
      </c>
      <c r="U43" s="16">
        <v>0</v>
      </c>
      <c r="V43" s="16">
        <v>698.02</v>
      </c>
      <c r="X43" s="14">
        <v>755.96</v>
      </c>
      <c r="Y43" s="14">
        <v>2096.67</v>
      </c>
      <c r="Z43" s="14">
        <v>3583.3</v>
      </c>
      <c r="AA43" s="14">
        <v>5659.91</v>
      </c>
      <c r="AB43" s="14">
        <v>6545.58</v>
      </c>
      <c r="AC43" s="14">
        <v>8371.52</v>
      </c>
      <c r="AD43" s="14">
        <v>9196.52</v>
      </c>
      <c r="AE43" s="14">
        <v>10371.18</v>
      </c>
      <c r="AF43" s="14">
        <v>12116.5</v>
      </c>
      <c r="AG43" s="14">
        <v>12759.19</v>
      </c>
      <c r="AH43" s="14">
        <v>12759.19</v>
      </c>
      <c r="AI43" s="14">
        <v>13457.210000000001</v>
      </c>
    </row>
    <row r="44" spans="1:35">
      <c r="A44" s="5">
        <v>39</v>
      </c>
      <c r="B44" s="5">
        <v>25039</v>
      </c>
      <c r="C44" s="17" t="s">
        <v>88</v>
      </c>
      <c r="D44" s="5" t="s">
        <v>93</v>
      </c>
      <c r="E44" s="5" t="s">
        <v>17</v>
      </c>
      <c r="F44" s="5">
        <v>2024</v>
      </c>
      <c r="G44" s="6">
        <v>45352</v>
      </c>
      <c r="H44" s="5" t="s">
        <v>220</v>
      </c>
      <c r="I44" s="5" t="s">
        <v>177</v>
      </c>
      <c r="J44" s="16">
        <v>2153.52</v>
      </c>
      <c r="K44" s="16">
        <v>555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53.16</v>
      </c>
      <c r="T44" s="16">
        <v>647.66</v>
      </c>
      <c r="U44" s="16">
        <v>266.12</v>
      </c>
      <c r="V44" s="16">
        <v>631.58000000000004</v>
      </c>
      <c r="X44" s="14">
        <v>555</v>
      </c>
      <c r="Y44" s="14">
        <v>555</v>
      </c>
      <c r="Z44" s="14">
        <v>555</v>
      </c>
      <c r="AA44" s="14">
        <v>555</v>
      </c>
      <c r="AB44" s="14">
        <v>555</v>
      </c>
      <c r="AC44" s="14">
        <v>555</v>
      </c>
      <c r="AD44" s="14">
        <v>555</v>
      </c>
      <c r="AE44" s="14">
        <v>555</v>
      </c>
      <c r="AF44" s="14">
        <v>608.16</v>
      </c>
      <c r="AG44" s="14">
        <v>1255.82</v>
      </c>
      <c r="AH44" s="14">
        <v>1521.94</v>
      </c>
      <c r="AI44" s="14">
        <v>2153.52</v>
      </c>
    </row>
    <row r="45" spans="1:35" hidden="1">
      <c r="A45" s="5">
        <v>40</v>
      </c>
      <c r="B45" s="5">
        <v>25040</v>
      </c>
      <c r="C45" s="5" t="s">
        <v>166</v>
      </c>
      <c r="D45" s="5" t="s">
        <v>180</v>
      </c>
      <c r="E45" s="5" t="s">
        <v>19</v>
      </c>
      <c r="F45" s="5">
        <v>2023</v>
      </c>
      <c r="G45" s="6">
        <v>45200</v>
      </c>
      <c r="H45" s="5" t="s">
        <v>219</v>
      </c>
      <c r="I45" s="5" t="s">
        <v>177</v>
      </c>
      <c r="J45" s="16">
        <v>9408.99</v>
      </c>
      <c r="K45" s="16">
        <v>2500.9899999999998</v>
      </c>
      <c r="L45" s="16">
        <v>0</v>
      </c>
      <c r="M45" s="16">
        <v>1141.04</v>
      </c>
      <c r="N45" s="16">
        <v>0</v>
      </c>
      <c r="O45" s="16">
        <v>1891.13</v>
      </c>
      <c r="P45" s="16">
        <v>0</v>
      </c>
      <c r="Q45" s="16">
        <v>0</v>
      </c>
      <c r="R45" s="16">
        <v>1501.34</v>
      </c>
      <c r="S45" s="16">
        <v>0</v>
      </c>
      <c r="T45" s="16">
        <v>2374.4899999999998</v>
      </c>
      <c r="U45" s="16">
        <v>0</v>
      </c>
      <c r="V45" s="16">
        <v>0</v>
      </c>
      <c r="X45" s="14">
        <v>2500.9899999999998</v>
      </c>
      <c r="Y45" s="14">
        <v>2500.9899999999998</v>
      </c>
      <c r="Z45" s="14">
        <v>3642.0299999999997</v>
      </c>
      <c r="AA45" s="14">
        <v>3642.0299999999997</v>
      </c>
      <c r="AB45" s="14">
        <v>5533.16</v>
      </c>
      <c r="AC45" s="14">
        <v>5533.16</v>
      </c>
      <c r="AD45" s="14">
        <v>5533.16</v>
      </c>
      <c r="AE45" s="14">
        <v>7034.5</v>
      </c>
      <c r="AF45" s="14">
        <v>7034.5</v>
      </c>
      <c r="AG45" s="14">
        <v>9408.99</v>
      </c>
      <c r="AH45" s="14">
        <v>9408.99</v>
      </c>
      <c r="AI45" s="14">
        <v>9408.99</v>
      </c>
    </row>
    <row r="46" spans="1:35" hidden="1">
      <c r="A46" s="5">
        <v>41</v>
      </c>
      <c r="B46" s="5">
        <v>25041</v>
      </c>
      <c r="C46" s="5" t="s">
        <v>155</v>
      </c>
      <c r="D46" s="5" t="s">
        <v>93</v>
      </c>
      <c r="E46" s="5" t="s">
        <v>17</v>
      </c>
      <c r="F46" s="5">
        <v>2023</v>
      </c>
      <c r="G46" s="6">
        <v>45231</v>
      </c>
      <c r="H46" s="5" t="s">
        <v>221</v>
      </c>
      <c r="I46" s="5" t="s">
        <v>141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</row>
    <row r="47" spans="1:35" hidden="1">
      <c r="A47" s="5">
        <v>42</v>
      </c>
      <c r="B47" s="5">
        <v>25042</v>
      </c>
      <c r="C47" s="5" t="s">
        <v>136</v>
      </c>
      <c r="D47" s="5" t="s">
        <v>180</v>
      </c>
      <c r="E47" s="5" t="s">
        <v>19</v>
      </c>
      <c r="F47" s="5">
        <v>2023</v>
      </c>
      <c r="G47" s="6">
        <v>45261</v>
      </c>
      <c r="H47" s="5" t="s">
        <v>222</v>
      </c>
      <c r="I47" s="5" t="s">
        <v>177</v>
      </c>
      <c r="J47" s="16">
        <v>63209.739999999991</v>
      </c>
      <c r="K47" s="16">
        <v>2505.9</v>
      </c>
      <c r="L47" s="16">
        <v>22244.01</v>
      </c>
      <c r="M47" s="16">
        <v>1236.2</v>
      </c>
      <c r="N47" s="16">
        <v>10277.219999999999</v>
      </c>
      <c r="O47" s="16">
        <v>2187.96</v>
      </c>
      <c r="P47" s="16">
        <v>905</v>
      </c>
      <c r="Q47" s="16">
        <v>6988.92</v>
      </c>
      <c r="R47" s="16">
        <v>5225.38</v>
      </c>
      <c r="S47" s="16">
        <v>1629.49</v>
      </c>
      <c r="T47" s="16">
        <v>3300</v>
      </c>
      <c r="U47" s="16">
        <v>6709.66</v>
      </c>
      <c r="V47" s="16">
        <v>0</v>
      </c>
      <c r="X47" s="14">
        <v>2505.9</v>
      </c>
      <c r="Y47" s="14">
        <v>24749.91</v>
      </c>
      <c r="Z47" s="14">
        <v>25986.11</v>
      </c>
      <c r="AA47" s="14">
        <v>36263.33</v>
      </c>
      <c r="AB47" s="14">
        <v>38451.29</v>
      </c>
      <c r="AC47" s="14">
        <v>39356.29</v>
      </c>
      <c r="AD47" s="14">
        <v>46345.21</v>
      </c>
      <c r="AE47" s="14">
        <v>51570.59</v>
      </c>
      <c r="AF47" s="14">
        <v>53200.079999999994</v>
      </c>
      <c r="AG47" s="14">
        <v>56500.079999999994</v>
      </c>
      <c r="AH47" s="14">
        <v>63209.739999999991</v>
      </c>
      <c r="AI47" s="14">
        <v>63209.739999999991</v>
      </c>
    </row>
    <row r="48" spans="1:35" hidden="1">
      <c r="A48" s="5">
        <v>43</v>
      </c>
      <c r="B48" s="5">
        <v>25043</v>
      </c>
      <c r="C48" s="5" t="s">
        <v>126</v>
      </c>
      <c r="D48" s="5" t="s">
        <v>180</v>
      </c>
      <c r="E48" s="5" t="s">
        <v>19</v>
      </c>
      <c r="F48" s="5">
        <v>2023</v>
      </c>
      <c r="G48" s="6">
        <v>45261</v>
      </c>
      <c r="H48" s="5" t="s">
        <v>222</v>
      </c>
      <c r="I48" s="5" t="s">
        <v>177</v>
      </c>
      <c r="J48" s="16">
        <v>3635</v>
      </c>
      <c r="K48" s="16">
        <v>0</v>
      </c>
      <c r="L48" s="16">
        <v>0</v>
      </c>
      <c r="M48" s="16">
        <v>1750.5</v>
      </c>
      <c r="N48" s="16">
        <v>0</v>
      </c>
      <c r="O48" s="16">
        <v>819.5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1065</v>
      </c>
      <c r="V48" s="16">
        <v>0</v>
      </c>
      <c r="X48" s="14">
        <v>0</v>
      </c>
      <c r="Y48" s="14">
        <v>0</v>
      </c>
      <c r="Z48" s="14">
        <v>1750.5</v>
      </c>
      <c r="AA48" s="14">
        <v>1750.5</v>
      </c>
      <c r="AB48" s="14">
        <v>2570</v>
      </c>
      <c r="AC48" s="14">
        <v>2570</v>
      </c>
      <c r="AD48" s="14">
        <v>2570</v>
      </c>
      <c r="AE48" s="14">
        <v>2570</v>
      </c>
      <c r="AF48" s="14">
        <v>2570</v>
      </c>
      <c r="AG48" s="14">
        <v>2570</v>
      </c>
      <c r="AH48" s="14">
        <v>3635</v>
      </c>
      <c r="AI48" s="14">
        <v>3635</v>
      </c>
    </row>
    <row r="49" spans="1:35">
      <c r="A49" s="5">
        <v>44</v>
      </c>
      <c r="B49" s="5">
        <v>25044</v>
      </c>
      <c r="C49" s="17" t="s">
        <v>90</v>
      </c>
      <c r="D49" s="5" t="s">
        <v>93</v>
      </c>
      <c r="E49" s="5" t="s">
        <v>17</v>
      </c>
      <c r="F49" s="5">
        <v>2024</v>
      </c>
      <c r="G49" s="6">
        <v>45292</v>
      </c>
      <c r="H49" s="5" t="s">
        <v>223</v>
      </c>
      <c r="I49" s="5" t="s">
        <v>177</v>
      </c>
      <c r="J49" s="16">
        <v>26752.850000000002</v>
      </c>
      <c r="K49" s="16">
        <v>1073.68</v>
      </c>
      <c r="L49" s="16">
        <v>1565.32</v>
      </c>
      <c r="M49" s="16">
        <v>0</v>
      </c>
      <c r="N49" s="16">
        <v>3571.83</v>
      </c>
      <c r="O49" s="16">
        <v>2524.64</v>
      </c>
      <c r="P49" s="16">
        <v>6349.36</v>
      </c>
      <c r="Q49" s="16">
        <v>0</v>
      </c>
      <c r="R49" s="16">
        <v>2324.42</v>
      </c>
      <c r="S49" s="16">
        <v>1594.97</v>
      </c>
      <c r="T49" s="16">
        <v>3957.02</v>
      </c>
      <c r="U49" s="16">
        <v>1981.65</v>
      </c>
      <c r="V49" s="16">
        <v>1809.96</v>
      </c>
      <c r="X49" s="14">
        <v>1073.68</v>
      </c>
      <c r="Y49" s="14">
        <v>2639</v>
      </c>
      <c r="Z49" s="14">
        <v>2639</v>
      </c>
      <c r="AA49" s="14">
        <v>6210.83</v>
      </c>
      <c r="AB49" s="14">
        <v>8735.4699999999993</v>
      </c>
      <c r="AC49" s="14">
        <v>15084.829999999998</v>
      </c>
      <c r="AD49" s="14">
        <v>15084.829999999998</v>
      </c>
      <c r="AE49" s="14">
        <v>17409.25</v>
      </c>
      <c r="AF49" s="14">
        <v>19004.22</v>
      </c>
      <c r="AG49" s="14">
        <v>22961.24</v>
      </c>
      <c r="AH49" s="14">
        <v>24942.890000000003</v>
      </c>
      <c r="AI49" s="14">
        <v>26752.850000000002</v>
      </c>
    </row>
    <row r="50" spans="1:35" hidden="1">
      <c r="A50" s="5">
        <v>45</v>
      </c>
      <c r="B50" s="5">
        <v>25045</v>
      </c>
      <c r="C50" s="17" t="s">
        <v>77</v>
      </c>
      <c r="D50" s="5" t="s">
        <v>93</v>
      </c>
      <c r="E50" s="5" t="s">
        <v>16</v>
      </c>
      <c r="F50" s="5">
        <v>2024</v>
      </c>
      <c r="G50" s="6">
        <v>45323</v>
      </c>
      <c r="H50" s="5" t="s">
        <v>224</v>
      </c>
      <c r="I50" s="5" t="s">
        <v>177</v>
      </c>
      <c r="J50" s="16">
        <v>5838.02</v>
      </c>
      <c r="K50" s="16">
        <v>0</v>
      </c>
      <c r="L50" s="16">
        <v>5838.02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X50" s="14">
        <v>0</v>
      </c>
      <c r="Y50" s="14">
        <v>5838.02</v>
      </c>
      <c r="Z50" s="14">
        <v>5838.02</v>
      </c>
      <c r="AA50" s="14">
        <v>5838.02</v>
      </c>
      <c r="AB50" s="14">
        <v>5838.02</v>
      </c>
      <c r="AC50" s="14">
        <v>5838.02</v>
      </c>
      <c r="AD50" s="14">
        <v>5838.02</v>
      </c>
      <c r="AE50" s="14">
        <v>5838.02</v>
      </c>
      <c r="AF50" s="14">
        <v>5838.02</v>
      </c>
      <c r="AG50" s="14">
        <v>5838.02</v>
      </c>
      <c r="AH50" s="14">
        <v>5838.02</v>
      </c>
      <c r="AI50" s="14">
        <v>5838.02</v>
      </c>
    </row>
    <row r="51" spans="1:35" hidden="1">
      <c r="B51" s="5">
        <v>25046</v>
      </c>
      <c r="C51" s="17" t="s">
        <v>109</v>
      </c>
      <c r="D51" s="5" t="s">
        <v>178</v>
      </c>
      <c r="E51" s="5" t="s">
        <v>18</v>
      </c>
      <c r="F51" s="5">
        <v>2024</v>
      </c>
      <c r="G51" s="6">
        <v>45383</v>
      </c>
      <c r="H51" s="5" t="s">
        <v>225</v>
      </c>
      <c r="I51" s="5" t="s">
        <v>177</v>
      </c>
      <c r="J51" s="16">
        <v>1551.69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1551.69</v>
      </c>
      <c r="U51" s="16">
        <v>0</v>
      </c>
      <c r="V51" s="16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1551.69</v>
      </c>
      <c r="AH51" s="14">
        <v>1551.69</v>
      </c>
      <c r="AI51" s="14">
        <v>1551.69</v>
      </c>
    </row>
    <row r="52" spans="1:35" hidden="1">
      <c r="B52" s="5">
        <v>25047</v>
      </c>
      <c r="C52" s="17" t="s">
        <v>129</v>
      </c>
      <c r="D52" s="5" t="s">
        <v>180</v>
      </c>
      <c r="E52" s="5" t="s">
        <v>19</v>
      </c>
      <c r="F52" s="5">
        <v>2024</v>
      </c>
      <c r="G52" s="6">
        <v>45413</v>
      </c>
      <c r="H52" s="5" t="s">
        <v>226</v>
      </c>
      <c r="I52" s="5" t="s">
        <v>177</v>
      </c>
      <c r="J52" s="16">
        <v>29214.710000000003</v>
      </c>
      <c r="K52" s="16">
        <v>13441.37</v>
      </c>
      <c r="L52" s="16">
        <v>3110.4</v>
      </c>
      <c r="M52" s="16">
        <v>0</v>
      </c>
      <c r="N52" s="16">
        <v>1742.52</v>
      </c>
      <c r="O52" s="16">
        <v>1855.24</v>
      </c>
      <c r="P52" s="16">
        <v>0</v>
      </c>
      <c r="Q52" s="16">
        <v>5024.95</v>
      </c>
      <c r="R52" s="16">
        <v>332.01</v>
      </c>
      <c r="S52" s="16">
        <v>0</v>
      </c>
      <c r="T52" s="16">
        <v>490.72</v>
      </c>
      <c r="U52" s="16">
        <v>3217.5</v>
      </c>
      <c r="V52" s="16">
        <v>0</v>
      </c>
      <c r="X52" s="14">
        <v>13441.37</v>
      </c>
      <c r="Y52" s="14">
        <v>16551.77</v>
      </c>
      <c r="Z52" s="14">
        <v>16551.77</v>
      </c>
      <c r="AA52" s="14">
        <v>18294.29</v>
      </c>
      <c r="AB52" s="14">
        <v>20149.530000000002</v>
      </c>
      <c r="AC52" s="14">
        <v>20149.530000000002</v>
      </c>
      <c r="AD52" s="14">
        <v>25174.480000000003</v>
      </c>
      <c r="AE52" s="14">
        <v>25506.49</v>
      </c>
      <c r="AF52" s="14">
        <v>25506.49</v>
      </c>
      <c r="AG52" s="14">
        <v>25997.210000000003</v>
      </c>
      <c r="AH52" s="14">
        <v>29214.710000000003</v>
      </c>
      <c r="AI52" s="14">
        <v>29214.710000000003</v>
      </c>
    </row>
    <row r="53" spans="1:35" hidden="1">
      <c r="B53" s="5">
        <v>25049</v>
      </c>
      <c r="C53" s="17" t="s">
        <v>78</v>
      </c>
      <c r="D53" s="5" t="s">
        <v>93</v>
      </c>
      <c r="E53" s="5" t="s">
        <v>16</v>
      </c>
      <c r="F53" s="5">
        <v>2024</v>
      </c>
      <c r="G53" s="6">
        <v>45413</v>
      </c>
      <c r="H53" s="5" t="s">
        <v>226</v>
      </c>
      <c r="I53" s="5" t="s">
        <v>177</v>
      </c>
      <c r="J53" s="16">
        <v>14251.070000000002</v>
      </c>
      <c r="K53" s="16">
        <v>0</v>
      </c>
      <c r="L53" s="16">
        <v>2102.0100000000002</v>
      </c>
      <c r="M53" s="16">
        <v>0</v>
      </c>
      <c r="N53" s="16">
        <v>681.45</v>
      </c>
      <c r="O53" s="16">
        <v>0</v>
      </c>
      <c r="P53" s="16">
        <v>452.06</v>
      </c>
      <c r="Q53" s="16">
        <v>1430</v>
      </c>
      <c r="R53" s="16">
        <v>550.92999999999995</v>
      </c>
      <c r="S53" s="16">
        <v>2871.2</v>
      </c>
      <c r="T53" s="16">
        <v>1745</v>
      </c>
      <c r="U53" s="16">
        <v>0</v>
      </c>
      <c r="V53" s="16">
        <v>4418.42</v>
      </c>
      <c r="X53" s="14">
        <v>0</v>
      </c>
      <c r="Y53" s="14">
        <v>2102.0100000000002</v>
      </c>
      <c r="Z53" s="14">
        <v>2102.0100000000002</v>
      </c>
      <c r="AA53" s="14">
        <v>2783.46</v>
      </c>
      <c r="AB53" s="14">
        <v>2783.46</v>
      </c>
      <c r="AC53" s="14">
        <v>3235.52</v>
      </c>
      <c r="AD53" s="14">
        <v>4665.5200000000004</v>
      </c>
      <c r="AE53" s="14">
        <v>5216.4500000000007</v>
      </c>
      <c r="AF53" s="14">
        <v>8087.6500000000005</v>
      </c>
      <c r="AG53" s="14">
        <v>9832.6500000000015</v>
      </c>
      <c r="AH53" s="14">
        <v>9832.6500000000015</v>
      </c>
      <c r="AI53" s="14">
        <v>14251.070000000002</v>
      </c>
    </row>
    <row r="54" spans="1:35">
      <c r="B54" s="5">
        <v>25050</v>
      </c>
      <c r="C54" s="17" t="s">
        <v>91</v>
      </c>
      <c r="D54" s="5" t="s">
        <v>93</v>
      </c>
      <c r="E54" s="5" t="s">
        <v>17</v>
      </c>
      <c r="F54" s="5">
        <v>2024</v>
      </c>
      <c r="G54" s="6">
        <v>45444</v>
      </c>
      <c r="H54" s="5" t="s">
        <v>227</v>
      </c>
      <c r="I54" s="5" t="s">
        <v>177</v>
      </c>
      <c r="J54" s="16">
        <v>7207.32</v>
      </c>
      <c r="K54" s="16">
        <v>0</v>
      </c>
      <c r="L54" s="16">
        <v>750.82</v>
      </c>
      <c r="M54" s="16">
        <v>0</v>
      </c>
      <c r="N54" s="16">
        <v>0</v>
      </c>
      <c r="O54" s="16">
        <v>2704.72</v>
      </c>
      <c r="P54" s="16">
        <v>0</v>
      </c>
      <c r="Q54" s="16">
        <v>0</v>
      </c>
      <c r="R54" s="16">
        <v>0</v>
      </c>
      <c r="S54" s="16">
        <v>1508</v>
      </c>
      <c r="T54" s="16">
        <v>544</v>
      </c>
      <c r="U54" s="16">
        <v>375</v>
      </c>
      <c r="V54" s="16">
        <v>1324.78</v>
      </c>
      <c r="X54" s="14">
        <v>0</v>
      </c>
      <c r="Y54" s="14">
        <v>750.82</v>
      </c>
      <c r="Z54" s="14">
        <v>750.82</v>
      </c>
      <c r="AA54" s="14">
        <v>750.82</v>
      </c>
      <c r="AB54" s="14">
        <v>3455.54</v>
      </c>
      <c r="AC54" s="14">
        <v>3455.54</v>
      </c>
      <c r="AD54" s="14">
        <v>3455.54</v>
      </c>
      <c r="AE54" s="14">
        <v>3455.54</v>
      </c>
      <c r="AF54" s="14">
        <v>4963.54</v>
      </c>
      <c r="AG54" s="14">
        <v>5507.54</v>
      </c>
      <c r="AH54" s="14">
        <v>5882.54</v>
      </c>
      <c r="AI54" s="14">
        <v>7207.32</v>
      </c>
    </row>
    <row r="55" spans="1:35" hidden="1">
      <c r="B55" s="5">
        <v>25052</v>
      </c>
      <c r="C55" s="17" t="s">
        <v>110</v>
      </c>
      <c r="D55" s="5" t="s">
        <v>178</v>
      </c>
      <c r="E55" s="5" t="s">
        <v>18</v>
      </c>
      <c r="F55" s="5">
        <v>2024</v>
      </c>
      <c r="G55" s="6">
        <v>45474</v>
      </c>
      <c r="H55" s="5" t="s">
        <v>228</v>
      </c>
      <c r="I55" s="5" t="s">
        <v>177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</row>
    <row r="56" spans="1:35" hidden="1">
      <c r="B56" s="5">
        <v>25053</v>
      </c>
      <c r="C56" s="17" t="s">
        <v>111</v>
      </c>
      <c r="D56" s="5" t="s">
        <v>178</v>
      </c>
      <c r="E56" s="5" t="s">
        <v>18</v>
      </c>
      <c r="F56" s="5">
        <v>2024</v>
      </c>
      <c r="G56" s="6">
        <v>45505</v>
      </c>
      <c r="H56" s="5" t="s">
        <v>229</v>
      </c>
      <c r="I56" s="5" t="s">
        <v>177</v>
      </c>
      <c r="J56" s="16">
        <v>1846.6399999999999</v>
      </c>
      <c r="K56" s="16">
        <v>0</v>
      </c>
      <c r="L56" s="16">
        <v>0</v>
      </c>
      <c r="M56" s="16">
        <v>0</v>
      </c>
      <c r="N56" s="16">
        <v>1232.8599999999999</v>
      </c>
      <c r="O56" s="16">
        <v>0</v>
      </c>
      <c r="P56" s="16">
        <v>613.78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X56" s="14">
        <v>0</v>
      </c>
      <c r="Y56" s="14">
        <v>0</v>
      </c>
      <c r="Z56" s="14">
        <v>0</v>
      </c>
      <c r="AA56" s="14">
        <v>1232.8599999999999</v>
      </c>
      <c r="AB56" s="14">
        <v>1232.8599999999999</v>
      </c>
      <c r="AC56" s="14">
        <v>1846.6399999999999</v>
      </c>
      <c r="AD56" s="14">
        <v>1846.6399999999999</v>
      </c>
      <c r="AE56" s="14">
        <v>1846.6399999999999</v>
      </c>
      <c r="AF56" s="14">
        <v>1846.6399999999999</v>
      </c>
      <c r="AG56" s="14">
        <v>1846.6399999999999</v>
      </c>
      <c r="AH56" s="14">
        <v>1846.6399999999999</v>
      </c>
      <c r="AI56" s="14">
        <v>1846.6399999999999</v>
      </c>
    </row>
    <row r="57" spans="1:35" hidden="1">
      <c r="B57" s="5">
        <v>25054</v>
      </c>
      <c r="C57" s="17" t="s">
        <v>92</v>
      </c>
      <c r="D57" s="5" t="s">
        <v>180</v>
      </c>
      <c r="E57" s="5" t="s">
        <v>19</v>
      </c>
      <c r="F57" s="5">
        <v>2024</v>
      </c>
      <c r="G57" s="6">
        <v>45505</v>
      </c>
      <c r="H57" s="5" t="s">
        <v>229</v>
      </c>
      <c r="I57" s="5" t="s">
        <v>177</v>
      </c>
      <c r="J57" s="16">
        <v>26549.660000000003</v>
      </c>
      <c r="K57" s="16">
        <v>0</v>
      </c>
      <c r="L57" s="16">
        <v>2904.5</v>
      </c>
      <c r="M57" s="16">
        <v>318</v>
      </c>
      <c r="N57" s="16">
        <v>401.3</v>
      </c>
      <c r="O57" s="16">
        <v>3641</v>
      </c>
      <c r="P57" s="16">
        <v>0</v>
      </c>
      <c r="Q57" s="16">
        <v>4637.68</v>
      </c>
      <c r="R57" s="16">
        <v>247.29</v>
      </c>
      <c r="S57" s="16">
        <v>3346.9</v>
      </c>
      <c r="T57" s="16">
        <v>4093.41</v>
      </c>
      <c r="U57" s="16">
        <v>6959.58</v>
      </c>
      <c r="V57" s="16">
        <v>0</v>
      </c>
      <c r="X57" s="14">
        <v>0</v>
      </c>
      <c r="Y57" s="14">
        <v>2904.5</v>
      </c>
      <c r="Z57" s="14">
        <v>3222.5</v>
      </c>
      <c r="AA57" s="14">
        <v>3623.8</v>
      </c>
      <c r="AB57" s="14">
        <v>7264.8</v>
      </c>
      <c r="AC57" s="14">
        <v>7264.8</v>
      </c>
      <c r="AD57" s="14">
        <v>11902.48</v>
      </c>
      <c r="AE57" s="14">
        <v>12149.77</v>
      </c>
      <c r="AF57" s="14">
        <v>15496.67</v>
      </c>
      <c r="AG57" s="14">
        <v>19590.080000000002</v>
      </c>
      <c r="AH57" s="14">
        <v>26549.660000000003</v>
      </c>
      <c r="AI57" s="14">
        <v>26549.660000000003</v>
      </c>
    </row>
    <row r="58" spans="1:35" hidden="1">
      <c r="B58" s="5">
        <v>25055</v>
      </c>
      <c r="C58" s="17" t="s">
        <v>130</v>
      </c>
      <c r="D58" s="5" t="s">
        <v>180</v>
      </c>
      <c r="E58" s="5" t="s">
        <v>19</v>
      </c>
      <c r="F58" s="5">
        <v>2024</v>
      </c>
      <c r="G58" s="6">
        <v>45536</v>
      </c>
      <c r="H58" s="5" t="s">
        <v>230</v>
      </c>
      <c r="I58" s="5" t="s">
        <v>177</v>
      </c>
      <c r="J58" s="16">
        <v>3791.52</v>
      </c>
      <c r="K58" s="16">
        <v>0</v>
      </c>
      <c r="L58" s="16">
        <v>0</v>
      </c>
      <c r="M58" s="16">
        <v>0</v>
      </c>
      <c r="N58" s="16">
        <v>2486.5</v>
      </c>
      <c r="O58" s="16">
        <v>0</v>
      </c>
      <c r="P58" s="16">
        <v>0</v>
      </c>
      <c r="Q58" s="16">
        <v>0</v>
      </c>
      <c r="R58" s="16">
        <v>0</v>
      </c>
      <c r="S58" s="16">
        <v>1305.02</v>
      </c>
      <c r="T58" s="16">
        <v>0</v>
      </c>
      <c r="U58" s="16">
        <v>0</v>
      </c>
      <c r="V58" s="16">
        <v>0</v>
      </c>
      <c r="X58" s="14">
        <v>0</v>
      </c>
      <c r="Y58" s="14">
        <v>0</v>
      </c>
      <c r="Z58" s="14">
        <v>0</v>
      </c>
      <c r="AA58" s="14">
        <v>2486.5</v>
      </c>
      <c r="AB58" s="14">
        <v>2486.5</v>
      </c>
      <c r="AC58" s="14">
        <v>2486.5</v>
      </c>
      <c r="AD58" s="14">
        <v>2486.5</v>
      </c>
      <c r="AE58" s="14">
        <v>2486.5</v>
      </c>
      <c r="AF58" s="14">
        <v>3791.52</v>
      </c>
      <c r="AG58" s="14">
        <v>3791.52</v>
      </c>
      <c r="AH58" s="14">
        <v>3791.52</v>
      </c>
      <c r="AI58" s="14">
        <v>3791.52</v>
      </c>
    </row>
    <row r="59" spans="1:35">
      <c r="B59" s="5">
        <v>25056</v>
      </c>
      <c r="C59" s="17" t="s">
        <v>94</v>
      </c>
      <c r="D59" s="5" t="s">
        <v>93</v>
      </c>
      <c r="E59" s="5" t="s">
        <v>17</v>
      </c>
      <c r="F59" s="5">
        <v>2024</v>
      </c>
      <c r="G59" s="6">
        <v>45536</v>
      </c>
      <c r="H59" s="5" t="s">
        <v>230</v>
      </c>
      <c r="I59" s="5" t="s">
        <v>177</v>
      </c>
      <c r="J59" s="16">
        <v>35149.620000000003</v>
      </c>
      <c r="K59" s="16">
        <v>4657.18</v>
      </c>
      <c r="L59" s="16">
        <v>5886</v>
      </c>
      <c r="M59" s="16">
        <v>0</v>
      </c>
      <c r="N59" s="16">
        <v>0</v>
      </c>
      <c r="O59" s="16">
        <v>0</v>
      </c>
      <c r="P59" s="16">
        <v>5025</v>
      </c>
      <c r="Q59" s="16">
        <v>5234.8599999999997</v>
      </c>
      <c r="R59" s="16">
        <v>0</v>
      </c>
      <c r="S59" s="16">
        <v>5859</v>
      </c>
      <c r="T59" s="16">
        <v>2871.04</v>
      </c>
      <c r="U59" s="16">
        <v>1496.04</v>
      </c>
      <c r="V59" s="16">
        <v>4120.5</v>
      </c>
      <c r="X59" s="14">
        <v>4657.18</v>
      </c>
      <c r="Y59" s="14">
        <v>10543.18</v>
      </c>
      <c r="Z59" s="14">
        <v>10543.18</v>
      </c>
      <c r="AA59" s="14">
        <v>10543.18</v>
      </c>
      <c r="AB59" s="14">
        <v>10543.18</v>
      </c>
      <c r="AC59" s="14">
        <v>15568.18</v>
      </c>
      <c r="AD59" s="14">
        <v>20803.04</v>
      </c>
      <c r="AE59" s="14">
        <v>20803.04</v>
      </c>
      <c r="AF59" s="14">
        <v>26662.04</v>
      </c>
      <c r="AG59" s="14">
        <v>29533.08</v>
      </c>
      <c r="AH59" s="14">
        <v>31029.120000000003</v>
      </c>
      <c r="AI59" s="14">
        <v>35149.620000000003</v>
      </c>
    </row>
    <row r="60" spans="1:35" hidden="1">
      <c r="B60" s="11">
        <v>25057</v>
      </c>
      <c r="C60" s="11" t="s">
        <v>156</v>
      </c>
      <c r="D60" s="5" t="s">
        <v>93</v>
      </c>
      <c r="E60" s="5" t="s">
        <v>17</v>
      </c>
      <c r="F60" s="5">
        <v>2024</v>
      </c>
      <c r="G60" s="6">
        <v>45566</v>
      </c>
      <c r="H60" s="5" t="s">
        <v>231</v>
      </c>
      <c r="I60" s="5" t="s">
        <v>141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</row>
    <row r="61" spans="1:35" hidden="1">
      <c r="B61" s="12">
        <v>25058</v>
      </c>
      <c r="C61" s="18" t="s">
        <v>112</v>
      </c>
      <c r="D61" s="5" t="s">
        <v>178</v>
      </c>
      <c r="E61" s="5" t="s">
        <v>18</v>
      </c>
      <c r="F61" s="5">
        <v>2024</v>
      </c>
      <c r="G61" s="6">
        <v>45566</v>
      </c>
      <c r="H61" s="5" t="s">
        <v>231</v>
      </c>
      <c r="I61" s="5" t="s">
        <v>177</v>
      </c>
      <c r="J61" s="16">
        <v>3996</v>
      </c>
      <c r="K61" s="16">
        <v>0</v>
      </c>
      <c r="L61" s="16">
        <v>641.55999999999995</v>
      </c>
      <c r="M61" s="16">
        <v>0</v>
      </c>
      <c r="N61" s="16">
        <v>1391.72</v>
      </c>
      <c r="O61" s="16">
        <v>561</v>
      </c>
      <c r="P61" s="16">
        <v>0</v>
      </c>
      <c r="Q61" s="16">
        <v>0</v>
      </c>
      <c r="R61" s="16">
        <v>559.86</v>
      </c>
      <c r="S61" s="16">
        <v>0</v>
      </c>
      <c r="T61" s="16">
        <v>0</v>
      </c>
      <c r="U61" s="16">
        <v>425.5</v>
      </c>
      <c r="V61" s="16">
        <v>416.36</v>
      </c>
      <c r="X61" s="14">
        <v>0</v>
      </c>
      <c r="Y61" s="14">
        <v>641.55999999999995</v>
      </c>
      <c r="Z61" s="14">
        <v>641.55999999999995</v>
      </c>
      <c r="AA61" s="14">
        <v>2033.28</v>
      </c>
      <c r="AB61" s="14">
        <v>2594.2799999999997</v>
      </c>
      <c r="AC61" s="14">
        <v>2594.2799999999997</v>
      </c>
      <c r="AD61" s="14">
        <v>2594.2799999999997</v>
      </c>
      <c r="AE61" s="14">
        <v>3154.14</v>
      </c>
      <c r="AF61" s="14">
        <v>3154.14</v>
      </c>
      <c r="AG61" s="14">
        <v>3154.14</v>
      </c>
      <c r="AH61" s="14">
        <v>3579.64</v>
      </c>
      <c r="AI61" s="14">
        <v>3996</v>
      </c>
    </row>
    <row r="62" spans="1:35" hidden="1">
      <c r="B62" s="5">
        <v>25059</v>
      </c>
      <c r="C62" s="5" t="s">
        <v>113</v>
      </c>
      <c r="D62" s="5" t="s">
        <v>178</v>
      </c>
      <c r="E62" s="5" t="s">
        <v>18</v>
      </c>
      <c r="F62" s="5">
        <v>2024</v>
      </c>
      <c r="G62" s="6">
        <v>45627</v>
      </c>
      <c r="H62" s="5" t="s">
        <v>232</v>
      </c>
      <c r="I62" s="5" t="s">
        <v>177</v>
      </c>
      <c r="J62" s="16">
        <v>5002.82</v>
      </c>
      <c r="K62" s="16">
        <v>2300.86</v>
      </c>
      <c r="L62" s="16">
        <v>0</v>
      </c>
      <c r="M62" s="16">
        <v>0</v>
      </c>
      <c r="N62" s="16">
        <v>1705.94</v>
      </c>
      <c r="O62" s="16">
        <v>0</v>
      </c>
      <c r="P62" s="16">
        <v>0</v>
      </c>
      <c r="Q62" s="16">
        <v>0</v>
      </c>
      <c r="R62" s="16">
        <v>0</v>
      </c>
      <c r="S62" s="16">
        <v>996.02</v>
      </c>
      <c r="T62" s="16">
        <v>0</v>
      </c>
      <c r="U62" s="16">
        <v>0</v>
      </c>
      <c r="V62" s="16">
        <v>0</v>
      </c>
      <c r="X62" s="14">
        <v>2300.86</v>
      </c>
      <c r="Y62" s="14">
        <v>2300.86</v>
      </c>
      <c r="Z62" s="14">
        <v>2300.86</v>
      </c>
      <c r="AA62" s="14">
        <v>4006.8</v>
      </c>
      <c r="AB62" s="14">
        <v>4006.8</v>
      </c>
      <c r="AC62" s="14">
        <v>4006.8</v>
      </c>
      <c r="AD62" s="14">
        <v>4006.8</v>
      </c>
      <c r="AE62" s="14">
        <v>4006.8</v>
      </c>
      <c r="AF62" s="14">
        <v>5002.82</v>
      </c>
      <c r="AG62" s="14">
        <v>5002.82</v>
      </c>
      <c r="AH62" s="14">
        <v>5002.82</v>
      </c>
      <c r="AI62" s="14">
        <v>5002.82</v>
      </c>
    </row>
    <row r="63" spans="1:35" hidden="1">
      <c r="B63" s="5">
        <v>25060</v>
      </c>
      <c r="C63" s="5" t="s">
        <v>99</v>
      </c>
      <c r="D63" s="5" t="s">
        <v>180</v>
      </c>
      <c r="E63" s="5" t="s">
        <v>19</v>
      </c>
      <c r="F63" s="5">
        <v>2025</v>
      </c>
      <c r="G63" s="6">
        <v>45658</v>
      </c>
      <c r="H63" s="5" t="s">
        <v>233</v>
      </c>
      <c r="I63" s="5" t="s">
        <v>177</v>
      </c>
      <c r="J63" s="16">
        <v>10814.48</v>
      </c>
      <c r="K63" s="16">
        <v>4921.83</v>
      </c>
      <c r="L63" s="16">
        <v>0</v>
      </c>
      <c r="M63" s="16">
        <v>200</v>
      </c>
      <c r="N63" s="16">
        <v>0</v>
      </c>
      <c r="O63" s="16">
        <v>2007.31</v>
      </c>
      <c r="P63" s="16">
        <v>2957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728.34</v>
      </c>
      <c r="X63" s="14">
        <v>4921.83</v>
      </c>
      <c r="Y63" s="14">
        <v>4921.83</v>
      </c>
      <c r="Z63" s="14">
        <v>5121.83</v>
      </c>
      <c r="AA63" s="14">
        <v>5121.83</v>
      </c>
      <c r="AB63" s="14">
        <v>7129.1399999999994</v>
      </c>
      <c r="AC63" s="14">
        <v>10086.14</v>
      </c>
      <c r="AD63" s="14">
        <v>10086.14</v>
      </c>
      <c r="AE63" s="14">
        <v>10086.14</v>
      </c>
      <c r="AF63" s="14">
        <v>10086.14</v>
      </c>
      <c r="AG63" s="14">
        <v>10086.14</v>
      </c>
      <c r="AH63" s="14">
        <v>10086.14</v>
      </c>
      <c r="AI63" s="14">
        <v>10814.48</v>
      </c>
    </row>
    <row r="64" spans="1:35" hidden="1">
      <c r="B64" s="5">
        <v>25061</v>
      </c>
      <c r="C64" s="5" t="s">
        <v>80</v>
      </c>
      <c r="D64" s="5" t="s">
        <v>93</v>
      </c>
      <c r="E64" s="5" t="s">
        <v>16</v>
      </c>
      <c r="F64" s="5">
        <v>2025</v>
      </c>
      <c r="G64" s="6">
        <v>45689</v>
      </c>
      <c r="H64" s="5" t="s">
        <v>234</v>
      </c>
      <c r="I64" s="5" t="s">
        <v>177</v>
      </c>
      <c r="J64" s="16">
        <v>6871.7900000000009</v>
      </c>
      <c r="K64" s="16">
        <v>0</v>
      </c>
      <c r="L64" s="16">
        <v>1676.92</v>
      </c>
      <c r="M64" s="16">
        <v>3489.25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392.35</v>
      </c>
      <c r="T64" s="16">
        <v>677.79</v>
      </c>
      <c r="U64" s="16">
        <v>0</v>
      </c>
      <c r="V64" s="16">
        <v>635.48</v>
      </c>
      <c r="X64" s="14">
        <v>0</v>
      </c>
      <c r="Y64" s="14">
        <v>1676.92</v>
      </c>
      <c r="Z64" s="14">
        <v>5166.17</v>
      </c>
      <c r="AA64" s="14">
        <v>5166.17</v>
      </c>
      <c r="AB64" s="14">
        <v>5166.17</v>
      </c>
      <c r="AC64" s="14">
        <v>5166.17</v>
      </c>
      <c r="AD64" s="14">
        <v>5166.17</v>
      </c>
      <c r="AE64" s="14">
        <v>5166.17</v>
      </c>
      <c r="AF64" s="14">
        <v>5558.52</v>
      </c>
      <c r="AG64" s="14">
        <v>6236.31</v>
      </c>
      <c r="AH64" s="14">
        <v>6236.31</v>
      </c>
      <c r="AI64" s="14">
        <v>6871.7900000000009</v>
      </c>
    </row>
    <row r="65" spans="2:35" hidden="1">
      <c r="B65" s="5">
        <v>25062</v>
      </c>
      <c r="C65" s="5" t="s">
        <v>81</v>
      </c>
      <c r="D65" s="5" t="s">
        <v>93</v>
      </c>
      <c r="E65" s="5" t="s">
        <v>16</v>
      </c>
      <c r="F65" s="5">
        <v>2025</v>
      </c>
      <c r="G65" s="6">
        <v>45717</v>
      </c>
      <c r="H65" s="5" t="s">
        <v>235</v>
      </c>
      <c r="I65" s="5" t="s">
        <v>177</v>
      </c>
      <c r="J65" s="16">
        <v>3844.76</v>
      </c>
      <c r="K65" s="16">
        <v>0</v>
      </c>
      <c r="L65" s="16">
        <v>0</v>
      </c>
      <c r="M65" s="16">
        <v>1431.8</v>
      </c>
      <c r="N65" s="16">
        <v>412.08</v>
      </c>
      <c r="O65" s="16">
        <v>0</v>
      </c>
      <c r="P65" s="16">
        <v>0</v>
      </c>
      <c r="Q65" s="16">
        <v>377</v>
      </c>
      <c r="R65" s="16">
        <v>0</v>
      </c>
      <c r="S65" s="16">
        <v>1016.4</v>
      </c>
      <c r="T65" s="16">
        <v>250</v>
      </c>
      <c r="U65" s="16">
        <v>0</v>
      </c>
      <c r="V65" s="16">
        <v>357.48</v>
      </c>
      <c r="X65" s="14">
        <v>0</v>
      </c>
      <c r="Y65" s="14">
        <v>0</v>
      </c>
      <c r="Z65" s="14">
        <v>1431.8</v>
      </c>
      <c r="AA65" s="14">
        <v>1843.8799999999999</v>
      </c>
      <c r="AB65" s="14">
        <v>1843.8799999999999</v>
      </c>
      <c r="AC65" s="14">
        <v>1843.8799999999999</v>
      </c>
      <c r="AD65" s="14">
        <v>2220.88</v>
      </c>
      <c r="AE65" s="14">
        <v>2220.88</v>
      </c>
      <c r="AF65" s="14">
        <v>3237.28</v>
      </c>
      <c r="AG65" s="14">
        <v>3487.28</v>
      </c>
      <c r="AH65" s="14">
        <v>3487.28</v>
      </c>
      <c r="AI65" s="14">
        <v>3844.76</v>
      </c>
    </row>
    <row r="66" spans="2:35" hidden="1">
      <c r="B66" s="5">
        <v>25063</v>
      </c>
      <c r="C66" s="5" t="s">
        <v>131</v>
      </c>
      <c r="D66" s="5" t="s">
        <v>180</v>
      </c>
      <c r="E66" s="5" t="s">
        <v>19</v>
      </c>
      <c r="F66" s="5">
        <v>2025</v>
      </c>
      <c r="G66" s="6">
        <v>45689</v>
      </c>
      <c r="H66" s="5" t="s">
        <v>234</v>
      </c>
      <c r="I66" s="5" t="s">
        <v>177</v>
      </c>
      <c r="J66" s="16">
        <v>7189.44</v>
      </c>
      <c r="K66" s="16">
        <v>0</v>
      </c>
      <c r="L66" s="16">
        <v>781.38</v>
      </c>
      <c r="M66" s="16">
        <v>1368.5</v>
      </c>
      <c r="N66" s="16">
        <v>1721.68</v>
      </c>
      <c r="O66" s="16">
        <v>413.82</v>
      </c>
      <c r="P66" s="16">
        <v>0</v>
      </c>
      <c r="Q66" s="16">
        <v>0</v>
      </c>
      <c r="R66" s="16">
        <v>0</v>
      </c>
      <c r="S66" s="16">
        <v>1276.54</v>
      </c>
      <c r="T66" s="16">
        <v>530.48</v>
      </c>
      <c r="U66" s="16">
        <v>476.36</v>
      </c>
      <c r="V66" s="16">
        <v>620.67999999999995</v>
      </c>
      <c r="X66" s="14">
        <v>0</v>
      </c>
      <c r="Y66" s="14">
        <v>781.38</v>
      </c>
      <c r="Z66" s="14">
        <v>2149.88</v>
      </c>
      <c r="AA66" s="14">
        <v>3871.5600000000004</v>
      </c>
      <c r="AB66" s="14">
        <v>4285.38</v>
      </c>
      <c r="AC66" s="14">
        <v>4285.38</v>
      </c>
      <c r="AD66" s="14">
        <v>4285.38</v>
      </c>
      <c r="AE66" s="14">
        <v>4285.38</v>
      </c>
      <c r="AF66" s="14">
        <v>5561.92</v>
      </c>
      <c r="AG66" s="14">
        <v>6092.4</v>
      </c>
      <c r="AH66" s="14">
        <v>6568.7599999999993</v>
      </c>
      <c r="AI66" s="14">
        <v>7189.44</v>
      </c>
    </row>
    <row r="67" spans="2:35" hidden="1">
      <c r="B67" s="5">
        <v>25064</v>
      </c>
      <c r="C67" s="5" t="s">
        <v>114</v>
      </c>
      <c r="D67" s="5" t="s">
        <v>178</v>
      </c>
      <c r="E67" s="5" t="s">
        <v>18</v>
      </c>
      <c r="F67" s="5">
        <v>2025</v>
      </c>
      <c r="G67" s="6">
        <v>45717</v>
      </c>
      <c r="H67" s="5" t="s">
        <v>235</v>
      </c>
      <c r="I67" s="5" t="s">
        <v>177</v>
      </c>
      <c r="J67" s="16">
        <v>2111.7600000000002</v>
      </c>
      <c r="K67" s="16">
        <v>0</v>
      </c>
      <c r="L67" s="16">
        <v>0</v>
      </c>
      <c r="M67" s="16">
        <v>1640.9</v>
      </c>
      <c r="N67" s="16">
        <v>0</v>
      </c>
      <c r="O67" s="16">
        <v>0</v>
      </c>
      <c r="P67" s="16">
        <v>0</v>
      </c>
      <c r="Q67" s="16">
        <v>0</v>
      </c>
      <c r="R67" s="16">
        <v>470.86</v>
      </c>
      <c r="S67" s="16">
        <v>0</v>
      </c>
      <c r="T67" s="16">
        <v>0</v>
      </c>
      <c r="U67" s="16">
        <v>0</v>
      </c>
      <c r="V67" s="16">
        <v>0</v>
      </c>
      <c r="X67" s="14">
        <v>0</v>
      </c>
      <c r="Y67" s="14">
        <v>0</v>
      </c>
      <c r="Z67" s="14">
        <v>1640.9</v>
      </c>
      <c r="AA67" s="14">
        <v>1640.9</v>
      </c>
      <c r="AB67" s="14">
        <v>1640.9</v>
      </c>
      <c r="AC67" s="14">
        <v>1640.9</v>
      </c>
      <c r="AD67" s="14">
        <v>1640.9</v>
      </c>
      <c r="AE67" s="14">
        <v>2111.7600000000002</v>
      </c>
      <c r="AF67" s="14">
        <v>2111.7600000000002</v>
      </c>
      <c r="AG67" s="14">
        <v>2111.7600000000002</v>
      </c>
      <c r="AH67" s="14">
        <v>2111.7600000000002</v>
      </c>
      <c r="AI67" s="14">
        <v>2111.7600000000002</v>
      </c>
    </row>
    <row r="68" spans="2:35" hidden="1">
      <c r="B68" s="5">
        <v>25065</v>
      </c>
      <c r="C68" s="5" t="s">
        <v>115</v>
      </c>
      <c r="D68" s="5" t="s">
        <v>178</v>
      </c>
      <c r="E68" s="5" t="s">
        <v>18</v>
      </c>
      <c r="F68" s="5">
        <v>2025</v>
      </c>
      <c r="G68" s="6">
        <v>45748</v>
      </c>
      <c r="H68" s="5" t="s">
        <v>236</v>
      </c>
      <c r="I68" s="5" t="s">
        <v>177</v>
      </c>
      <c r="J68" s="16">
        <v>4155</v>
      </c>
      <c r="K68" s="16">
        <v>0</v>
      </c>
      <c r="L68" s="16">
        <v>0</v>
      </c>
      <c r="M68" s="16">
        <v>0</v>
      </c>
      <c r="N68" s="16">
        <v>2205</v>
      </c>
      <c r="O68" s="16">
        <v>1950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X68" s="14">
        <v>0</v>
      </c>
      <c r="Y68" s="14">
        <v>0</v>
      </c>
      <c r="Z68" s="14">
        <v>0</v>
      </c>
      <c r="AA68" s="14">
        <v>2205</v>
      </c>
      <c r="AB68" s="14">
        <v>4155</v>
      </c>
      <c r="AC68" s="14">
        <v>4155</v>
      </c>
      <c r="AD68" s="14">
        <v>4155</v>
      </c>
      <c r="AE68" s="14">
        <v>4155</v>
      </c>
      <c r="AF68" s="14">
        <v>4155</v>
      </c>
      <c r="AG68" s="14">
        <v>4155</v>
      </c>
      <c r="AH68" s="14">
        <v>4155</v>
      </c>
      <c r="AI68" s="14">
        <v>4155</v>
      </c>
    </row>
    <row r="69" spans="2:35" hidden="1">
      <c r="B69">
        <v>25066</v>
      </c>
      <c r="C69" t="s">
        <v>116</v>
      </c>
      <c r="D69" s="5" t="s">
        <v>178</v>
      </c>
      <c r="E69" s="5" t="s">
        <v>18</v>
      </c>
      <c r="F69" s="5">
        <v>2025</v>
      </c>
      <c r="G69" s="6">
        <v>45778</v>
      </c>
      <c r="H69" s="5" t="s">
        <v>237</v>
      </c>
      <c r="I69" s="5" t="s">
        <v>177</v>
      </c>
      <c r="J69" s="16">
        <v>20154.800000000003</v>
      </c>
      <c r="K69" s="5">
        <v>0</v>
      </c>
      <c r="L69" s="5">
        <v>0</v>
      </c>
      <c r="M69" s="5">
        <v>0</v>
      </c>
      <c r="N69" s="5">
        <v>0</v>
      </c>
      <c r="O69" s="16">
        <v>16619.72</v>
      </c>
      <c r="P69" s="16">
        <v>0</v>
      </c>
      <c r="Q69" s="16">
        <v>0</v>
      </c>
      <c r="R69" s="16">
        <v>0</v>
      </c>
      <c r="S69" s="16">
        <v>3535.08</v>
      </c>
      <c r="T69" s="16">
        <v>0</v>
      </c>
      <c r="U69" s="16">
        <v>0</v>
      </c>
      <c r="V69" s="16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16619.72</v>
      </c>
      <c r="AC69" s="14">
        <v>16619.72</v>
      </c>
      <c r="AD69" s="14">
        <v>16619.72</v>
      </c>
      <c r="AE69" s="14">
        <v>16619.72</v>
      </c>
      <c r="AF69" s="14">
        <v>20154.800000000003</v>
      </c>
      <c r="AG69" s="14">
        <v>20154.800000000003</v>
      </c>
      <c r="AH69" s="14">
        <v>20154.800000000003</v>
      </c>
      <c r="AI69" s="14">
        <v>20154.800000000003</v>
      </c>
    </row>
    <row r="70" spans="2:35" hidden="1">
      <c r="B70">
        <v>25067</v>
      </c>
      <c r="C70" t="s">
        <v>117</v>
      </c>
      <c r="D70" s="5" t="s">
        <v>178</v>
      </c>
      <c r="E70" s="5" t="s">
        <v>18</v>
      </c>
      <c r="F70" s="5">
        <v>2025</v>
      </c>
      <c r="G70" s="6">
        <v>45778</v>
      </c>
      <c r="H70" s="5" t="s">
        <v>237</v>
      </c>
      <c r="I70" s="5" t="s">
        <v>177</v>
      </c>
      <c r="J70" s="16">
        <v>25962.32</v>
      </c>
      <c r="K70" s="5">
        <v>0</v>
      </c>
      <c r="L70" s="5">
        <v>0</v>
      </c>
      <c r="M70" s="5">
        <v>0</v>
      </c>
      <c r="N70" s="5">
        <v>0</v>
      </c>
      <c r="O70" s="16">
        <v>19698.060000000001</v>
      </c>
      <c r="P70" s="16">
        <v>0</v>
      </c>
      <c r="Q70" s="16">
        <v>0</v>
      </c>
      <c r="R70" s="16">
        <v>728.3</v>
      </c>
      <c r="S70" s="16">
        <v>1507.62</v>
      </c>
      <c r="T70" s="16">
        <v>2653</v>
      </c>
      <c r="U70" s="16">
        <v>0</v>
      </c>
      <c r="V70" s="16">
        <v>1375.34</v>
      </c>
      <c r="X70" s="14">
        <v>0</v>
      </c>
      <c r="Y70" s="14">
        <v>0</v>
      </c>
      <c r="Z70" s="14">
        <v>0</v>
      </c>
      <c r="AA70" s="14">
        <v>0</v>
      </c>
      <c r="AB70" s="14">
        <v>19698.060000000001</v>
      </c>
      <c r="AC70" s="14">
        <v>19698.060000000001</v>
      </c>
      <c r="AD70" s="14">
        <v>19698.060000000001</v>
      </c>
      <c r="AE70" s="14">
        <v>20426.36</v>
      </c>
      <c r="AF70" s="14">
        <v>21933.98</v>
      </c>
      <c r="AG70" s="14">
        <v>24586.98</v>
      </c>
      <c r="AH70" s="14">
        <v>24586.98</v>
      </c>
      <c r="AI70" s="14">
        <v>25962.32</v>
      </c>
    </row>
    <row r="71" spans="2:35">
      <c r="B71">
        <v>25068</v>
      </c>
      <c r="C71" t="s">
        <v>95</v>
      </c>
      <c r="D71" s="5" t="s">
        <v>93</v>
      </c>
      <c r="E71" s="5" t="s">
        <v>17</v>
      </c>
      <c r="F71" s="5">
        <v>2025</v>
      </c>
      <c r="G71" s="6">
        <v>45809</v>
      </c>
      <c r="H71" s="5" t="s">
        <v>238</v>
      </c>
      <c r="I71" s="5" t="s">
        <v>177</v>
      </c>
      <c r="J71" s="16">
        <v>9538</v>
      </c>
      <c r="K71" s="5">
        <v>0</v>
      </c>
      <c r="L71" s="5">
        <v>0</v>
      </c>
      <c r="M71" s="5">
        <v>0</v>
      </c>
      <c r="N71" s="5">
        <v>0</v>
      </c>
      <c r="O71" s="16">
        <v>0</v>
      </c>
      <c r="P71" s="16">
        <v>9538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9538</v>
      </c>
      <c r="AD71" s="14">
        <v>9538</v>
      </c>
      <c r="AE71" s="14">
        <v>9538</v>
      </c>
      <c r="AF71" s="14">
        <v>9538</v>
      </c>
      <c r="AG71" s="14">
        <v>9538</v>
      </c>
      <c r="AH71" s="14">
        <v>9538</v>
      </c>
      <c r="AI71" s="14">
        <v>9538</v>
      </c>
    </row>
    <row r="72" spans="2:35" hidden="1">
      <c r="B72">
        <v>25069</v>
      </c>
      <c r="C72" t="s">
        <v>132</v>
      </c>
      <c r="D72" s="5" t="s">
        <v>180</v>
      </c>
      <c r="E72" s="5" t="s">
        <v>19</v>
      </c>
      <c r="F72" s="5">
        <v>2025</v>
      </c>
      <c r="G72" s="6">
        <v>45809</v>
      </c>
      <c r="H72" s="5" t="s">
        <v>238</v>
      </c>
      <c r="I72" s="5" t="s">
        <v>177</v>
      </c>
      <c r="J72" s="16">
        <v>343</v>
      </c>
      <c r="K72" s="5">
        <v>0</v>
      </c>
      <c r="L72" s="5">
        <v>0</v>
      </c>
      <c r="M72" s="5">
        <v>0</v>
      </c>
      <c r="N72" s="5">
        <v>0</v>
      </c>
      <c r="O72" s="16">
        <v>0</v>
      </c>
      <c r="P72" s="16">
        <v>343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343</v>
      </c>
      <c r="AD72" s="14">
        <v>343</v>
      </c>
      <c r="AE72" s="14">
        <v>343</v>
      </c>
      <c r="AF72" s="14">
        <v>343</v>
      </c>
      <c r="AG72" s="14">
        <v>343</v>
      </c>
      <c r="AH72" s="14">
        <v>343</v>
      </c>
      <c r="AI72" s="14">
        <v>343</v>
      </c>
    </row>
    <row r="73" spans="2:35" hidden="1">
      <c r="B73">
        <v>25070</v>
      </c>
      <c r="C73" t="s">
        <v>82</v>
      </c>
      <c r="D73" s="5" t="s">
        <v>93</v>
      </c>
      <c r="E73" s="5" t="s">
        <v>16</v>
      </c>
      <c r="F73" s="5">
        <v>2025</v>
      </c>
      <c r="G73" s="6">
        <v>45839</v>
      </c>
      <c r="H73" s="5" t="s">
        <v>239</v>
      </c>
      <c r="I73" s="5" t="s">
        <v>177</v>
      </c>
      <c r="J73" s="16">
        <v>19760</v>
      </c>
      <c r="K73" s="5">
        <v>0</v>
      </c>
      <c r="L73" s="5">
        <v>0</v>
      </c>
      <c r="M73" s="5">
        <v>0</v>
      </c>
      <c r="N73" s="5">
        <v>0</v>
      </c>
      <c r="O73" s="16">
        <v>0</v>
      </c>
      <c r="P73" s="16">
        <v>0</v>
      </c>
      <c r="Q73" s="16">
        <v>19760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19760</v>
      </c>
      <c r="AE73" s="14">
        <v>19760</v>
      </c>
      <c r="AF73" s="14">
        <v>19760</v>
      </c>
      <c r="AG73" s="14">
        <v>19760</v>
      </c>
      <c r="AH73" s="14">
        <v>19760</v>
      </c>
      <c r="AI73" s="14">
        <v>19760</v>
      </c>
    </row>
    <row r="74" spans="2:35">
      <c r="B74">
        <v>25071</v>
      </c>
      <c r="C74" t="s">
        <v>96</v>
      </c>
      <c r="D74" s="5" t="s">
        <v>93</v>
      </c>
      <c r="E74" s="5" t="s">
        <v>17</v>
      </c>
      <c r="F74" s="5">
        <v>2025</v>
      </c>
      <c r="G74" s="6">
        <v>45839</v>
      </c>
      <c r="H74" s="5" t="s">
        <v>239</v>
      </c>
      <c r="I74" s="5" t="s">
        <v>177</v>
      </c>
      <c r="J74" s="16">
        <v>5488.99</v>
      </c>
      <c r="K74" s="5">
        <v>0</v>
      </c>
      <c r="L74" s="5">
        <v>0</v>
      </c>
      <c r="M74" s="5">
        <v>0</v>
      </c>
      <c r="N74" s="5">
        <v>0</v>
      </c>
      <c r="O74" s="16">
        <v>0</v>
      </c>
      <c r="P74" s="16">
        <v>0</v>
      </c>
      <c r="Q74" s="16">
        <v>4179.33</v>
      </c>
      <c r="R74" s="16">
        <v>0</v>
      </c>
      <c r="S74" s="16">
        <v>1309.6600000000001</v>
      </c>
      <c r="T74" s="16">
        <v>0</v>
      </c>
      <c r="U74" s="16">
        <v>0</v>
      </c>
      <c r="V74" s="16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4179.33</v>
      </c>
      <c r="AE74" s="14">
        <v>4179.33</v>
      </c>
      <c r="AF74" s="14">
        <v>5488.99</v>
      </c>
      <c r="AG74" s="14">
        <v>5488.99</v>
      </c>
      <c r="AH74" s="14">
        <v>5488.99</v>
      </c>
      <c r="AI74" s="14">
        <v>5488.99</v>
      </c>
    </row>
    <row r="75" spans="2:35" hidden="1">
      <c r="B75">
        <v>25072</v>
      </c>
      <c r="C75" t="s">
        <v>118</v>
      </c>
      <c r="D75" s="5" t="s">
        <v>178</v>
      </c>
      <c r="E75" s="5" t="s">
        <v>18</v>
      </c>
      <c r="F75" s="5">
        <v>2025</v>
      </c>
      <c r="G75" s="6">
        <v>45839</v>
      </c>
      <c r="H75" s="5" t="s">
        <v>239</v>
      </c>
      <c r="I75" s="5" t="s">
        <v>177</v>
      </c>
      <c r="J75" s="16">
        <v>8683.91</v>
      </c>
      <c r="K75" s="5">
        <v>0</v>
      </c>
      <c r="L75" s="5">
        <v>0</v>
      </c>
      <c r="M75" s="5">
        <v>0</v>
      </c>
      <c r="N75" s="5">
        <v>0</v>
      </c>
      <c r="O75" s="16">
        <v>0</v>
      </c>
      <c r="P75" s="16">
        <v>0</v>
      </c>
      <c r="Q75" s="16">
        <v>4861</v>
      </c>
      <c r="R75" s="16">
        <v>0</v>
      </c>
      <c r="S75" s="16">
        <v>2561.41</v>
      </c>
      <c r="T75" s="16">
        <v>0</v>
      </c>
      <c r="U75" s="16">
        <v>0</v>
      </c>
      <c r="V75" s="16">
        <v>1261.5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4861</v>
      </c>
      <c r="AE75" s="14">
        <v>4861</v>
      </c>
      <c r="AF75" s="14">
        <v>7422.41</v>
      </c>
      <c r="AG75" s="14">
        <v>7422.41</v>
      </c>
      <c r="AH75" s="14">
        <v>7422.41</v>
      </c>
      <c r="AI75" s="14">
        <v>8683.91</v>
      </c>
    </row>
    <row r="76" spans="2:35">
      <c r="B76">
        <v>25073</v>
      </c>
      <c r="C76" t="s">
        <v>97</v>
      </c>
      <c r="D76" s="5" t="s">
        <v>93</v>
      </c>
      <c r="E76" s="5" t="s">
        <v>17</v>
      </c>
      <c r="F76" s="5">
        <v>2025</v>
      </c>
      <c r="G76" s="6">
        <v>45931</v>
      </c>
      <c r="H76" s="5" t="s">
        <v>240</v>
      </c>
      <c r="I76" s="5" t="s">
        <v>177</v>
      </c>
      <c r="J76" s="16">
        <v>8904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16">
        <v>0</v>
      </c>
      <c r="R76" s="16">
        <v>0</v>
      </c>
      <c r="S76" s="5">
        <v>0</v>
      </c>
      <c r="T76" s="16">
        <v>8904</v>
      </c>
      <c r="U76" s="16">
        <v>0</v>
      </c>
      <c r="V76" s="16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8904</v>
      </c>
      <c r="AH76" s="14">
        <v>8904</v>
      </c>
      <c r="AI76" s="14">
        <v>8904</v>
      </c>
    </row>
    <row r="77" spans="2:35">
      <c r="B77">
        <v>25074</v>
      </c>
      <c r="C77" t="s">
        <v>98</v>
      </c>
      <c r="D77" s="5" t="s">
        <v>93</v>
      </c>
      <c r="E77" s="5" t="s">
        <v>17</v>
      </c>
      <c r="F77" s="5">
        <v>2025</v>
      </c>
      <c r="G77" s="6">
        <v>45931</v>
      </c>
      <c r="H77" s="5" t="s">
        <v>240</v>
      </c>
      <c r="I77" s="5" t="s">
        <v>177</v>
      </c>
      <c r="J77" s="16">
        <v>6178.28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16">
        <v>0</v>
      </c>
      <c r="R77" s="16">
        <v>0</v>
      </c>
      <c r="S77" s="5">
        <v>0</v>
      </c>
      <c r="T77" s="16">
        <v>6178.28</v>
      </c>
      <c r="U77" s="16">
        <v>0</v>
      </c>
      <c r="V77" s="16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6178.28</v>
      </c>
      <c r="AH77" s="14">
        <v>6178.28</v>
      </c>
      <c r="AI77" s="14">
        <v>6178.28</v>
      </c>
    </row>
    <row r="78" spans="2:35" hidden="1">
      <c r="B78">
        <v>25075</v>
      </c>
      <c r="C78" t="s">
        <v>137</v>
      </c>
      <c r="D78" s="5" t="s">
        <v>138</v>
      </c>
      <c r="E78" s="5" t="s">
        <v>20</v>
      </c>
      <c r="F78" s="5">
        <v>2025</v>
      </c>
      <c r="G78" s="6">
        <v>45931</v>
      </c>
      <c r="H78" s="5" t="s">
        <v>240</v>
      </c>
      <c r="I78" s="5" t="s">
        <v>177</v>
      </c>
      <c r="J78" s="16">
        <v>14403.8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16">
        <v>0</v>
      </c>
      <c r="R78" s="16">
        <v>0</v>
      </c>
      <c r="S78" s="5">
        <v>0</v>
      </c>
      <c r="T78" s="16">
        <v>14403.8</v>
      </c>
      <c r="U78" s="16">
        <v>0</v>
      </c>
      <c r="V78" s="16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14403.8</v>
      </c>
      <c r="AH78" s="14">
        <v>14403.8</v>
      </c>
      <c r="AI78" s="14">
        <v>14403.8</v>
      </c>
    </row>
    <row r="79" spans="2:35" hidden="1">
      <c r="B79" s="5">
        <v>25076</v>
      </c>
      <c r="C79" s="5" t="s">
        <v>133</v>
      </c>
      <c r="D79" s="5" t="s">
        <v>138</v>
      </c>
      <c r="E79" s="5" t="s">
        <v>20</v>
      </c>
      <c r="F79" s="5">
        <v>2025</v>
      </c>
      <c r="G79" s="6">
        <v>45992</v>
      </c>
      <c r="H79" s="5" t="s">
        <v>241</v>
      </c>
      <c r="I79" s="5" t="s">
        <v>177</v>
      </c>
      <c r="J79" s="16">
        <v>3193.01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16">
        <v>0</v>
      </c>
      <c r="R79" s="16">
        <v>0</v>
      </c>
      <c r="S79" s="5">
        <v>0</v>
      </c>
      <c r="T79" s="16">
        <v>0</v>
      </c>
      <c r="U79" s="16">
        <v>0</v>
      </c>
      <c r="V79" s="16">
        <v>3193.01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3193.01</v>
      </c>
    </row>
  </sheetData>
  <autoFilter ref="A11:V79" xr:uid="{00000000-0001-0000-0000-000000000000}">
    <filterColumn colId="4">
      <filters>
        <filter val="Central"/>
      </filters>
    </filterColumn>
    <filterColumn colId="9">
      <filters>
        <filter val="2,153.52"/>
        <filter val="26,752.85"/>
        <filter val="35,149.62"/>
        <filter val="5,488.99"/>
        <filter val="6,178.28"/>
        <filter val="7,207.32"/>
        <filter val="8,904.00"/>
        <filter val="9,538.00"/>
      </filters>
    </filterColumn>
    <sortState xmlns:xlrd2="http://schemas.microsoft.com/office/spreadsheetml/2017/richdata2" ref="A12:V76">
      <sortCondition ref="B11:B7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B0A5-98C7-46CC-B845-7104B0744ECE}">
  <dimension ref="A1:AI67"/>
  <sheetViews>
    <sheetView topLeftCell="G1" workbookViewId="0">
      <selection activeCell="G1" sqref="A1:XFD1048576"/>
    </sheetView>
  </sheetViews>
  <sheetFormatPr defaultColWidth="9.140625" defaultRowHeight="15"/>
  <cols>
    <col min="1" max="2" width="9.140625" style="5"/>
    <col min="3" max="3" width="47.85546875" style="5" bestFit="1" customWidth="1"/>
    <col min="4" max="5" width="19.42578125" style="5" customWidth="1"/>
    <col min="6" max="6" width="15.42578125" style="5" customWidth="1"/>
    <col min="7" max="9" width="27.7109375" style="5" customWidth="1"/>
    <col min="10" max="10" width="16.42578125" style="5" bestFit="1" customWidth="1"/>
    <col min="11" max="12" width="10.42578125" style="5" bestFit="1" customWidth="1"/>
    <col min="13" max="13" width="11.42578125" style="5" bestFit="1" customWidth="1"/>
    <col min="14" max="14" width="14.42578125" style="5" customWidth="1"/>
    <col min="15" max="15" width="11.42578125" style="5" bestFit="1" customWidth="1"/>
    <col min="16" max="22" width="11.42578125" style="5" customWidth="1"/>
    <col min="23" max="23" width="9.140625" style="5"/>
    <col min="24" max="32" width="10.42578125" style="5" bestFit="1" customWidth="1"/>
    <col min="33" max="35" width="11.42578125" style="5" bestFit="1" customWidth="1"/>
    <col min="36" max="16384" width="9.140625" style="5"/>
  </cols>
  <sheetData>
    <row r="1" spans="1:35">
      <c r="J1" s="5" t="s">
        <v>184</v>
      </c>
      <c r="K1" s="15">
        <v>69080</v>
      </c>
      <c r="L1" s="15">
        <v>76195</v>
      </c>
      <c r="M1" s="15">
        <v>117850</v>
      </c>
      <c r="N1" s="15">
        <v>109215</v>
      </c>
      <c r="O1" s="15">
        <v>124965</v>
      </c>
      <c r="P1" s="15">
        <v>116330</v>
      </c>
      <c r="Q1" s="15">
        <v>132080</v>
      </c>
      <c r="R1" s="15">
        <v>90425</v>
      </c>
      <c r="S1" s="15">
        <v>172215</v>
      </c>
      <c r="T1" s="15">
        <v>189485</v>
      </c>
      <c r="U1" s="15">
        <v>172215</v>
      </c>
      <c r="V1" s="15">
        <v>123445</v>
      </c>
    </row>
    <row r="2" spans="1:35">
      <c r="J2" s="5" t="s">
        <v>185</v>
      </c>
      <c r="K2" s="15">
        <v>69080</v>
      </c>
      <c r="L2" s="15">
        <v>145275</v>
      </c>
      <c r="M2" s="15">
        <v>263125</v>
      </c>
      <c r="N2" s="15">
        <v>372340</v>
      </c>
      <c r="O2" s="15">
        <v>497305</v>
      </c>
      <c r="P2" s="15">
        <v>613635</v>
      </c>
      <c r="Q2" s="15">
        <v>745715</v>
      </c>
      <c r="R2" s="15">
        <v>836140</v>
      </c>
      <c r="S2" s="15">
        <v>1008355</v>
      </c>
      <c r="T2" s="15">
        <v>1197840</v>
      </c>
      <c r="U2" s="15">
        <v>1370055</v>
      </c>
      <c r="V2" s="15">
        <v>1493500</v>
      </c>
    </row>
    <row r="3" spans="1:35">
      <c r="J3" s="5" t="s">
        <v>186</v>
      </c>
      <c r="K3" s="15">
        <v>35</v>
      </c>
      <c r="L3" s="15">
        <v>28</v>
      </c>
      <c r="M3" s="15">
        <v>28</v>
      </c>
      <c r="N3" s="15">
        <v>28</v>
      </c>
      <c r="O3" s="15">
        <v>28</v>
      </c>
      <c r="P3" s="15">
        <v>28</v>
      </c>
      <c r="Q3" s="15">
        <v>30</v>
      </c>
      <c r="R3" s="15">
        <v>30</v>
      </c>
      <c r="S3" s="15">
        <v>30</v>
      </c>
      <c r="T3" s="15">
        <v>30</v>
      </c>
      <c r="U3" s="15">
        <v>30</v>
      </c>
      <c r="V3" s="15">
        <v>30</v>
      </c>
    </row>
    <row r="4" spans="1:35">
      <c r="J4" s="5" t="s">
        <v>187</v>
      </c>
      <c r="K4" s="15">
        <v>35</v>
      </c>
      <c r="L4" s="15">
        <v>39</v>
      </c>
      <c r="M4" s="15">
        <v>46</v>
      </c>
      <c r="N4" s="15">
        <v>53</v>
      </c>
      <c r="O4" s="15">
        <v>60</v>
      </c>
      <c r="P4" s="15">
        <v>67</v>
      </c>
      <c r="Q4" s="15">
        <v>74</v>
      </c>
      <c r="R4" s="15">
        <v>81</v>
      </c>
      <c r="S4" s="15">
        <v>88</v>
      </c>
      <c r="T4" s="15">
        <v>95</v>
      </c>
      <c r="U4" s="15">
        <v>102</v>
      </c>
      <c r="V4" s="15">
        <v>105</v>
      </c>
    </row>
    <row r="5" spans="1:35">
      <c r="J5" s="5" t="s">
        <v>188</v>
      </c>
      <c r="K5" s="15">
        <v>0</v>
      </c>
      <c r="L5" s="15">
        <v>15750</v>
      </c>
      <c r="M5" s="15">
        <v>31500</v>
      </c>
      <c r="N5" s="15">
        <v>31500</v>
      </c>
      <c r="O5" s="15">
        <v>31500</v>
      </c>
      <c r="P5" s="15">
        <v>31500</v>
      </c>
      <c r="Q5" s="15">
        <v>31500</v>
      </c>
      <c r="R5" s="15">
        <v>31500</v>
      </c>
      <c r="S5" s="15">
        <v>31500</v>
      </c>
      <c r="T5" s="15">
        <v>31500</v>
      </c>
      <c r="U5" s="15">
        <v>31500</v>
      </c>
      <c r="V5" s="15">
        <v>13500</v>
      </c>
    </row>
    <row r="6" spans="1:35">
      <c r="J6" s="5" t="s">
        <v>189</v>
      </c>
      <c r="K6" s="5">
        <v>0</v>
      </c>
      <c r="L6" s="5">
        <v>15750</v>
      </c>
      <c r="M6" s="5">
        <v>31500</v>
      </c>
      <c r="N6" s="5">
        <v>31500</v>
      </c>
      <c r="O6" s="5">
        <v>47250</v>
      </c>
      <c r="P6" s="5">
        <v>47250</v>
      </c>
      <c r="Q6" s="5">
        <v>63000</v>
      </c>
      <c r="R6" s="5">
        <v>47250</v>
      </c>
      <c r="S6" s="5">
        <v>94500</v>
      </c>
      <c r="T6" s="5">
        <v>94500</v>
      </c>
      <c r="U6" s="5">
        <v>94500</v>
      </c>
      <c r="V6" s="5">
        <v>63000</v>
      </c>
    </row>
    <row r="7" spans="1:35">
      <c r="J7" s="5" t="s">
        <v>190</v>
      </c>
      <c r="K7" s="14">
        <v>0</v>
      </c>
      <c r="L7" s="14">
        <v>15750</v>
      </c>
      <c r="M7" s="14">
        <v>47250</v>
      </c>
      <c r="N7" s="14">
        <v>78750</v>
      </c>
      <c r="O7" s="14">
        <v>126000</v>
      </c>
      <c r="P7" s="14">
        <v>173250</v>
      </c>
      <c r="Q7" s="14">
        <v>236250</v>
      </c>
      <c r="R7" s="14">
        <v>283500</v>
      </c>
      <c r="S7" s="14">
        <v>378000</v>
      </c>
      <c r="T7" s="14">
        <v>472500</v>
      </c>
      <c r="U7" s="14">
        <v>567000</v>
      </c>
      <c r="V7" s="14">
        <v>630000</v>
      </c>
    </row>
    <row r="8" spans="1:35">
      <c r="J8" s="5" t="s">
        <v>191</v>
      </c>
      <c r="K8" s="15">
        <v>0</v>
      </c>
      <c r="L8" s="15">
        <v>4</v>
      </c>
      <c r="M8" s="15">
        <v>7</v>
      </c>
      <c r="N8" s="15">
        <v>7</v>
      </c>
      <c r="O8" s="15">
        <v>7</v>
      </c>
      <c r="P8" s="15">
        <v>7</v>
      </c>
      <c r="Q8" s="15">
        <v>7</v>
      </c>
      <c r="R8" s="15">
        <v>7</v>
      </c>
      <c r="S8" s="15">
        <v>7</v>
      </c>
      <c r="T8" s="15">
        <v>7</v>
      </c>
      <c r="U8" s="15">
        <v>7</v>
      </c>
      <c r="V8" s="15">
        <v>3</v>
      </c>
    </row>
    <row r="9" spans="1:35">
      <c r="J9" s="5" t="s">
        <v>190</v>
      </c>
      <c r="K9" s="15">
        <v>0</v>
      </c>
      <c r="L9" s="15">
        <v>4</v>
      </c>
      <c r="M9" s="15">
        <v>11</v>
      </c>
      <c r="N9" s="15">
        <v>18</v>
      </c>
      <c r="O9" s="15">
        <v>25</v>
      </c>
      <c r="P9" s="15">
        <v>32</v>
      </c>
      <c r="Q9" s="15">
        <v>39</v>
      </c>
      <c r="R9" s="15">
        <v>46</v>
      </c>
      <c r="S9" s="15">
        <v>53</v>
      </c>
      <c r="T9" s="15">
        <v>60</v>
      </c>
      <c r="U9" s="15">
        <v>67</v>
      </c>
      <c r="V9" s="15">
        <v>70</v>
      </c>
    </row>
    <row r="11" spans="1:35">
      <c r="A11" s="5" t="s">
        <v>192</v>
      </c>
      <c r="B11" s="5" t="s">
        <v>54</v>
      </c>
      <c r="C11" s="5" t="s">
        <v>55</v>
      </c>
      <c r="D11" s="5" t="s">
        <v>57</v>
      </c>
      <c r="E11" s="5" t="s">
        <v>56</v>
      </c>
      <c r="F11" s="5" t="s">
        <v>58</v>
      </c>
      <c r="G11" s="5" t="s">
        <v>193</v>
      </c>
      <c r="H11" s="5" t="s">
        <v>194</v>
      </c>
      <c r="I11" s="5" t="s">
        <v>59</v>
      </c>
      <c r="J11" s="5" t="s">
        <v>195</v>
      </c>
      <c r="K11" s="6">
        <v>45658</v>
      </c>
      <c r="L11" s="6">
        <v>45689</v>
      </c>
      <c r="M11" s="6">
        <v>45717</v>
      </c>
      <c r="N11" s="6">
        <v>45748</v>
      </c>
      <c r="O11" s="6">
        <v>45778</v>
      </c>
      <c r="P11" s="6">
        <v>45809</v>
      </c>
      <c r="Q11" s="6">
        <v>45839</v>
      </c>
      <c r="R11" s="6">
        <v>45870</v>
      </c>
      <c r="S11" s="6">
        <v>45901</v>
      </c>
      <c r="T11" s="6">
        <v>45931</v>
      </c>
      <c r="U11" s="6">
        <v>45962</v>
      </c>
      <c r="V11" s="6">
        <v>45992</v>
      </c>
      <c r="X11" s="6">
        <v>45658</v>
      </c>
      <c r="Y11" s="6">
        <v>45689</v>
      </c>
      <c r="Z11" s="6">
        <v>45717</v>
      </c>
      <c r="AA11" s="6">
        <v>45748</v>
      </c>
      <c r="AB11" s="6">
        <v>45778</v>
      </c>
      <c r="AC11" s="6">
        <v>45809</v>
      </c>
      <c r="AD11" s="6">
        <v>45839</v>
      </c>
      <c r="AE11" s="6">
        <v>45870</v>
      </c>
      <c r="AF11" s="6">
        <v>45901</v>
      </c>
      <c r="AG11" s="6">
        <v>45931</v>
      </c>
      <c r="AH11" s="6">
        <v>45962</v>
      </c>
      <c r="AI11" s="6">
        <v>45992</v>
      </c>
    </row>
    <row r="12" spans="1:35">
      <c r="A12" s="5">
        <v>2</v>
      </c>
      <c r="B12" s="5">
        <v>25000</v>
      </c>
      <c r="C12" s="5" t="s">
        <v>106</v>
      </c>
      <c r="D12" s="5" t="s">
        <v>178</v>
      </c>
      <c r="E12" s="5" t="s">
        <v>18</v>
      </c>
      <c r="F12" s="5">
        <v>2021</v>
      </c>
      <c r="G12" s="6">
        <v>44378</v>
      </c>
      <c r="H12" s="5" t="s">
        <v>199</v>
      </c>
      <c r="I12" s="5" t="s">
        <v>177</v>
      </c>
      <c r="J12" s="16">
        <v>12766.93</v>
      </c>
      <c r="K12" s="19">
        <v>120</v>
      </c>
      <c r="L12" s="19">
        <v>105.00000000000001</v>
      </c>
      <c r="M12" s="19">
        <v>150</v>
      </c>
      <c r="N12" s="19">
        <v>135</v>
      </c>
      <c r="O12" s="19">
        <v>135</v>
      </c>
      <c r="P12" s="19">
        <v>120</v>
      </c>
      <c r="Q12" s="19">
        <v>120</v>
      </c>
      <c r="R12" s="19">
        <v>75</v>
      </c>
      <c r="S12" s="19">
        <v>135</v>
      </c>
      <c r="T12" s="19">
        <v>165</v>
      </c>
      <c r="U12" s="19">
        <v>135</v>
      </c>
      <c r="V12" s="19">
        <v>105.00000000000001</v>
      </c>
      <c r="X12" s="14">
        <v>120</v>
      </c>
      <c r="Y12" s="14">
        <v>225</v>
      </c>
      <c r="Z12" s="14">
        <v>375</v>
      </c>
      <c r="AA12" s="14">
        <v>510</v>
      </c>
      <c r="AB12" s="14">
        <v>645</v>
      </c>
      <c r="AC12" s="14">
        <v>765</v>
      </c>
      <c r="AD12" s="14">
        <v>885</v>
      </c>
      <c r="AE12" s="14">
        <v>960</v>
      </c>
      <c r="AF12" s="14">
        <v>1095</v>
      </c>
      <c r="AG12" s="14">
        <v>1260</v>
      </c>
      <c r="AH12" s="14">
        <v>1395</v>
      </c>
      <c r="AI12" s="14">
        <v>1500</v>
      </c>
    </row>
    <row r="13" spans="1:35">
      <c r="A13" s="5">
        <v>3</v>
      </c>
      <c r="B13" s="5">
        <v>25001</v>
      </c>
      <c r="C13" s="5" t="s">
        <v>196</v>
      </c>
      <c r="D13" s="5" t="s">
        <v>93</v>
      </c>
      <c r="E13" s="5" t="s">
        <v>16</v>
      </c>
      <c r="F13" s="5">
        <v>2021</v>
      </c>
      <c r="G13" s="6">
        <v>44317</v>
      </c>
      <c r="H13" s="5" t="s">
        <v>200</v>
      </c>
      <c r="I13" s="5" t="s">
        <v>177</v>
      </c>
      <c r="J13" s="16">
        <v>57102.76</v>
      </c>
      <c r="K13" s="19">
        <v>3200</v>
      </c>
      <c r="L13" s="19">
        <v>2800.0000000000005</v>
      </c>
      <c r="M13" s="19">
        <v>4000</v>
      </c>
      <c r="N13" s="19">
        <v>3600</v>
      </c>
      <c r="O13" s="19">
        <v>3600</v>
      </c>
      <c r="P13" s="19">
        <v>3200</v>
      </c>
      <c r="Q13" s="19">
        <v>3200</v>
      </c>
      <c r="R13" s="19">
        <v>2000</v>
      </c>
      <c r="S13" s="19">
        <v>3600</v>
      </c>
      <c r="T13" s="19">
        <v>4400</v>
      </c>
      <c r="U13" s="19">
        <v>3600</v>
      </c>
      <c r="V13" s="19">
        <v>2800.0000000000005</v>
      </c>
      <c r="X13" s="14">
        <v>3200</v>
      </c>
      <c r="Y13" s="14">
        <v>6000</v>
      </c>
      <c r="Z13" s="14">
        <v>10000</v>
      </c>
      <c r="AA13" s="14">
        <v>13600</v>
      </c>
      <c r="AB13" s="14">
        <v>17200</v>
      </c>
      <c r="AC13" s="14">
        <v>20400</v>
      </c>
      <c r="AD13" s="14">
        <v>23600</v>
      </c>
      <c r="AE13" s="14">
        <v>25600</v>
      </c>
      <c r="AF13" s="14">
        <v>29200</v>
      </c>
      <c r="AG13" s="14">
        <v>33600</v>
      </c>
      <c r="AH13" s="14">
        <v>37200</v>
      </c>
      <c r="AI13" s="14">
        <v>40000</v>
      </c>
    </row>
    <row r="14" spans="1:35">
      <c r="A14" s="5">
        <v>4</v>
      </c>
      <c r="B14" s="5">
        <v>25002</v>
      </c>
      <c r="C14" s="5" t="s">
        <v>121</v>
      </c>
      <c r="D14" s="5" t="s">
        <v>180</v>
      </c>
      <c r="E14" s="5" t="s">
        <v>19</v>
      </c>
      <c r="F14" s="5">
        <v>2021</v>
      </c>
      <c r="G14" s="6">
        <v>44409</v>
      </c>
      <c r="H14" s="5" t="s">
        <v>201</v>
      </c>
      <c r="I14" s="5" t="s">
        <v>177</v>
      </c>
      <c r="J14" s="16">
        <v>24911.8</v>
      </c>
      <c r="K14" s="19">
        <v>1600</v>
      </c>
      <c r="L14" s="19">
        <v>1400.0000000000002</v>
      </c>
      <c r="M14" s="19">
        <v>2000</v>
      </c>
      <c r="N14" s="19">
        <v>1800</v>
      </c>
      <c r="O14" s="19">
        <v>1800</v>
      </c>
      <c r="P14" s="19">
        <v>1600</v>
      </c>
      <c r="Q14" s="19">
        <v>1600</v>
      </c>
      <c r="R14" s="19">
        <v>1000</v>
      </c>
      <c r="S14" s="19">
        <v>1800</v>
      </c>
      <c r="T14" s="19">
        <v>2200</v>
      </c>
      <c r="U14" s="19">
        <v>1800</v>
      </c>
      <c r="V14" s="19">
        <v>1400.0000000000002</v>
      </c>
      <c r="X14" s="14">
        <v>1600</v>
      </c>
      <c r="Y14" s="14">
        <v>3000</v>
      </c>
      <c r="Z14" s="14">
        <v>5000</v>
      </c>
      <c r="AA14" s="14">
        <v>6800</v>
      </c>
      <c r="AB14" s="14">
        <v>8600</v>
      </c>
      <c r="AC14" s="14">
        <v>10200</v>
      </c>
      <c r="AD14" s="14">
        <v>11800</v>
      </c>
      <c r="AE14" s="14">
        <v>12800</v>
      </c>
      <c r="AF14" s="14">
        <v>14600</v>
      </c>
      <c r="AG14" s="14">
        <v>16800</v>
      </c>
      <c r="AH14" s="14">
        <v>18600</v>
      </c>
      <c r="AI14" s="14">
        <v>20000</v>
      </c>
    </row>
    <row r="15" spans="1:35">
      <c r="A15" s="5">
        <v>5</v>
      </c>
      <c r="B15" s="5">
        <v>25003</v>
      </c>
      <c r="C15" s="5" t="s">
        <v>140</v>
      </c>
      <c r="D15" s="5" t="s">
        <v>180</v>
      </c>
      <c r="E15" s="5" t="s">
        <v>19</v>
      </c>
      <c r="F15" s="5">
        <v>2021</v>
      </c>
      <c r="G15" s="6">
        <v>44440</v>
      </c>
      <c r="H15" s="5" t="s">
        <v>202</v>
      </c>
      <c r="I15" s="5" t="s">
        <v>141</v>
      </c>
      <c r="J15" s="16">
        <v>1917.25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</row>
    <row r="16" spans="1:35">
      <c r="A16" s="5">
        <v>6</v>
      </c>
      <c r="B16" s="5">
        <v>25004</v>
      </c>
      <c r="C16" s="5" t="s">
        <v>105</v>
      </c>
      <c r="D16" s="5" t="s">
        <v>178</v>
      </c>
      <c r="E16" s="5" t="s">
        <v>18</v>
      </c>
      <c r="F16" s="5">
        <v>2021</v>
      </c>
      <c r="G16" s="6">
        <v>44440</v>
      </c>
      <c r="H16" s="5" t="s">
        <v>202</v>
      </c>
      <c r="I16" s="5" t="s">
        <v>177</v>
      </c>
      <c r="J16" s="16">
        <v>15904.31</v>
      </c>
      <c r="K16" s="19">
        <v>960</v>
      </c>
      <c r="L16" s="19">
        <v>840.00000000000011</v>
      </c>
      <c r="M16" s="19">
        <v>1200</v>
      </c>
      <c r="N16" s="19">
        <v>1080</v>
      </c>
      <c r="O16" s="19">
        <v>1080</v>
      </c>
      <c r="P16" s="19">
        <v>960</v>
      </c>
      <c r="Q16" s="19">
        <v>960</v>
      </c>
      <c r="R16" s="19">
        <v>600</v>
      </c>
      <c r="S16" s="19">
        <v>1080</v>
      </c>
      <c r="T16" s="19">
        <v>1320</v>
      </c>
      <c r="U16" s="19">
        <v>1080</v>
      </c>
      <c r="V16" s="19">
        <v>840.00000000000011</v>
      </c>
      <c r="X16" s="14">
        <v>960</v>
      </c>
      <c r="Y16" s="14">
        <v>1800</v>
      </c>
      <c r="Z16" s="14">
        <v>3000</v>
      </c>
      <c r="AA16" s="14">
        <v>4080</v>
      </c>
      <c r="AB16" s="14">
        <v>5160</v>
      </c>
      <c r="AC16" s="14">
        <v>6120</v>
      </c>
      <c r="AD16" s="14">
        <v>7080</v>
      </c>
      <c r="AE16" s="14">
        <v>7680</v>
      </c>
      <c r="AF16" s="14">
        <v>8760</v>
      </c>
      <c r="AG16" s="14">
        <v>10080</v>
      </c>
      <c r="AH16" s="14">
        <v>11160</v>
      </c>
      <c r="AI16" s="14">
        <v>12000</v>
      </c>
    </row>
    <row r="17" spans="1:35">
      <c r="A17" s="5">
        <v>10</v>
      </c>
      <c r="B17" s="5">
        <v>25008</v>
      </c>
      <c r="C17" s="5" t="s">
        <v>127</v>
      </c>
      <c r="D17" s="5" t="s">
        <v>180</v>
      </c>
      <c r="E17" s="5" t="s">
        <v>19</v>
      </c>
      <c r="F17" s="5">
        <v>2021</v>
      </c>
      <c r="G17" s="6">
        <v>44531</v>
      </c>
      <c r="H17" s="5" t="s">
        <v>203</v>
      </c>
      <c r="I17" s="5" t="s">
        <v>177</v>
      </c>
      <c r="J17" s="16">
        <v>2212.5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</row>
    <row r="18" spans="1:35">
      <c r="A18" s="5">
        <v>11</v>
      </c>
      <c r="B18" s="5">
        <v>25009</v>
      </c>
      <c r="C18" s="5" t="s">
        <v>142</v>
      </c>
      <c r="D18" s="5" t="s">
        <v>178</v>
      </c>
      <c r="E18" s="5" t="s">
        <v>18</v>
      </c>
      <c r="F18" s="5">
        <v>2022</v>
      </c>
      <c r="G18" s="6">
        <v>44562</v>
      </c>
      <c r="H18" s="5" t="s">
        <v>204</v>
      </c>
      <c r="I18" s="5" t="s">
        <v>141</v>
      </c>
      <c r="J18" s="16">
        <v>32836.49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</row>
    <row r="19" spans="1:35">
      <c r="A19" s="5">
        <v>12</v>
      </c>
      <c r="B19" s="5">
        <v>25010</v>
      </c>
      <c r="C19" s="5" t="s">
        <v>119</v>
      </c>
      <c r="D19" s="5" t="s">
        <v>180</v>
      </c>
      <c r="E19" s="5" t="s">
        <v>19</v>
      </c>
      <c r="F19" s="5">
        <v>2022</v>
      </c>
      <c r="G19" s="6">
        <v>44562</v>
      </c>
      <c r="H19" s="5" t="s">
        <v>204</v>
      </c>
      <c r="I19" s="5" t="s">
        <v>177</v>
      </c>
      <c r="J19" s="16">
        <v>108983.17</v>
      </c>
      <c r="K19" s="19">
        <v>4000</v>
      </c>
      <c r="L19" s="19">
        <v>3500.0000000000005</v>
      </c>
      <c r="M19" s="19">
        <v>5000</v>
      </c>
      <c r="N19" s="19">
        <v>4500</v>
      </c>
      <c r="O19" s="19">
        <v>4500</v>
      </c>
      <c r="P19" s="19">
        <v>4000</v>
      </c>
      <c r="Q19" s="19">
        <v>4000</v>
      </c>
      <c r="R19" s="19">
        <v>2500</v>
      </c>
      <c r="S19" s="19">
        <v>4500</v>
      </c>
      <c r="T19" s="19">
        <v>5500</v>
      </c>
      <c r="U19" s="19">
        <v>4500</v>
      </c>
      <c r="V19" s="19">
        <v>3500.0000000000005</v>
      </c>
      <c r="X19" s="14">
        <v>4000</v>
      </c>
      <c r="Y19" s="14">
        <v>7500</v>
      </c>
      <c r="Z19" s="14">
        <v>12500</v>
      </c>
      <c r="AA19" s="14">
        <v>17000</v>
      </c>
      <c r="AB19" s="14">
        <v>21500</v>
      </c>
      <c r="AC19" s="14">
        <v>25500</v>
      </c>
      <c r="AD19" s="14">
        <v>29500</v>
      </c>
      <c r="AE19" s="14">
        <v>32000</v>
      </c>
      <c r="AF19" s="14">
        <v>36500</v>
      </c>
      <c r="AG19" s="14">
        <v>42000</v>
      </c>
      <c r="AH19" s="14">
        <v>46500</v>
      </c>
      <c r="AI19" s="14">
        <v>50000</v>
      </c>
    </row>
    <row r="20" spans="1:35">
      <c r="A20" s="5">
        <v>13</v>
      </c>
      <c r="B20" s="5">
        <v>25011</v>
      </c>
      <c r="C20" s="5" t="s">
        <v>143</v>
      </c>
      <c r="D20" s="5" t="s">
        <v>178</v>
      </c>
      <c r="E20" s="5" t="s">
        <v>18</v>
      </c>
      <c r="F20" s="5">
        <v>2022</v>
      </c>
      <c r="G20" s="6">
        <v>44593</v>
      </c>
      <c r="H20" s="5" t="s">
        <v>205</v>
      </c>
      <c r="I20" s="5" t="s">
        <v>141</v>
      </c>
      <c r="J20" s="16">
        <v>25713.4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</row>
    <row r="21" spans="1:35">
      <c r="A21" s="5">
        <v>14</v>
      </c>
      <c r="B21" s="5">
        <v>25012</v>
      </c>
      <c r="C21" s="5" t="s">
        <v>100</v>
      </c>
      <c r="D21" s="5" t="s">
        <v>178</v>
      </c>
      <c r="E21" s="5" t="s">
        <v>18</v>
      </c>
      <c r="F21" s="5">
        <v>2022</v>
      </c>
      <c r="G21" s="6">
        <v>44621</v>
      </c>
      <c r="H21" s="5" t="s">
        <v>206</v>
      </c>
      <c r="I21" s="5" t="s">
        <v>177</v>
      </c>
      <c r="J21" s="16">
        <v>268312.63</v>
      </c>
      <c r="K21" s="19">
        <v>9600</v>
      </c>
      <c r="L21" s="19">
        <v>8400</v>
      </c>
      <c r="M21" s="19">
        <v>12000</v>
      </c>
      <c r="N21" s="19">
        <v>10800</v>
      </c>
      <c r="O21" s="19">
        <v>10800</v>
      </c>
      <c r="P21" s="19">
        <v>9600</v>
      </c>
      <c r="Q21" s="19">
        <v>9600</v>
      </c>
      <c r="R21" s="19">
        <v>6000</v>
      </c>
      <c r="S21" s="19">
        <v>10800</v>
      </c>
      <c r="T21" s="19">
        <v>13200</v>
      </c>
      <c r="U21" s="19">
        <v>10800</v>
      </c>
      <c r="V21" s="19">
        <v>8400</v>
      </c>
      <c r="X21" s="14">
        <v>9600</v>
      </c>
      <c r="Y21" s="14">
        <v>18000</v>
      </c>
      <c r="Z21" s="14">
        <v>30000</v>
      </c>
      <c r="AA21" s="14">
        <v>40800</v>
      </c>
      <c r="AB21" s="14">
        <v>51600</v>
      </c>
      <c r="AC21" s="14">
        <v>61200</v>
      </c>
      <c r="AD21" s="14">
        <v>70800</v>
      </c>
      <c r="AE21" s="14">
        <v>76800</v>
      </c>
      <c r="AF21" s="14">
        <v>87600</v>
      </c>
      <c r="AG21" s="14">
        <v>100800</v>
      </c>
      <c r="AH21" s="14">
        <v>111600</v>
      </c>
      <c r="AI21" s="14">
        <v>120000</v>
      </c>
    </row>
    <row r="22" spans="1:35">
      <c r="A22" s="5">
        <v>15</v>
      </c>
      <c r="B22" s="5">
        <v>25013</v>
      </c>
      <c r="C22" s="5" t="s">
        <v>144</v>
      </c>
      <c r="D22" s="5" t="s">
        <v>93</v>
      </c>
      <c r="E22" s="5" t="s">
        <v>17</v>
      </c>
      <c r="F22" s="5">
        <v>2022</v>
      </c>
      <c r="G22" s="6">
        <v>44621</v>
      </c>
      <c r="H22" s="5" t="s">
        <v>206</v>
      </c>
      <c r="I22" s="5" t="s">
        <v>141</v>
      </c>
      <c r="J22" s="16">
        <v>28353.3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</row>
    <row r="23" spans="1:35">
      <c r="A23" s="5">
        <v>16</v>
      </c>
      <c r="B23" s="5">
        <v>25015</v>
      </c>
      <c r="C23" s="5" t="s">
        <v>107</v>
      </c>
      <c r="D23" s="5" t="s">
        <v>178</v>
      </c>
      <c r="E23" s="5" t="s">
        <v>18</v>
      </c>
      <c r="F23" s="5">
        <v>2022</v>
      </c>
      <c r="G23" s="6">
        <v>44621</v>
      </c>
      <c r="H23" s="5" t="s">
        <v>206</v>
      </c>
      <c r="I23" s="5" t="s">
        <v>177</v>
      </c>
      <c r="J23" s="16">
        <v>16589.580000000002</v>
      </c>
      <c r="K23" s="19">
        <v>240</v>
      </c>
      <c r="L23" s="19">
        <v>210.00000000000003</v>
      </c>
      <c r="M23" s="19">
        <v>300</v>
      </c>
      <c r="N23" s="19">
        <v>270</v>
      </c>
      <c r="O23" s="19">
        <v>270</v>
      </c>
      <c r="P23" s="19">
        <v>240</v>
      </c>
      <c r="Q23" s="19">
        <v>240</v>
      </c>
      <c r="R23" s="19">
        <v>150</v>
      </c>
      <c r="S23" s="19">
        <v>270</v>
      </c>
      <c r="T23" s="19">
        <v>330</v>
      </c>
      <c r="U23" s="19">
        <v>270</v>
      </c>
      <c r="V23" s="19">
        <v>210.00000000000003</v>
      </c>
      <c r="X23" s="14">
        <v>240</v>
      </c>
      <c r="Y23" s="14">
        <v>450</v>
      </c>
      <c r="Z23" s="14">
        <v>750</v>
      </c>
      <c r="AA23" s="14">
        <v>1020</v>
      </c>
      <c r="AB23" s="14">
        <v>1290</v>
      </c>
      <c r="AC23" s="14">
        <v>1530</v>
      </c>
      <c r="AD23" s="14">
        <v>1770</v>
      </c>
      <c r="AE23" s="14">
        <v>1920</v>
      </c>
      <c r="AF23" s="14">
        <v>2190</v>
      </c>
      <c r="AG23" s="14">
        <v>2520</v>
      </c>
      <c r="AH23" s="14">
        <v>2790</v>
      </c>
      <c r="AI23" s="14">
        <v>3000</v>
      </c>
    </row>
    <row r="24" spans="1:35">
      <c r="A24" s="5">
        <v>17</v>
      </c>
      <c r="B24" s="5">
        <v>25016</v>
      </c>
      <c r="C24" s="5" t="s">
        <v>122</v>
      </c>
      <c r="D24" s="5" t="s">
        <v>180</v>
      </c>
      <c r="E24" s="5" t="s">
        <v>19</v>
      </c>
      <c r="F24" s="5">
        <v>2022</v>
      </c>
      <c r="G24" s="6">
        <v>44652</v>
      </c>
      <c r="H24" s="5" t="s">
        <v>207</v>
      </c>
      <c r="I24" s="5" t="s">
        <v>177</v>
      </c>
      <c r="J24" s="16">
        <v>21196.78</v>
      </c>
      <c r="K24" s="19">
        <v>960</v>
      </c>
      <c r="L24" s="19">
        <v>840.00000000000011</v>
      </c>
      <c r="M24" s="19">
        <v>1200</v>
      </c>
      <c r="N24" s="19">
        <v>1080</v>
      </c>
      <c r="O24" s="19">
        <v>1080</v>
      </c>
      <c r="P24" s="19">
        <v>960</v>
      </c>
      <c r="Q24" s="19">
        <v>960</v>
      </c>
      <c r="R24" s="19">
        <v>600</v>
      </c>
      <c r="S24" s="19">
        <v>1080</v>
      </c>
      <c r="T24" s="19">
        <v>1320</v>
      </c>
      <c r="U24" s="19">
        <v>1080</v>
      </c>
      <c r="V24" s="19">
        <v>840.00000000000011</v>
      </c>
      <c r="X24" s="14">
        <v>960</v>
      </c>
      <c r="Y24" s="14">
        <v>1800</v>
      </c>
      <c r="Z24" s="14">
        <v>3000</v>
      </c>
      <c r="AA24" s="14">
        <v>4080</v>
      </c>
      <c r="AB24" s="14">
        <v>5160</v>
      </c>
      <c r="AC24" s="14">
        <v>6120</v>
      </c>
      <c r="AD24" s="14">
        <v>7080</v>
      </c>
      <c r="AE24" s="14">
        <v>7680</v>
      </c>
      <c r="AF24" s="14">
        <v>8760</v>
      </c>
      <c r="AG24" s="14">
        <v>10080</v>
      </c>
      <c r="AH24" s="14">
        <v>11160</v>
      </c>
      <c r="AI24" s="14">
        <v>12000</v>
      </c>
    </row>
    <row r="25" spans="1:35">
      <c r="A25" s="5">
        <v>18</v>
      </c>
      <c r="B25" s="5">
        <v>25018</v>
      </c>
      <c r="C25" s="5" t="s">
        <v>145</v>
      </c>
      <c r="D25" s="5" t="s">
        <v>180</v>
      </c>
      <c r="E25" s="5" t="s">
        <v>19</v>
      </c>
      <c r="F25" s="5">
        <v>2022</v>
      </c>
      <c r="G25" s="6">
        <v>44743</v>
      </c>
      <c r="H25" s="5" t="s">
        <v>208</v>
      </c>
      <c r="I25" s="5" t="s">
        <v>141</v>
      </c>
      <c r="J25" s="16">
        <v>8694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</row>
    <row r="26" spans="1:35">
      <c r="A26" s="5">
        <v>19</v>
      </c>
      <c r="B26" s="5">
        <v>25019</v>
      </c>
      <c r="C26" s="5" t="s">
        <v>146</v>
      </c>
      <c r="D26" s="5" t="s">
        <v>180</v>
      </c>
      <c r="E26" s="5" t="s">
        <v>19</v>
      </c>
      <c r="F26" s="5">
        <v>2022</v>
      </c>
      <c r="G26" s="6">
        <v>44713</v>
      </c>
      <c r="H26" s="5" t="s">
        <v>209</v>
      </c>
      <c r="I26" s="5" t="s">
        <v>141</v>
      </c>
      <c r="J26" s="16">
        <v>3203.8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</row>
    <row r="27" spans="1:35">
      <c r="A27" s="5">
        <v>20</v>
      </c>
      <c r="B27" s="5">
        <v>25020</v>
      </c>
      <c r="C27" s="5" t="s">
        <v>147</v>
      </c>
      <c r="D27" s="5" t="s">
        <v>180</v>
      </c>
      <c r="E27" s="5" t="s">
        <v>19</v>
      </c>
      <c r="F27" s="5">
        <v>2022</v>
      </c>
      <c r="G27" s="6">
        <v>44743</v>
      </c>
      <c r="H27" s="5" t="s">
        <v>208</v>
      </c>
      <c r="I27" s="5" t="s">
        <v>141</v>
      </c>
      <c r="J27" s="16">
        <v>7514.3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</row>
    <row r="28" spans="1:35">
      <c r="A28" s="5">
        <v>21</v>
      </c>
      <c r="B28" s="5">
        <v>25021</v>
      </c>
      <c r="C28" s="5" t="s">
        <v>148</v>
      </c>
      <c r="D28" s="5" t="s">
        <v>178</v>
      </c>
      <c r="E28" s="5" t="s">
        <v>17</v>
      </c>
      <c r="F28" s="5" t="s">
        <v>181</v>
      </c>
      <c r="G28" s="6" t="s">
        <v>181</v>
      </c>
      <c r="H28" s="5" t="e">
        <v>#VALUE!</v>
      </c>
      <c r="I28" s="5" t="s">
        <v>141</v>
      </c>
      <c r="J28" s="16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</row>
    <row r="29" spans="1:35">
      <c r="A29" s="5">
        <v>22</v>
      </c>
      <c r="B29" s="5">
        <v>25022</v>
      </c>
      <c r="C29" s="5" t="s">
        <v>149</v>
      </c>
      <c r="D29" s="5" t="s">
        <v>178</v>
      </c>
      <c r="E29" s="5" t="s">
        <v>17</v>
      </c>
      <c r="F29" s="5">
        <v>2022</v>
      </c>
      <c r="G29" s="6">
        <v>44774</v>
      </c>
      <c r="H29" s="5" t="s">
        <v>210</v>
      </c>
      <c r="I29" s="5" t="s">
        <v>141</v>
      </c>
      <c r="J29" s="16">
        <v>2997.3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</row>
    <row r="30" spans="1:35">
      <c r="A30" s="5">
        <v>23</v>
      </c>
      <c r="B30" s="5">
        <v>25023</v>
      </c>
      <c r="C30" s="5" t="s">
        <v>150</v>
      </c>
      <c r="D30" s="5" t="s">
        <v>178</v>
      </c>
      <c r="E30" s="5" t="s">
        <v>17</v>
      </c>
      <c r="F30" s="5">
        <v>2022</v>
      </c>
      <c r="G30" s="6">
        <v>44805</v>
      </c>
      <c r="H30" s="5" t="s">
        <v>211</v>
      </c>
      <c r="I30" s="5" t="s">
        <v>141</v>
      </c>
      <c r="J30" s="16">
        <v>15579.78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</row>
    <row r="31" spans="1:35">
      <c r="A31" s="5">
        <v>24</v>
      </c>
      <c r="B31" s="5">
        <v>25024</v>
      </c>
      <c r="C31" s="5" t="s">
        <v>128</v>
      </c>
      <c r="D31" s="5" t="s">
        <v>180</v>
      </c>
      <c r="E31" s="5" t="s">
        <v>19</v>
      </c>
      <c r="F31" s="5">
        <v>2022</v>
      </c>
      <c r="G31" s="6">
        <v>44835</v>
      </c>
      <c r="H31" s="5" t="s">
        <v>212</v>
      </c>
      <c r="I31" s="5" t="s">
        <v>177</v>
      </c>
      <c r="J31" s="16">
        <v>9553.84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</row>
    <row r="32" spans="1:35">
      <c r="A32" s="5">
        <v>25</v>
      </c>
      <c r="B32" s="5">
        <v>25025</v>
      </c>
      <c r="C32" s="5" t="s">
        <v>151</v>
      </c>
      <c r="D32" s="5" t="s">
        <v>180</v>
      </c>
      <c r="E32" s="5" t="s">
        <v>19</v>
      </c>
      <c r="F32" s="5" t="s">
        <v>181</v>
      </c>
      <c r="G32" s="6" t="s">
        <v>181</v>
      </c>
      <c r="H32" s="5" t="e">
        <v>#VALUE!</v>
      </c>
      <c r="I32" s="5" t="s">
        <v>141</v>
      </c>
      <c r="J32" s="16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</row>
    <row r="33" spans="1:35">
      <c r="A33" s="5">
        <v>26</v>
      </c>
      <c r="B33" s="5">
        <v>25026</v>
      </c>
      <c r="C33" s="5" t="s">
        <v>123</v>
      </c>
      <c r="D33" s="5" t="s">
        <v>180</v>
      </c>
      <c r="E33" s="5" t="s">
        <v>19</v>
      </c>
      <c r="F33" s="5">
        <v>2023</v>
      </c>
      <c r="G33" s="6">
        <v>44927</v>
      </c>
      <c r="H33" s="5" t="s">
        <v>213</v>
      </c>
      <c r="I33" s="5" t="s">
        <v>177</v>
      </c>
      <c r="J33" s="16">
        <v>10735.11</v>
      </c>
      <c r="K33" s="19">
        <v>400</v>
      </c>
      <c r="L33" s="19">
        <v>350.00000000000006</v>
      </c>
      <c r="M33" s="19">
        <v>500</v>
      </c>
      <c r="N33" s="19">
        <v>450</v>
      </c>
      <c r="O33" s="19">
        <v>450</v>
      </c>
      <c r="P33" s="19">
        <v>400</v>
      </c>
      <c r="Q33" s="19">
        <v>400</v>
      </c>
      <c r="R33" s="19">
        <v>250</v>
      </c>
      <c r="S33" s="19">
        <v>450</v>
      </c>
      <c r="T33" s="19">
        <v>550</v>
      </c>
      <c r="U33" s="19">
        <v>450</v>
      </c>
      <c r="V33" s="19">
        <v>350.00000000000006</v>
      </c>
      <c r="X33" s="14">
        <v>400</v>
      </c>
      <c r="Y33" s="14">
        <v>750</v>
      </c>
      <c r="Z33" s="14">
        <v>1250</v>
      </c>
      <c r="AA33" s="14">
        <v>1700</v>
      </c>
      <c r="AB33" s="14">
        <v>2150</v>
      </c>
      <c r="AC33" s="14">
        <v>2550</v>
      </c>
      <c r="AD33" s="14">
        <v>2950</v>
      </c>
      <c r="AE33" s="14">
        <v>3200</v>
      </c>
      <c r="AF33" s="14">
        <v>3650</v>
      </c>
      <c r="AG33" s="14">
        <v>4200</v>
      </c>
      <c r="AH33" s="14">
        <v>4650</v>
      </c>
      <c r="AI33" s="14">
        <v>5000</v>
      </c>
    </row>
    <row r="34" spans="1:35">
      <c r="A34" s="5">
        <v>27</v>
      </c>
      <c r="B34" s="5">
        <v>25027</v>
      </c>
      <c r="C34" s="5" t="s">
        <v>102</v>
      </c>
      <c r="D34" s="5" t="s">
        <v>178</v>
      </c>
      <c r="E34" s="5" t="s">
        <v>18</v>
      </c>
      <c r="F34" s="5">
        <v>2022</v>
      </c>
      <c r="G34" s="6">
        <v>44896</v>
      </c>
      <c r="H34" s="5" t="s">
        <v>214</v>
      </c>
      <c r="I34" s="5" t="s">
        <v>177</v>
      </c>
      <c r="J34" s="16">
        <v>76587.88</v>
      </c>
      <c r="K34" s="19">
        <v>9200</v>
      </c>
      <c r="L34" s="19">
        <v>8050.0000000000009</v>
      </c>
      <c r="M34" s="19">
        <v>11500</v>
      </c>
      <c r="N34" s="19">
        <v>10350</v>
      </c>
      <c r="O34" s="19">
        <v>10350</v>
      </c>
      <c r="P34" s="19">
        <v>9200</v>
      </c>
      <c r="Q34" s="19">
        <v>9200</v>
      </c>
      <c r="R34" s="19">
        <v>5750</v>
      </c>
      <c r="S34" s="19">
        <v>10350</v>
      </c>
      <c r="T34" s="19">
        <v>12650</v>
      </c>
      <c r="U34" s="19">
        <v>10350</v>
      </c>
      <c r="V34" s="19">
        <v>8050.0000000000009</v>
      </c>
      <c r="X34" s="14">
        <v>9200</v>
      </c>
      <c r="Y34" s="14">
        <v>17250</v>
      </c>
      <c r="Z34" s="14">
        <v>28750</v>
      </c>
      <c r="AA34" s="14">
        <v>39100</v>
      </c>
      <c r="AB34" s="14">
        <v>49450</v>
      </c>
      <c r="AC34" s="14">
        <v>58650</v>
      </c>
      <c r="AD34" s="14">
        <v>67850</v>
      </c>
      <c r="AE34" s="14">
        <v>73600</v>
      </c>
      <c r="AF34" s="14">
        <v>83950</v>
      </c>
      <c r="AG34" s="14">
        <v>96600</v>
      </c>
      <c r="AH34" s="14">
        <v>106950</v>
      </c>
      <c r="AI34" s="14">
        <v>115000</v>
      </c>
    </row>
    <row r="35" spans="1:35">
      <c r="A35" s="5">
        <v>28</v>
      </c>
      <c r="B35" s="5">
        <v>25028</v>
      </c>
      <c r="C35" s="5" t="s">
        <v>152</v>
      </c>
      <c r="D35" s="5" t="s">
        <v>93</v>
      </c>
      <c r="E35" s="5" t="s">
        <v>16</v>
      </c>
      <c r="F35" s="5">
        <v>2023</v>
      </c>
      <c r="G35" s="6">
        <v>44927</v>
      </c>
      <c r="H35" s="5" t="s">
        <v>213</v>
      </c>
      <c r="I35" s="5" t="s">
        <v>141</v>
      </c>
      <c r="J35" s="16">
        <v>2978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</row>
    <row r="36" spans="1:35">
      <c r="A36" s="5">
        <v>29</v>
      </c>
      <c r="B36" s="5">
        <v>25029</v>
      </c>
      <c r="C36" s="5" t="s">
        <v>124</v>
      </c>
      <c r="D36" s="5" t="s">
        <v>180</v>
      </c>
      <c r="E36" s="5" t="s">
        <v>19</v>
      </c>
      <c r="F36" s="5">
        <v>2023</v>
      </c>
      <c r="G36" s="6">
        <v>44927</v>
      </c>
      <c r="H36" s="5" t="s">
        <v>213</v>
      </c>
      <c r="I36" s="5" t="s">
        <v>177</v>
      </c>
      <c r="J36" s="16">
        <v>3872.89</v>
      </c>
      <c r="K36" s="19">
        <v>640</v>
      </c>
      <c r="L36" s="19">
        <v>560</v>
      </c>
      <c r="M36" s="19">
        <v>800</v>
      </c>
      <c r="N36" s="19">
        <v>720</v>
      </c>
      <c r="O36" s="19">
        <v>720</v>
      </c>
      <c r="P36" s="19">
        <v>640</v>
      </c>
      <c r="Q36" s="19">
        <v>640</v>
      </c>
      <c r="R36" s="19">
        <v>400</v>
      </c>
      <c r="S36" s="19">
        <v>720</v>
      </c>
      <c r="T36" s="19">
        <v>880</v>
      </c>
      <c r="U36" s="19">
        <v>720</v>
      </c>
      <c r="V36" s="19">
        <v>560</v>
      </c>
      <c r="X36" s="14">
        <v>640</v>
      </c>
      <c r="Y36" s="14">
        <v>1200</v>
      </c>
      <c r="Z36" s="14">
        <v>2000</v>
      </c>
      <c r="AA36" s="14">
        <v>2720</v>
      </c>
      <c r="AB36" s="14">
        <v>3440</v>
      </c>
      <c r="AC36" s="14">
        <v>4080</v>
      </c>
      <c r="AD36" s="14">
        <v>4720</v>
      </c>
      <c r="AE36" s="14">
        <v>5120</v>
      </c>
      <c r="AF36" s="14">
        <v>5840</v>
      </c>
      <c r="AG36" s="14">
        <v>6720</v>
      </c>
      <c r="AH36" s="14">
        <v>7440</v>
      </c>
      <c r="AI36" s="14">
        <v>8000</v>
      </c>
    </row>
    <row r="37" spans="1:35">
      <c r="A37" s="5">
        <v>32</v>
      </c>
      <c r="B37" s="5">
        <v>25032</v>
      </c>
      <c r="C37" s="5" t="s">
        <v>103</v>
      </c>
      <c r="D37" s="5" t="s">
        <v>178</v>
      </c>
      <c r="E37" s="5" t="s">
        <v>18</v>
      </c>
      <c r="F37" s="5">
        <v>2023</v>
      </c>
      <c r="G37" s="6">
        <v>45017</v>
      </c>
      <c r="H37" s="5" t="s">
        <v>215</v>
      </c>
      <c r="I37" s="5" t="s">
        <v>177</v>
      </c>
      <c r="J37" s="16">
        <v>43029.09</v>
      </c>
      <c r="K37" s="19">
        <v>4400</v>
      </c>
      <c r="L37" s="19">
        <v>3850.0000000000005</v>
      </c>
      <c r="M37" s="19">
        <v>5500</v>
      </c>
      <c r="N37" s="19">
        <v>4950</v>
      </c>
      <c r="O37" s="19">
        <v>4950</v>
      </c>
      <c r="P37" s="19">
        <v>4400</v>
      </c>
      <c r="Q37" s="19">
        <v>4400</v>
      </c>
      <c r="R37" s="19">
        <v>2750</v>
      </c>
      <c r="S37" s="19">
        <v>4950</v>
      </c>
      <c r="T37" s="19">
        <v>6050</v>
      </c>
      <c r="U37" s="19">
        <v>4950</v>
      </c>
      <c r="V37" s="19">
        <v>3850.0000000000005</v>
      </c>
      <c r="X37" s="14">
        <v>4400</v>
      </c>
      <c r="Y37" s="14">
        <v>8250</v>
      </c>
      <c r="Z37" s="14">
        <v>13750</v>
      </c>
      <c r="AA37" s="14">
        <v>18700</v>
      </c>
      <c r="AB37" s="14">
        <v>23650</v>
      </c>
      <c r="AC37" s="14">
        <v>28050</v>
      </c>
      <c r="AD37" s="14">
        <v>32450</v>
      </c>
      <c r="AE37" s="14">
        <v>35200</v>
      </c>
      <c r="AF37" s="14">
        <v>40150</v>
      </c>
      <c r="AG37" s="14">
        <v>46200</v>
      </c>
      <c r="AH37" s="14">
        <v>51150</v>
      </c>
      <c r="AI37" s="14">
        <v>55000</v>
      </c>
    </row>
    <row r="38" spans="1:35">
      <c r="A38" s="5">
        <v>33</v>
      </c>
      <c r="B38" s="5">
        <v>25033</v>
      </c>
      <c r="C38" s="5" t="s">
        <v>153</v>
      </c>
      <c r="D38" s="5" t="s">
        <v>93</v>
      </c>
      <c r="E38" s="5" t="s">
        <v>16</v>
      </c>
      <c r="F38" s="5">
        <v>2023</v>
      </c>
      <c r="G38" s="6">
        <v>45047</v>
      </c>
      <c r="H38" s="5" t="s">
        <v>216</v>
      </c>
      <c r="I38" s="5" t="s">
        <v>141</v>
      </c>
      <c r="J38" s="16">
        <v>5424.13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</row>
    <row r="39" spans="1:35">
      <c r="A39" s="5">
        <v>34</v>
      </c>
      <c r="B39" s="5">
        <v>25034</v>
      </c>
      <c r="C39" s="5" t="s">
        <v>154</v>
      </c>
      <c r="D39" s="5" t="s">
        <v>138</v>
      </c>
      <c r="E39" s="5" t="s">
        <v>20</v>
      </c>
      <c r="F39" s="5">
        <v>2023</v>
      </c>
      <c r="G39" s="6">
        <v>45047</v>
      </c>
      <c r="H39" s="5" t="s">
        <v>216</v>
      </c>
      <c r="I39" s="5" t="s">
        <v>177</v>
      </c>
      <c r="J39" s="16">
        <v>494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</row>
    <row r="40" spans="1:35">
      <c r="A40" s="5">
        <v>35</v>
      </c>
      <c r="B40" s="5">
        <v>25035</v>
      </c>
      <c r="C40" s="5" t="s">
        <v>135</v>
      </c>
      <c r="D40" s="5" t="s">
        <v>138</v>
      </c>
      <c r="E40" s="5" t="s">
        <v>20</v>
      </c>
      <c r="F40" s="5">
        <v>2023</v>
      </c>
      <c r="G40" s="6">
        <v>45170</v>
      </c>
      <c r="H40" s="5" t="s">
        <v>217</v>
      </c>
      <c r="I40" s="5" t="s">
        <v>177</v>
      </c>
      <c r="J40" s="16">
        <v>22651.16</v>
      </c>
      <c r="K40" s="19">
        <v>1200</v>
      </c>
      <c r="L40" s="19">
        <v>1050</v>
      </c>
      <c r="M40" s="19">
        <v>1500</v>
      </c>
      <c r="N40" s="19">
        <v>1350</v>
      </c>
      <c r="O40" s="19">
        <v>1350</v>
      </c>
      <c r="P40" s="19">
        <v>1200</v>
      </c>
      <c r="Q40" s="19">
        <v>1200</v>
      </c>
      <c r="R40" s="19">
        <v>750</v>
      </c>
      <c r="S40" s="19">
        <v>1350</v>
      </c>
      <c r="T40" s="19">
        <v>1650</v>
      </c>
      <c r="U40" s="19">
        <v>1350</v>
      </c>
      <c r="V40" s="19">
        <v>1050</v>
      </c>
      <c r="X40" s="14">
        <v>1200</v>
      </c>
      <c r="Y40" s="14">
        <v>2250</v>
      </c>
      <c r="Z40" s="14">
        <v>3750</v>
      </c>
      <c r="AA40" s="14">
        <v>5100</v>
      </c>
      <c r="AB40" s="14">
        <v>6450</v>
      </c>
      <c r="AC40" s="14">
        <v>7650</v>
      </c>
      <c r="AD40" s="14">
        <v>8850</v>
      </c>
      <c r="AE40" s="14">
        <v>9600</v>
      </c>
      <c r="AF40" s="14">
        <v>10950</v>
      </c>
      <c r="AG40" s="14">
        <v>12600</v>
      </c>
      <c r="AH40" s="14">
        <v>13950</v>
      </c>
      <c r="AI40" s="14">
        <v>15000</v>
      </c>
    </row>
    <row r="41" spans="1:35">
      <c r="A41" s="5">
        <v>36</v>
      </c>
      <c r="B41" s="5">
        <v>25036</v>
      </c>
      <c r="C41" s="5" t="s">
        <v>108</v>
      </c>
      <c r="D41" s="5" t="s">
        <v>178</v>
      </c>
      <c r="E41" s="5" t="s">
        <v>18</v>
      </c>
      <c r="F41" s="5">
        <v>2023</v>
      </c>
      <c r="G41" s="6">
        <v>45139</v>
      </c>
      <c r="H41" s="5" t="s">
        <v>218</v>
      </c>
      <c r="I41" s="5" t="s">
        <v>177</v>
      </c>
      <c r="J41" s="16">
        <v>5919.87</v>
      </c>
      <c r="K41" s="19">
        <v>400</v>
      </c>
      <c r="L41" s="19">
        <v>350.00000000000006</v>
      </c>
      <c r="M41" s="19">
        <v>500</v>
      </c>
      <c r="N41" s="19">
        <v>450</v>
      </c>
      <c r="O41" s="19">
        <v>450</v>
      </c>
      <c r="P41" s="19">
        <v>400</v>
      </c>
      <c r="Q41" s="19">
        <v>400</v>
      </c>
      <c r="R41" s="19">
        <v>250</v>
      </c>
      <c r="S41" s="19">
        <v>450</v>
      </c>
      <c r="T41" s="19">
        <v>550</v>
      </c>
      <c r="U41" s="19">
        <v>450</v>
      </c>
      <c r="V41" s="19">
        <v>350.00000000000006</v>
      </c>
      <c r="X41" s="14">
        <v>400</v>
      </c>
      <c r="Y41" s="14">
        <v>750</v>
      </c>
      <c r="Z41" s="14">
        <v>1250</v>
      </c>
      <c r="AA41" s="14">
        <v>1700</v>
      </c>
      <c r="AB41" s="14">
        <v>2150</v>
      </c>
      <c r="AC41" s="14">
        <v>2550</v>
      </c>
      <c r="AD41" s="14">
        <v>2950</v>
      </c>
      <c r="AE41" s="14">
        <v>3200</v>
      </c>
      <c r="AF41" s="14">
        <v>3650</v>
      </c>
      <c r="AG41" s="14">
        <v>4200</v>
      </c>
      <c r="AH41" s="14">
        <v>4650</v>
      </c>
      <c r="AI41" s="14">
        <v>5000</v>
      </c>
    </row>
    <row r="42" spans="1:35">
      <c r="A42" s="5">
        <v>37</v>
      </c>
      <c r="B42" s="5">
        <v>25037</v>
      </c>
      <c r="C42" s="5" t="s">
        <v>197</v>
      </c>
      <c r="D42" s="5" t="s">
        <v>93</v>
      </c>
      <c r="E42" s="5" t="s">
        <v>16</v>
      </c>
      <c r="F42" s="5">
        <v>2023</v>
      </c>
      <c r="G42" s="6">
        <v>45139</v>
      </c>
      <c r="H42" s="5" t="s">
        <v>218</v>
      </c>
      <c r="I42" s="5" t="s">
        <v>177</v>
      </c>
      <c r="J42" s="16">
        <v>21563.64</v>
      </c>
      <c r="K42" s="19">
        <v>1280</v>
      </c>
      <c r="L42" s="19">
        <v>1120</v>
      </c>
      <c r="M42" s="19">
        <v>1600</v>
      </c>
      <c r="N42" s="19">
        <v>1440</v>
      </c>
      <c r="O42" s="19">
        <v>1440</v>
      </c>
      <c r="P42" s="19">
        <v>1280</v>
      </c>
      <c r="Q42" s="19">
        <v>1280</v>
      </c>
      <c r="R42" s="19">
        <v>800</v>
      </c>
      <c r="S42" s="19">
        <v>1440</v>
      </c>
      <c r="T42" s="19">
        <v>1760</v>
      </c>
      <c r="U42" s="19">
        <v>1440</v>
      </c>
      <c r="V42" s="19">
        <v>1120</v>
      </c>
      <c r="X42" s="14">
        <v>1280</v>
      </c>
      <c r="Y42" s="14">
        <v>2400</v>
      </c>
      <c r="Z42" s="14">
        <v>4000</v>
      </c>
      <c r="AA42" s="14">
        <v>5440</v>
      </c>
      <c r="AB42" s="14">
        <v>6880</v>
      </c>
      <c r="AC42" s="14">
        <v>8160</v>
      </c>
      <c r="AD42" s="14">
        <v>9440</v>
      </c>
      <c r="AE42" s="14">
        <v>10240</v>
      </c>
      <c r="AF42" s="14">
        <v>11680</v>
      </c>
      <c r="AG42" s="14">
        <v>13440</v>
      </c>
      <c r="AH42" s="14">
        <v>14880</v>
      </c>
      <c r="AI42" s="14">
        <v>16000</v>
      </c>
    </row>
    <row r="43" spans="1:35">
      <c r="A43" s="5">
        <v>38</v>
      </c>
      <c r="B43" s="5">
        <v>25038</v>
      </c>
      <c r="C43" s="5" t="s">
        <v>104</v>
      </c>
      <c r="D43" s="5" t="s">
        <v>178</v>
      </c>
      <c r="E43" s="5" t="s">
        <v>18</v>
      </c>
      <c r="F43" s="5">
        <v>2023</v>
      </c>
      <c r="G43" s="6">
        <v>45200</v>
      </c>
      <c r="H43" s="5" t="s">
        <v>219</v>
      </c>
      <c r="I43" s="5" t="s">
        <v>177</v>
      </c>
      <c r="J43" s="16">
        <v>7243.37</v>
      </c>
      <c r="K43" s="19">
        <v>2080</v>
      </c>
      <c r="L43" s="19">
        <v>1820.0000000000002</v>
      </c>
      <c r="M43" s="19">
        <v>2600</v>
      </c>
      <c r="N43" s="19">
        <v>2340</v>
      </c>
      <c r="O43" s="19">
        <v>2340</v>
      </c>
      <c r="P43" s="19">
        <v>2080</v>
      </c>
      <c r="Q43" s="19">
        <v>2080</v>
      </c>
      <c r="R43" s="19">
        <v>1300</v>
      </c>
      <c r="S43" s="19">
        <v>2340</v>
      </c>
      <c r="T43" s="19">
        <v>2860</v>
      </c>
      <c r="U43" s="19">
        <v>2340</v>
      </c>
      <c r="V43" s="19">
        <v>1820.0000000000002</v>
      </c>
      <c r="X43" s="14">
        <v>2080</v>
      </c>
      <c r="Y43" s="14">
        <v>3900</v>
      </c>
      <c r="Z43" s="14">
        <v>6500</v>
      </c>
      <c r="AA43" s="14">
        <v>8840</v>
      </c>
      <c r="AB43" s="14">
        <v>11180</v>
      </c>
      <c r="AC43" s="14">
        <v>13260</v>
      </c>
      <c r="AD43" s="14">
        <v>15340</v>
      </c>
      <c r="AE43" s="14">
        <v>16640</v>
      </c>
      <c r="AF43" s="14">
        <v>18980</v>
      </c>
      <c r="AG43" s="14">
        <v>21840</v>
      </c>
      <c r="AH43" s="14">
        <v>24180</v>
      </c>
      <c r="AI43" s="14">
        <v>26000</v>
      </c>
    </row>
    <row r="44" spans="1:35">
      <c r="A44" s="5">
        <v>39</v>
      </c>
      <c r="B44" s="5">
        <v>25039</v>
      </c>
      <c r="C44" s="17" t="s">
        <v>88</v>
      </c>
      <c r="D44" s="5" t="s">
        <v>93</v>
      </c>
      <c r="E44" s="5" t="s">
        <v>17</v>
      </c>
      <c r="F44" s="5">
        <v>2024</v>
      </c>
      <c r="G44" s="6">
        <v>45352</v>
      </c>
      <c r="H44" s="5" t="s">
        <v>220</v>
      </c>
      <c r="I44" s="5" t="s">
        <v>177</v>
      </c>
      <c r="J44" s="16">
        <v>0</v>
      </c>
      <c r="K44" s="19">
        <v>1280</v>
      </c>
      <c r="L44" s="19">
        <v>1120</v>
      </c>
      <c r="M44" s="19">
        <v>1600</v>
      </c>
      <c r="N44" s="19">
        <v>1440</v>
      </c>
      <c r="O44" s="19">
        <v>1440</v>
      </c>
      <c r="P44" s="19">
        <v>1280</v>
      </c>
      <c r="Q44" s="19">
        <v>1280</v>
      </c>
      <c r="R44" s="19">
        <v>800</v>
      </c>
      <c r="S44" s="19">
        <v>1440</v>
      </c>
      <c r="T44" s="19">
        <v>1760</v>
      </c>
      <c r="U44" s="19">
        <v>1440</v>
      </c>
      <c r="V44" s="19">
        <v>1120</v>
      </c>
      <c r="X44" s="14">
        <v>1280</v>
      </c>
      <c r="Y44" s="14">
        <v>2400</v>
      </c>
      <c r="Z44" s="14">
        <v>4000</v>
      </c>
      <c r="AA44" s="14">
        <v>5440</v>
      </c>
      <c r="AB44" s="14">
        <v>6880</v>
      </c>
      <c r="AC44" s="14">
        <v>8160</v>
      </c>
      <c r="AD44" s="14">
        <v>9440</v>
      </c>
      <c r="AE44" s="14">
        <v>10240</v>
      </c>
      <c r="AF44" s="14">
        <v>11680</v>
      </c>
      <c r="AG44" s="14">
        <v>13440</v>
      </c>
      <c r="AH44" s="14">
        <v>14880</v>
      </c>
      <c r="AI44" s="14">
        <v>16000</v>
      </c>
    </row>
    <row r="45" spans="1:35">
      <c r="A45" s="5">
        <v>40</v>
      </c>
      <c r="B45" s="5">
        <v>25040</v>
      </c>
      <c r="C45" s="5" t="s">
        <v>166</v>
      </c>
      <c r="D45" s="5" t="s">
        <v>180</v>
      </c>
      <c r="E45" s="5" t="s">
        <v>19</v>
      </c>
      <c r="F45" s="5">
        <v>2023</v>
      </c>
      <c r="G45" s="6">
        <v>45200</v>
      </c>
      <c r="H45" s="5" t="s">
        <v>219</v>
      </c>
      <c r="I45" s="5" t="s">
        <v>177</v>
      </c>
      <c r="J45" s="16">
        <v>6451.14</v>
      </c>
      <c r="K45" s="19">
        <v>640</v>
      </c>
      <c r="L45" s="19">
        <v>560</v>
      </c>
      <c r="M45" s="19">
        <v>800</v>
      </c>
      <c r="N45" s="19">
        <v>720</v>
      </c>
      <c r="O45" s="19">
        <v>720</v>
      </c>
      <c r="P45" s="19">
        <v>640</v>
      </c>
      <c r="Q45" s="19">
        <v>640</v>
      </c>
      <c r="R45" s="19">
        <v>400</v>
      </c>
      <c r="S45" s="19">
        <v>720</v>
      </c>
      <c r="T45" s="19">
        <v>880</v>
      </c>
      <c r="U45" s="19">
        <v>720</v>
      </c>
      <c r="V45" s="19">
        <v>560</v>
      </c>
      <c r="X45" s="14">
        <v>640</v>
      </c>
      <c r="Y45" s="14">
        <v>1200</v>
      </c>
      <c r="Z45" s="14">
        <v>2000</v>
      </c>
      <c r="AA45" s="14">
        <v>2720</v>
      </c>
      <c r="AB45" s="14">
        <v>3440</v>
      </c>
      <c r="AC45" s="14">
        <v>4080</v>
      </c>
      <c r="AD45" s="14">
        <v>4720</v>
      </c>
      <c r="AE45" s="14">
        <v>5120</v>
      </c>
      <c r="AF45" s="14">
        <v>5840</v>
      </c>
      <c r="AG45" s="14">
        <v>6720</v>
      </c>
      <c r="AH45" s="14">
        <v>7440</v>
      </c>
      <c r="AI45" s="14">
        <v>8000</v>
      </c>
    </row>
    <row r="46" spans="1:35">
      <c r="A46" s="5">
        <v>41</v>
      </c>
      <c r="B46" s="5">
        <v>25041</v>
      </c>
      <c r="C46" s="5" t="s">
        <v>155</v>
      </c>
      <c r="D46" s="5" t="s">
        <v>93</v>
      </c>
      <c r="E46" s="5" t="s">
        <v>17</v>
      </c>
      <c r="F46" s="5">
        <v>2023</v>
      </c>
      <c r="G46" s="6">
        <v>45231</v>
      </c>
      <c r="H46" s="5" t="s">
        <v>221</v>
      </c>
      <c r="I46" s="5" t="s">
        <v>141</v>
      </c>
      <c r="J46" s="16">
        <v>575.16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</row>
    <row r="47" spans="1:35">
      <c r="A47" s="5">
        <v>42</v>
      </c>
      <c r="B47" s="5">
        <v>25042</v>
      </c>
      <c r="C47" s="5" t="s">
        <v>136</v>
      </c>
      <c r="D47" s="5" t="s">
        <v>180</v>
      </c>
      <c r="E47" s="5" t="s">
        <v>19</v>
      </c>
      <c r="F47" s="5">
        <v>2023</v>
      </c>
      <c r="G47" s="6">
        <v>45261</v>
      </c>
      <c r="H47" s="5" t="s">
        <v>222</v>
      </c>
      <c r="I47" s="5" t="s">
        <v>177</v>
      </c>
      <c r="J47" s="16">
        <v>24324</v>
      </c>
      <c r="K47" s="19">
        <v>4000</v>
      </c>
      <c r="L47" s="19">
        <v>3500.0000000000005</v>
      </c>
      <c r="M47" s="19">
        <v>5000</v>
      </c>
      <c r="N47" s="19">
        <v>4500</v>
      </c>
      <c r="O47" s="19">
        <v>4500</v>
      </c>
      <c r="P47" s="19">
        <v>4000</v>
      </c>
      <c r="Q47" s="19">
        <v>4000</v>
      </c>
      <c r="R47" s="19">
        <v>2500</v>
      </c>
      <c r="S47" s="19">
        <v>4500</v>
      </c>
      <c r="T47" s="19">
        <v>5500</v>
      </c>
      <c r="U47" s="19">
        <v>4500</v>
      </c>
      <c r="V47" s="19">
        <v>3500.0000000000005</v>
      </c>
      <c r="X47" s="14">
        <v>4000</v>
      </c>
      <c r="Y47" s="14">
        <v>7500</v>
      </c>
      <c r="Z47" s="14">
        <v>12500</v>
      </c>
      <c r="AA47" s="14">
        <v>17000</v>
      </c>
      <c r="AB47" s="14">
        <v>21500</v>
      </c>
      <c r="AC47" s="14">
        <v>25500</v>
      </c>
      <c r="AD47" s="14">
        <v>29500</v>
      </c>
      <c r="AE47" s="14">
        <v>32000</v>
      </c>
      <c r="AF47" s="14">
        <v>36500</v>
      </c>
      <c r="AG47" s="14">
        <v>42000</v>
      </c>
      <c r="AH47" s="14">
        <v>46500</v>
      </c>
      <c r="AI47" s="14">
        <v>50000</v>
      </c>
    </row>
    <row r="48" spans="1:35">
      <c r="A48" s="5">
        <v>43</v>
      </c>
      <c r="B48" s="5">
        <v>25043</v>
      </c>
      <c r="C48" s="5" t="s">
        <v>126</v>
      </c>
      <c r="D48" s="5" t="s">
        <v>180</v>
      </c>
      <c r="E48" s="5" t="s">
        <v>19</v>
      </c>
      <c r="F48" s="5">
        <v>2023</v>
      </c>
      <c r="G48" s="6">
        <v>45261</v>
      </c>
      <c r="H48" s="5" t="s">
        <v>222</v>
      </c>
      <c r="I48" s="5" t="s">
        <v>177</v>
      </c>
      <c r="J48" s="16">
        <v>1212</v>
      </c>
      <c r="K48" s="19">
        <v>240</v>
      </c>
      <c r="L48" s="19">
        <v>210.00000000000003</v>
      </c>
      <c r="M48" s="19">
        <v>300</v>
      </c>
      <c r="N48" s="19">
        <v>270</v>
      </c>
      <c r="O48" s="19">
        <v>270</v>
      </c>
      <c r="P48" s="19">
        <v>240</v>
      </c>
      <c r="Q48" s="19">
        <v>240</v>
      </c>
      <c r="R48" s="19">
        <v>150</v>
      </c>
      <c r="S48" s="19">
        <v>270</v>
      </c>
      <c r="T48" s="19">
        <v>330</v>
      </c>
      <c r="U48" s="19">
        <v>270</v>
      </c>
      <c r="V48" s="19">
        <v>210.00000000000003</v>
      </c>
      <c r="X48" s="14">
        <v>240</v>
      </c>
      <c r="Y48" s="14">
        <v>450</v>
      </c>
      <c r="Z48" s="14">
        <v>750</v>
      </c>
      <c r="AA48" s="14">
        <v>1020</v>
      </c>
      <c r="AB48" s="14">
        <v>1290</v>
      </c>
      <c r="AC48" s="14">
        <v>1530</v>
      </c>
      <c r="AD48" s="14">
        <v>1770</v>
      </c>
      <c r="AE48" s="14">
        <v>1920</v>
      </c>
      <c r="AF48" s="14">
        <v>2190</v>
      </c>
      <c r="AG48" s="14">
        <v>2520</v>
      </c>
      <c r="AH48" s="14">
        <v>2790</v>
      </c>
      <c r="AI48" s="14">
        <v>3000</v>
      </c>
    </row>
    <row r="49" spans="1:35">
      <c r="A49" s="5">
        <v>44</v>
      </c>
      <c r="B49" s="5">
        <v>25044</v>
      </c>
      <c r="C49" s="17" t="s">
        <v>90</v>
      </c>
      <c r="D49" s="5" t="s">
        <v>93</v>
      </c>
      <c r="E49" s="5" t="s">
        <v>17</v>
      </c>
      <c r="F49" s="5">
        <v>2024</v>
      </c>
      <c r="G49" s="6">
        <v>45292</v>
      </c>
      <c r="H49" s="5" t="s">
        <v>223</v>
      </c>
      <c r="I49" s="5" t="s">
        <v>177</v>
      </c>
      <c r="J49" s="16">
        <v>5613.07</v>
      </c>
      <c r="K49" s="19">
        <v>2000</v>
      </c>
      <c r="L49" s="19">
        <v>1750.0000000000002</v>
      </c>
      <c r="M49" s="19">
        <v>2500</v>
      </c>
      <c r="N49" s="19">
        <v>2250</v>
      </c>
      <c r="O49" s="19">
        <v>2250</v>
      </c>
      <c r="P49" s="19">
        <v>2000</v>
      </c>
      <c r="Q49" s="19">
        <v>2000</v>
      </c>
      <c r="R49" s="19">
        <v>1250</v>
      </c>
      <c r="S49" s="19">
        <v>2250</v>
      </c>
      <c r="T49" s="19">
        <v>2750</v>
      </c>
      <c r="U49" s="19">
        <v>2250</v>
      </c>
      <c r="V49" s="19">
        <v>1750.0000000000002</v>
      </c>
      <c r="X49" s="14">
        <v>2000</v>
      </c>
      <c r="Y49" s="14">
        <v>3750</v>
      </c>
      <c r="Z49" s="14">
        <v>6250</v>
      </c>
      <c r="AA49" s="14">
        <v>8500</v>
      </c>
      <c r="AB49" s="14">
        <v>10750</v>
      </c>
      <c r="AC49" s="14">
        <v>12750</v>
      </c>
      <c r="AD49" s="14">
        <v>14750</v>
      </c>
      <c r="AE49" s="14">
        <v>16000</v>
      </c>
      <c r="AF49" s="14">
        <v>18250</v>
      </c>
      <c r="AG49" s="14">
        <v>21000</v>
      </c>
      <c r="AH49" s="14">
        <v>23250</v>
      </c>
      <c r="AI49" s="14">
        <v>25000</v>
      </c>
    </row>
    <row r="50" spans="1:35">
      <c r="A50" s="5">
        <v>45</v>
      </c>
      <c r="B50" s="5">
        <v>25045</v>
      </c>
      <c r="C50" s="17" t="s">
        <v>77</v>
      </c>
      <c r="D50" s="5" t="s">
        <v>93</v>
      </c>
      <c r="E50" s="5" t="s">
        <v>16</v>
      </c>
      <c r="F50" s="5">
        <v>2024</v>
      </c>
      <c r="G50" s="6">
        <v>45323</v>
      </c>
      <c r="H50" s="5" t="s">
        <v>224</v>
      </c>
      <c r="I50" s="5" t="s">
        <v>177</v>
      </c>
      <c r="J50" s="16"/>
      <c r="K50" s="19">
        <v>2000</v>
      </c>
      <c r="L50" s="19">
        <v>1750.0000000000002</v>
      </c>
      <c r="M50" s="19">
        <v>2500</v>
      </c>
      <c r="N50" s="19">
        <v>2250</v>
      </c>
      <c r="O50" s="19">
        <v>2250</v>
      </c>
      <c r="P50" s="19">
        <v>2000</v>
      </c>
      <c r="Q50" s="19">
        <v>2000</v>
      </c>
      <c r="R50" s="19">
        <v>1250</v>
      </c>
      <c r="S50" s="19">
        <v>2250</v>
      </c>
      <c r="T50" s="19">
        <v>2750</v>
      </c>
      <c r="U50" s="19">
        <v>2250</v>
      </c>
      <c r="V50" s="19">
        <v>1750.0000000000002</v>
      </c>
      <c r="X50" s="14">
        <v>2000</v>
      </c>
      <c r="Y50" s="14">
        <v>3750</v>
      </c>
      <c r="Z50" s="14">
        <v>6250</v>
      </c>
      <c r="AA50" s="14">
        <v>8500</v>
      </c>
      <c r="AB50" s="14">
        <v>10750</v>
      </c>
      <c r="AC50" s="14">
        <v>12750</v>
      </c>
      <c r="AD50" s="14">
        <v>14750</v>
      </c>
      <c r="AE50" s="14">
        <v>16000</v>
      </c>
      <c r="AF50" s="14">
        <v>18250</v>
      </c>
      <c r="AG50" s="14">
        <v>21000</v>
      </c>
      <c r="AH50" s="14">
        <v>23250</v>
      </c>
      <c r="AI50" s="14">
        <v>25000</v>
      </c>
    </row>
    <row r="51" spans="1:35">
      <c r="B51" s="5">
        <v>25046</v>
      </c>
      <c r="C51" s="17" t="s">
        <v>109</v>
      </c>
      <c r="D51" s="5" t="s">
        <v>178</v>
      </c>
      <c r="E51" s="5" t="s">
        <v>18</v>
      </c>
      <c r="F51" s="5">
        <v>2024</v>
      </c>
      <c r="G51" s="6">
        <v>45383</v>
      </c>
      <c r="H51" s="5" t="s">
        <v>225</v>
      </c>
      <c r="I51" s="5" t="s">
        <v>177</v>
      </c>
      <c r="K51" s="19">
        <v>1280</v>
      </c>
      <c r="L51" s="19">
        <v>1120</v>
      </c>
      <c r="M51" s="19">
        <v>1600</v>
      </c>
      <c r="N51" s="19">
        <v>1440</v>
      </c>
      <c r="O51" s="19">
        <v>1440</v>
      </c>
      <c r="P51" s="19">
        <v>1280</v>
      </c>
      <c r="Q51" s="19">
        <v>1280</v>
      </c>
      <c r="R51" s="19">
        <v>800</v>
      </c>
      <c r="S51" s="19">
        <v>1440</v>
      </c>
      <c r="T51" s="19">
        <v>1760</v>
      </c>
      <c r="U51" s="19">
        <v>1440</v>
      </c>
      <c r="V51" s="19">
        <v>1120</v>
      </c>
      <c r="X51" s="14">
        <v>1280</v>
      </c>
      <c r="Y51" s="14">
        <v>2400</v>
      </c>
      <c r="Z51" s="14">
        <v>4000</v>
      </c>
      <c r="AA51" s="14">
        <v>5440</v>
      </c>
      <c r="AB51" s="14">
        <v>6880</v>
      </c>
      <c r="AC51" s="14">
        <v>8160</v>
      </c>
      <c r="AD51" s="14">
        <v>9440</v>
      </c>
      <c r="AE51" s="14">
        <v>10240</v>
      </c>
      <c r="AF51" s="14">
        <v>11680</v>
      </c>
      <c r="AG51" s="14">
        <v>13440</v>
      </c>
      <c r="AH51" s="14">
        <v>14880</v>
      </c>
      <c r="AI51" s="14">
        <v>16000</v>
      </c>
    </row>
    <row r="52" spans="1:35">
      <c r="B52" s="5">
        <v>25047</v>
      </c>
      <c r="C52" s="17" t="s">
        <v>129</v>
      </c>
      <c r="D52" s="5" t="s">
        <v>180</v>
      </c>
      <c r="E52" s="5" t="s">
        <v>19</v>
      </c>
      <c r="F52" s="5">
        <v>2024</v>
      </c>
      <c r="G52" s="6">
        <v>45413</v>
      </c>
      <c r="H52" s="5" t="s">
        <v>226</v>
      </c>
      <c r="I52" s="5" t="s">
        <v>177</v>
      </c>
      <c r="K52" s="19">
        <v>3600</v>
      </c>
      <c r="L52" s="19">
        <v>3150.0000000000005</v>
      </c>
      <c r="M52" s="19">
        <v>4500</v>
      </c>
      <c r="N52" s="19">
        <v>4050</v>
      </c>
      <c r="O52" s="19">
        <v>4050</v>
      </c>
      <c r="P52" s="19">
        <v>3600</v>
      </c>
      <c r="Q52" s="19">
        <v>3600</v>
      </c>
      <c r="R52" s="19">
        <v>2250</v>
      </c>
      <c r="S52" s="19">
        <v>4050</v>
      </c>
      <c r="T52" s="19">
        <v>4950</v>
      </c>
      <c r="U52" s="19">
        <v>4050</v>
      </c>
      <c r="V52" s="19">
        <v>3150.0000000000005</v>
      </c>
      <c r="X52" s="14">
        <v>3600</v>
      </c>
      <c r="Y52" s="14">
        <v>6750</v>
      </c>
      <c r="Z52" s="14">
        <v>11250</v>
      </c>
      <c r="AA52" s="14">
        <v>15300</v>
      </c>
      <c r="AB52" s="14">
        <v>19350</v>
      </c>
      <c r="AC52" s="14">
        <v>22950</v>
      </c>
      <c r="AD52" s="14">
        <v>26550</v>
      </c>
      <c r="AE52" s="14">
        <v>28800</v>
      </c>
      <c r="AF52" s="14">
        <v>32850</v>
      </c>
      <c r="AG52" s="14">
        <v>37800</v>
      </c>
      <c r="AH52" s="14">
        <v>41850</v>
      </c>
      <c r="AI52" s="14">
        <v>45000</v>
      </c>
    </row>
    <row r="53" spans="1:35">
      <c r="B53" s="5">
        <v>25049</v>
      </c>
      <c r="C53" s="17" t="s">
        <v>78</v>
      </c>
      <c r="D53" s="5" t="s">
        <v>93</v>
      </c>
      <c r="E53" s="5" t="s">
        <v>16</v>
      </c>
      <c r="F53" s="5">
        <v>2024</v>
      </c>
      <c r="G53" s="6">
        <v>45413</v>
      </c>
      <c r="H53" s="5" t="s">
        <v>226</v>
      </c>
      <c r="I53" s="5" t="s">
        <v>177</v>
      </c>
      <c r="K53" s="19">
        <v>1440</v>
      </c>
      <c r="L53" s="19">
        <v>1260.0000000000002</v>
      </c>
      <c r="M53" s="19">
        <v>1800</v>
      </c>
      <c r="N53" s="19">
        <v>1620</v>
      </c>
      <c r="O53" s="19">
        <v>1620</v>
      </c>
      <c r="P53" s="19">
        <v>1440</v>
      </c>
      <c r="Q53" s="19">
        <v>1440</v>
      </c>
      <c r="R53" s="19">
        <v>900</v>
      </c>
      <c r="S53" s="19">
        <v>1620</v>
      </c>
      <c r="T53" s="19">
        <v>1980</v>
      </c>
      <c r="U53" s="19">
        <v>1620</v>
      </c>
      <c r="V53" s="19">
        <v>1260.0000000000002</v>
      </c>
      <c r="X53" s="14">
        <v>1440</v>
      </c>
      <c r="Y53" s="14">
        <v>2700</v>
      </c>
      <c r="Z53" s="14">
        <v>4500</v>
      </c>
      <c r="AA53" s="14">
        <v>6120</v>
      </c>
      <c r="AB53" s="14">
        <v>7740</v>
      </c>
      <c r="AC53" s="14">
        <v>9180</v>
      </c>
      <c r="AD53" s="14">
        <v>10620</v>
      </c>
      <c r="AE53" s="14">
        <v>11520</v>
      </c>
      <c r="AF53" s="14">
        <v>13140</v>
      </c>
      <c r="AG53" s="14">
        <v>15120</v>
      </c>
      <c r="AH53" s="14">
        <v>16740</v>
      </c>
      <c r="AI53" s="14">
        <v>18000</v>
      </c>
    </row>
    <row r="54" spans="1:35">
      <c r="B54" s="5">
        <v>25050</v>
      </c>
      <c r="C54" s="17" t="s">
        <v>91</v>
      </c>
      <c r="D54" s="5" t="s">
        <v>93</v>
      </c>
      <c r="E54" s="5" t="s">
        <v>17</v>
      </c>
      <c r="F54" s="5">
        <v>2024</v>
      </c>
      <c r="G54" s="6">
        <v>45444</v>
      </c>
      <c r="H54" s="5" t="s">
        <v>227</v>
      </c>
      <c r="I54" s="5" t="s">
        <v>177</v>
      </c>
      <c r="K54" s="19">
        <v>1280</v>
      </c>
      <c r="L54" s="19">
        <v>1120</v>
      </c>
      <c r="M54" s="19">
        <v>1600</v>
      </c>
      <c r="N54" s="19">
        <v>1440</v>
      </c>
      <c r="O54" s="19">
        <v>1440</v>
      </c>
      <c r="P54" s="19">
        <v>1280</v>
      </c>
      <c r="Q54" s="19">
        <v>1280</v>
      </c>
      <c r="R54" s="19">
        <v>800</v>
      </c>
      <c r="S54" s="19">
        <v>1440</v>
      </c>
      <c r="T54" s="19">
        <v>1760</v>
      </c>
      <c r="U54" s="19">
        <v>1440</v>
      </c>
      <c r="V54" s="19">
        <v>1120</v>
      </c>
      <c r="X54" s="14">
        <v>1280</v>
      </c>
      <c r="Y54" s="14">
        <v>2400</v>
      </c>
      <c r="Z54" s="14">
        <v>4000</v>
      </c>
      <c r="AA54" s="14">
        <v>5440</v>
      </c>
      <c r="AB54" s="14">
        <v>6880</v>
      </c>
      <c r="AC54" s="14">
        <v>8160</v>
      </c>
      <c r="AD54" s="14">
        <v>9440</v>
      </c>
      <c r="AE54" s="14">
        <v>10240</v>
      </c>
      <c r="AF54" s="14">
        <v>11680</v>
      </c>
      <c r="AG54" s="14">
        <v>13440</v>
      </c>
      <c r="AH54" s="14">
        <v>14880</v>
      </c>
      <c r="AI54" s="14">
        <v>16000</v>
      </c>
    </row>
    <row r="55" spans="1:35">
      <c r="B55" s="5">
        <v>25052</v>
      </c>
      <c r="C55" s="17" t="s">
        <v>110</v>
      </c>
      <c r="D55" s="5" t="s">
        <v>178</v>
      </c>
      <c r="E55" s="5" t="s">
        <v>18</v>
      </c>
      <c r="F55" s="5">
        <v>2024</v>
      </c>
      <c r="G55" s="6">
        <v>45474</v>
      </c>
      <c r="H55" s="5" t="s">
        <v>228</v>
      </c>
      <c r="I55" s="5" t="s">
        <v>177</v>
      </c>
      <c r="K55" s="19">
        <v>400</v>
      </c>
      <c r="L55" s="19">
        <v>350.00000000000006</v>
      </c>
      <c r="M55" s="19">
        <v>500</v>
      </c>
      <c r="N55" s="19">
        <v>450</v>
      </c>
      <c r="O55" s="19">
        <v>450</v>
      </c>
      <c r="P55" s="19">
        <v>400</v>
      </c>
      <c r="Q55" s="19">
        <v>400</v>
      </c>
      <c r="R55" s="19">
        <v>250</v>
      </c>
      <c r="S55" s="19">
        <v>450</v>
      </c>
      <c r="T55" s="19">
        <v>550</v>
      </c>
      <c r="U55" s="19">
        <v>450</v>
      </c>
      <c r="V55" s="19">
        <v>350.00000000000006</v>
      </c>
      <c r="X55" s="14">
        <v>400</v>
      </c>
      <c r="Y55" s="14">
        <v>750</v>
      </c>
      <c r="Z55" s="14">
        <v>1250</v>
      </c>
      <c r="AA55" s="14">
        <v>1700</v>
      </c>
      <c r="AB55" s="14">
        <v>2150</v>
      </c>
      <c r="AC55" s="14">
        <v>2550</v>
      </c>
      <c r="AD55" s="14">
        <v>2950</v>
      </c>
      <c r="AE55" s="14">
        <v>3200</v>
      </c>
      <c r="AF55" s="14">
        <v>3650</v>
      </c>
      <c r="AG55" s="14">
        <v>4200</v>
      </c>
      <c r="AH55" s="14">
        <v>4650</v>
      </c>
      <c r="AI55" s="14">
        <v>5000</v>
      </c>
    </row>
    <row r="56" spans="1:35">
      <c r="B56" s="5">
        <v>25053</v>
      </c>
      <c r="C56" s="17" t="s">
        <v>111</v>
      </c>
      <c r="D56" s="5" t="s">
        <v>178</v>
      </c>
      <c r="E56" s="5" t="s">
        <v>18</v>
      </c>
      <c r="F56" s="5">
        <v>2024</v>
      </c>
      <c r="G56" s="6">
        <v>45505</v>
      </c>
      <c r="H56" s="5" t="s">
        <v>229</v>
      </c>
      <c r="I56" s="5" t="s">
        <v>177</v>
      </c>
      <c r="K56" s="19">
        <v>960</v>
      </c>
      <c r="L56" s="19">
        <v>840.00000000000011</v>
      </c>
      <c r="M56" s="19">
        <v>1200</v>
      </c>
      <c r="N56" s="19">
        <v>1080</v>
      </c>
      <c r="O56" s="19">
        <v>1080</v>
      </c>
      <c r="P56" s="19">
        <v>960</v>
      </c>
      <c r="Q56" s="19">
        <v>960</v>
      </c>
      <c r="R56" s="19">
        <v>600</v>
      </c>
      <c r="S56" s="19">
        <v>1080</v>
      </c>
      <c r="T56" s="19">
        <v>1320</v>
      </c>
      <c r="U56" s="19">
        <v>1080</v>
      </c>
      <c r="V56" s="19">
        <v>840.00000000000011</v>
      </c>
      <c r="X56" s="14">
        <v>960</v>
      </c>
      <c r="Y56" s="14">
        <v>1800</v>
      </c>
      <c r="Z56" s="14">
        <v>3000</v>
      </c>
      <c r="AA56" s="14">
        <v>4080</v>
      </c>
      <c r="AB56" s="14">
        <v>5160</v>
      </c>
      <c r="AC56" s="14">
        <v>6120</v>
      </c>
      <c r="AD56" s="14">
        <v>7080</v>
      </c>
      <c r="AE56" s="14">
        <v>7680</v>
      </c>
      <c r="AF56" s="14">
        <v>8760</v>
      </c>
      <c r="AG56" s="14">
        <v>10080</v>
      </c>
      <c r="AH56" s="14">
        <v>11160</v>
      </c>
      <c r="AI56" s="14">
        <v>12000</v>
      </c>
    </row>
    <row r="57" spans="1:35">
      <c r="B57" s="5">
        <v>25054</v>
      </c>
      <c r="C57" s="17" t="s">
        <v>92</v>
      </c>
      <c r="D57" s="5" t="s">
        <v>180</v>
      </c>
      <c r="E57" s="5" t="s">
        <v>19</v>
      </c>
      <c r="F57" s="5">
        <v>2024</v>
      </c>
      <c r="G57" s="6">
        <v>45505</v>
      </c>
      <c r="H57" s="5" t="s">
        <v>229</v>
      </c>
      <c r="I57" s="5" t="s">
        <v>177</v>
      </c>
      <c r="K57" s="19">
        <v>2000</v>
      </c>
      <c r="L57" s="19">
        <v>1750.0000000000002</v>
      </c>
      <c r="M57" s="19">
        <v>2500</v>
      </c>
      <c r="N57" s="19">
        <v>2250</v>
      </c>
      <c r="O57" s="19">
        <v>2250</v>
      </c>
      <c r="P57" s="19">
        <v>2000</v>
      </c>
      <c r="Q57" s="19">
        <v>2000</v>
      </c>
      <c r="R57" s="19">
        <v>1250</v>
      </c>
      <c r="S57" s="19">
        <v>2250</v>
      </c>
      <c r="T57" s="19">
        <v>2750</v>
      </c>
      <c r="U57" s="19">
        <v>2250</v>
      </c>
      <c r="V57" s="19">
        <v>1750.0000000000002</v>
      </c>
      <c r="X57" s="14">
        <v>2000</v>
      </c>
      <c r="Y57" s="14">
        <v>3750</v>
      </c>
      <c r="Z57" s="14">
        <v>6250</v>
      </c>
      <c r="AA57" s="14">
        <v>8500</v>
      </c>
      <c r="AB57" s="14">
        <v>10750</v>
      </c>
      <c r="AC57" s="14">
        <v>12750</v>
      </c>
      <c r="AD57" s="14">
        <v>14750</v>
      </c>
      <c r="AE57" s="14">
        <v>16000</v>
      </c>
      <c r="AF57" s="14">
        <v>18250</v>
      </c>
      <c r="AG57" s="14">
        <v>21000</v>
      </c>
      <c r="AH57" s="14">
        <v>23250</v>
      </c>
      <c r="AI57" s="14">
        <v>25000</v>
      </c>
    </row>
    <row r="58" spans="1:35">
      <c r="B58" s="5">
        <v>25055</v>
      </c>
      <c r="C58" s="17" t="s">
        <v>130</v>
      </c>
      <c r="D58" s="5" t="s">
        <v>180</v>
      </c>
      <c r="E58" s="5" t="s">
        <v>19</v>
      </c>
      <c r="F58" s="5">
        <v>2024</v>
      </c>
      <c r="G58" s="6">
        <v>45536</v>
      </c>
      <c r="H58" s="5" t="s">
        <v>230</v>
      </c>
      <c r="I58" s="5" t="s">
        <v>177</v>
      </c>
      <c r="K58" s="19">
        <v>960</v>
      </c>
      <c r="L58" s="19">
        <v>840.00000000000011</v>
      </c>
      <c r="M58" s="19">
        <v>1200</v>
      </c>
      <c r="N58" s="19">
        <v>1080</v>
      </c>
      <c r="O58" s="19">
        <v>1080</v>
      </c>
      <c r="P58" s="19">
        <v>960</v>
      </c>
      <c r="Q58" s="19">
        <v>960</v>
      </c>
      <c r="R58" s="19">
        <v>600</v>
      </c>
      <c r="S58" s="19">
        <v>1080</v>
      </c>
      <c r="T58" s="19">
        <v>1320</v>
      </c>
      <c r="U58" s="19">
        <v>1080</v>
      </c>
      <c r="V58" s="19">
        <v>840.00000000000011</v>
      </c>
      <c r="X58" s="14">
        <v>960</v>
      </c>
      <c r="Y58" s="14">
        <v>1800</v>
      </c>
      <c r="Z58" s="14">
        <v>3000</v>
      </c>
      <c r="AA58" s="14">
        <v>4080</v>
      </c>
      <c r="AB58" s="14">
        <v>5160</v>
      </c>
      <c r="AC58" s="14">
        <v>6120</v>
      </c>
      <c r="AD58" s="14">
        <v>7080</v>
      </c>
      <c r="AE58" s="14">
        <v>7680</v>
      </c>
      <c r="AF58" s="14">
        <v>8760</v>
      </c>
      <c r="AG58" s="14">
        <v>10080</v>
      </c>
      <c r="AH58" s="14">
        <v>11160</v>
      </c>
      <c r="AI58" s="14">
        <v>12000</v>
      </c>
    </row>
    <row r="59" spans="1:35">
      <c r="B59" s="5">
        <v>25056</v>
      </c>
      <c r="C59" s="17" t="s">
        <v>94</v>
      </c>
      <c r="D59" s="5" t="s">
        <v>178</v>
      </c>
      <c r="E59" s="5" t="s">
        <v>17</v>
      </c>
      <c r="F59" s="5">
        <v>2024</v>
      </c>
      <c r="G59" s="6">
        <v>45536</v>
      </c>
      <c r="H59" s="5" t="s">
        <v>230</v>
      </c>
      <c r="I59" s="5" t="s">
        <v>177</v>
      </c>
      <c r="K59" s="19">
        <v>4000</v>
      </c>
      <c r="L59" s="19">
        <v>3500.0000000000005</v>
      </c>
      <c r="M59" s="19">
        <v>5000</v>
      </c>
      <c r="N59" s="19">
        <v>4500</v>
      </c>
      <c r="O59" s="19">
        <v>4500</v>
      </c>
      <c r="P59" s="19">
        <v>4000</v>
      </c>
      <c r="Q59" s="19">
        <v>4000</v>
      </c>
      <c r="R59" s="19">
        <v>2500</v>
      </c>
      <c r="S59" s="19">
        <v>4500</v>
      </c>
      <c r="T59" s="19">
        <v>5500</v>
      </c>
      <c r="U59" s="19">
        <v>4500</v>
      </c>
      <c r="V59" s="19">
        <v>3500.0000000000005</v>
      </c>
      <c r="X59" s="14">
        <v>4000</v>
      </c>
      <c r="Y59" s="14">
        <v>7500</v>
      </c>
      <c r="Z59" s="14">
        <v>12500</v>
      </c>
      <c r="AA59" s="14">
        <v>17000</v>
      </c>
      <c r="AB59" s="14">
        <v>21500</v>
      </c>
      <c r="AC59" s="14">
        <v>25500</v>
      </c>
      <c r="AD59" s="14">
        <v>29500</v>
      </c>
      <c r="AE59" s="14">
        <v>32000</v>
      </c>
      <c r="AF59" s="14">
        <v>36500</v>
      </c>
      <c r="AG59" s="14">
        <v>42000</v>
      </c>
      <c r="AH59" s="14">
        <v>46500</v>
      </c>
      <c r="AI59" s="14">
        <v>50000</v>
      </c>
    </row>
    <row r="60" spans="1:35">
      <c r="B60" s="11">
        <v>25057</v>
      </c>
      <c r="C60" s="11" t="s">
        <v>156</v>
      </c>
      <c r="D60" s="5" t="s">
        <v>93</v>
      </c>
      <c r="E60" s="5" t="s">
        <v>17</v>
      </c>
      <c r="F60" s="5">
        <v>2024</v>
      </c>
      <c r="G60" s="6">
        <v>45566</v>
      </c>
      <c r="H60" s="5" t="s">
        <v>231</v>
      </c>
      <c r="I60" s="5" t="s">
        <v>141</v>
      </c>
      <c r="K60" s="19">
        <v>800</v>
      </c>
      <c r="L60" s="19">
        <v>700.00000000000011</v>
      </c>
      <c r="M60" s="19">
        <v>1000</v>
      </c>
      <c r="N60" s="19">
        <v>900</v>
      </c>
      <c r="O60" s="19">
        <v>900</v>
      </c>
      <c r="P60" s="19">
        <v>800</v>
      </c>
      <c r="Q60" s="19">
        <v>800</v>
      </c>
      <c r="R60" s="19">
        <v>500</v>
      </c>
      <c r="S60" s="19">
        <v>900</v>
      </c>
      <c r="T60" s="19">
        <v>1100</v>
      </c>
      <c r="U60" s="19">
        <v>900</v>
      </c>
      <c r="V60" s="19">
        <v>700.00000000000011</v>
      </c>
      <c r="X60" s="14">
        <v>800</v>
      </c>
      <c r="Y60" s="14">
        <v>1500</v>
      </c>
      <c r="Z60" s="14">
        <v>2500</v>
      </c>
      <c r="AA60" s="14">
        <v>3400</v>
      </c>
      <c r="AB60" s="14">
        <v>4300</v>
      </c>
      <c r="AC60" s="14">
        <v>5100</v>
      </c>
      <c r="AD60" s="14">
        <v>5900</v>
      </c>
      <c r="AE60" s="14">
        <v>6400</v>
      </c>
      <c r="AF60" s="14">
        <v>7300</v>
      </c>
      <c r="AG60" s="14">
        <v>8400</v>
      </c>
      <c r="AH60" s="14">
        <v>9300</v>
      </c>
      <c r="AI60" s="14">
        <v>10000</v>
      </c>
    </row>
    <row r="61" spans="1:35">
      <c r="B61" s="12">
        <v>25058</v>
      </c>
      <c r="C61" s="18" t="s">
        <v>112</v>
      </c>
      <c r="D61" s="5" t="s">
        <v>178</v>
      </c>
      <c r="E61" s="5" t="s">
        <v>18</v>
      </c>
      <c r="F61" s="5">
        <v>2024</v>
      </c>
      <c r="G61" s="6">
        <v>45566</v>
      </c>
      <c r="H61" s="5" t="s">
        <v>231</v>
      </c>
      <c r="I61" s="5" t="s">
        <v>177</v>
      </c>
      <c r="K61" s="19">
        <v>960</v>
      </c>
      <c r="L61" s="19">
        <v>840.00000000000011</v>
      </c>
      <c r="M61" s="19">
        <v>1200</v>
      </c>
      <c r="N61" s="19">
        <v>1080</v>
      </c>
      <c r="O61" s="19">
        <v>1080</v>
      </c>
      <c r="P61" s="19">
        <v>960</v>
      </c>
      <c r="Q61" s="19">
        <v>960</v>
      </c>
      <c r="R61" s="19">
        <v>600</v>
      </c>
      <c r="S61" s="19">
        <v>1080</v>
      </c>
      <c r="T61" s="19">
        <v>1320</v>
      </c>
      <c r="U61" s="19">
        <v>1080</v>
      </c>
      <c r="V61" s="19">
        <v>840.00000000000011</v>
      </c>
      <c r="X61" s="14">
        <v>960</v>
      </c>
      <c r="Y61" s="14">
        <v>1800</v>
      </c>
      <c r="Z61" s="14">
        <v>3000</v>
      </c>
      <c r="AA61" s="14">
        <v>4080</v>
      </c>
      <c r="AB61" s="14">
        <v>5160</v>
      </c>
      <c r="AC61" s="14">
        <v>6120</v>
      </c>
      <c r="AD61" s="14">
        <v>7080</v>
      </c>
      <c r="AE61" s="14">
        <v>7680</v>
      </c>
      <c r="AF61" s="14">
        <v>8760</v>
      </c>
      <c r="AG61" s="14">
        <v>10080</v>
      </c>
      <c r="AH61" s="14">
        <v>11160</v>
      </c>
      <c r="AI61" s="14">
        <v>12000</v>
      </c>
    </row>
    <row r="62" spans="1:35">
      <c r="B62" s="5">
        <v>25059</v>
      </c>
      <c r="C62" s="5" t="s">
        <v>113</v>
      </c>
      <c r="D62" s="5" t="s">
        <v>178</v>
      </c>
      <c r="E62" s="5" t="s">
        <v>18</v>
      </c>
      <c r="F62" s="5">
        <v>2024</v>
      </c>
      <c r="G62" s="6">
        <v>45627</v>
      </c>
      <c r="H62" s="5" t="s">
        <v>232</v>
      </c>
      <c r="I62" s="5" t="s">
        <v>177</v>
      </c>
      <c r="K62" s="19">
        <v>960</v>
      </c>
      <c r="L62" s="19">
        <v>840.00000000000011</v>
      </c>
      <c r="M62" s="19">
        <v>1200</v>
      </c>
      <c r="N62" s="19">
        <v>1080</v>
      </c>
      <c r="O62" s="19">
        <v>1080</v>
      </c>
      <c r="P62" s="19">
        <v>960</v>
      </c>
      <c r="Q62" s="19">
        <v>960</v>
      </c>
      <c r="R62" s="19">
        <v>600</v>
      </c>
      <c r="S62" s="19">
        <v>1080</v>
      </c>
      <c r="T62" s="19">
        <v>1320</v>
      </c>
      <c r="U62" s="19">
        <v>1080</v>
      </c>
      <c r="V62" s="19">
        <v>840.00000000000011</v>
      </c>
      <c r="X62" s="14">
        <v>960</v>
      </c>
      <c r="Y62" s="14">
        <v>1800</v>
      </c>
      <c r="Z62" s="14">
        <v>3000</v>
      </c>
      <c r="AA62" s="14">
        <v>4080</v>
      </c>
      <c r="AB62" s="14">
        <v>5160</v>
      </c>
      <c r="AC62" s="14">
        <v>6120</v>
      </c>
      <c r="AD62" s="14">
        <v>7080</v>
      </c>
      <c r="AE62" s="14">
        <v>7680</v>
      </c>
      <c r="AF62" s="14">
        <v>8760</v>
      </c>
      <c r="AG62" s="14">
        <v>10080</v>
      </c>
      <c r="AH62" s="14">
        <v>11160</v>
      </c>
      <c r="AI62" s="14">
        <v>12000</v>
      </c>
    </row>
    <row r="63" spans="1:35"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35">
      <c r="A64" s="5">
        <v>20</v>
      </c>
      <c r="B64" t="s">
        <v>83</v>
      </c>
      <c r="C64" t="s">
        <v>242</v>
      </c>
      <c r="D64"/>
      <c r="E64"/>
      <c r="F64">
        <v>2025</v>
      </c>
      <c r="G64" t="s">
        <v>18</v>
      </c>
      <c r="H64" t="s">
        <v>83</v>
      </c>
      <c r="K64" s="19">
        <v>0</v>
      </c>
      <c r="L64" s="19">
        <v>4500</v>
      </c>
      <c r="M64" s="19">
        <v>9000</v>
      </c>
      <c r="N64" s="19">
        <v>9000</v>
      </c>
      <c r="O64" s="19">
        <v>13500</v>
      </c>
      <c r="P64" s="19">
        <v>13500</v>
      </c>
      <c r="Q64" s="19">
        <v>18000</v>
      </c>
      <c r="R64" s="19">
        <v>13500</v>
      </c>
      <c r="S64" s="19">
        <v>27000</v>
      </c>
      <c r="T64" s="19">
        <v>27000</v>
      </c>
      <c r="U64" s="19">
        <v>27000</v>
      </c>
      <c r="V64" s="19">
        <v>18000</v>
      </c>
      <c r="X64" s="15">
        <v>0</v>
      </c>
      <c r="Y64" s="15">
        <v>4500</v>
      </c>
      <c r="Z64" s="15">
        <v>13500</v>
      </c>
      <c r="AA64" s="15">
        <v>22500</v>
      </c>
      <c r="AB64" s="15">
        <v>36000</v>
      </c>
      <c r="AC64" s="15">
        <v>49500</v>
      </c>
      <c r="AD64" s="15">
        <v>67500</v>
      </c>
      <c r="AE64" s="15">
        <v>81000</v>
      </c>
      <c r="AF64" s="15">
        <v>108000</v>
      </c>
      <c r="AG64" s="15">
        <v>135000</v>
      </c>
      <c r="AH64" s="15">
        <v>162000</v>
      </c>
      <c r="AI64" s="15">
        <v>180000</v>
      </c>
    </row>
    <row r="65" spans="1:35">
      <c r="A65" s="5">
        <v>20</v>
      </c>
      <c r="B65" t="s">
        <v>83</v>
      </c>
      <c r="C65" t="s">
        <v>243</v>
      </c>
      <c r="D65"/>
      <c r="E65"/>
      <c r="F65">
        <v>2025</v>
      </c>
      <c r="G65" t="s">
        <v>19</v>
      </c>
      <c r="H65" t="s">
        <v>83</v>
      </c>
      <c r="K65" s="19">
        <v>0</v>
      </c>
      <c r="L65" s="19">
        <v>4500</v>
      </c>
      <c r="M65" s="19">
        <v>9000</v>
      </c>
      <c r="N65" s="19">
        <v>9000</v>
      </c>
      <c r="O65" s="19">
        <v>13500</v>
      </c>
      <c r="P65" s="19">
        <v>13500</v>
      </c>
      <c r="Q65" s="19">
        <v>18000</v>
      </c>
      <c r="R65" s="19">
        <v>13500</v>
      </c>
      <c r="S65" s="19">
        <v>27000</v>
      </c>
      <c r="T65" s="19">
        <v>27000</v>
      </c>
      <c r="U65" s="19">
        <v>27000</v>
      </c>
      <c r="V65" s="19">
        <v>18000</v>
      </c>
      <c r="X65" s="15">
        <v>0</v>
      </c>
      <c r="Y65" s="15">
        <v>4500</v>
      </c>
      <c r="Z65" s="15">
        <v>13500</v>
      </c>
      <c r="AA65" s="15">
        <v>22500</v>
      </c>
      <c r="AB65" s="15">
        <v>36000</v>
      </c>
      <c r="AC65" s="15">
        <v>49500</v>
      </c>
      <c r="AD65" s="15">
        <v>67500</v>
      </c>
      <c r="AE65" s="15">
        <v>81000</v>
      </c>
      <c r="AF65" s="15">
        <v>108000</v>
      </c>
      <c r="AG65" s="15">
        <v>135000</v>
      </c>
      <c r="AH65" s="15">
        <v>162000</v>
      </c>
      <c r="AI65" s="15">
        <v>180000</v>
      </c>
    </row>
    <row r="66" spans="1:35">
      <c r="A66" s="5">
        <v>20</v>
      </c>
      <c r="B66" t="s">
        <v>83</v>
      </c>
      <c r="C66" t="s">
        <v>244</v>
      </c>
      <c r="D66"/>
      <c r="E66"/>
      <c r="F66">
        <v>2025</v>
      </c>
      <c r="G66" t="s">
        <v>16</v>
      </c>
      <c r="H66" t="s">
        <v>83</v>
      </c>
      <c r="K66" s="19">
        <v>0</v>
      </c>
      <c r="L66" s="19">
        <v>4500</v>
      </c>
      <c r="M66" s="19">
        <v>9000</v>
      </c>
      <c r="N66" s="19">
        <v>9000</v>
      </c>
      <c r="O66" s="19">
        <v>13500</v>
      </c>
      <c r="P66" s="19">
        <v>13500</v>
      </c>
      <c r="Q66" s="19">
        <v>18000</v>
      </c>
      <c r="R66" s="19">
        <v>13500</v>
      </c>
      <c r="S66" s="19">
        <v>27000</v>
      </c>
      <c r="T66" s="19">
        <v>27000</v>
      </c>
      <c r="U66" s="19">
        <v>27000</v>
      </c>
      <c r="V66" s="19">
        <v>18000</v>
      </c>
      <c r="X66" s="15">
        <v>0</v>
      </c>
      <c r="Y66" s="15">
        <v>4500</v>
      </c>
      <c r="Z66" s="15">
        <v>13500</v>
      </c>
      <c r="AA66" s="15">
        <v>22500</v>
      </c>
      <c r="AB66" s="15">
        <v>36000</v>
      </c>
      <c r="AC66" s="15">
        <v>49500</v>
      </c>
      <c r="AD66" s="15">
        <v>67500</v>
      </c>
      <c r="AE66" s="15">
        <v>81000</v>
      </c>
      <c r="AF66" s="15">
        <v>108000</v>
      </c>
      <c r="AG66" s="15">
        <v>135000</v>
      </c>
      <c r="AH66" s="15">
        <v>162000</v>
      </c>
      <c r="AI66" s="15">
        <v>180000</v>
      </c>
    </row>
    <row r="67" spans="1:35">
      <c r="A67" s="5">
        <v>10</v>
      </c>
      <c r="B67" t="s">
        <v>83</v>
      </c>
      <c r="C67" t="s">
        <v>245</v>
      </c>
      <c r="D67"/>
      <c r="E67"/>
      <c r="F67">
        <v>2025</v>
      </c>
      <c r="G67" t="s">
        <v>20</v>
      </c>
      <c r="H67" t="s">
        <v>83</v>
      </c>
      <c r="K67" s="19">
        <v>0</v>
      </c>
      <c r="L67" s="19">
        <v>2250</v>
      </c>
      <c r="M67" s="19">
        <v>4500</v>
      </c>
      <c r="N67" s="19">
        <v>4500</v>
      </c>
      <c r="O67" s="19">
        <v>6750</v>
      </c>
      <c r="P67" s="19">
        <v>6750</v>
      </c>
      <c r="Q67" s="19">
        <v>9000</v>
      </c>
      <c r="R67" s="19">
        <v>6750</v>
      </c>
      <c r="S67" s="19">
        <v>13500</v>
      </c>
      <c r="T67" s="19">
        <v>13500</v>
      </c>
      <c r="U67" s="19">
        <v>13500</v>
      </c>
      <c r="V67" s="19">
        <v>9000</v>
      </c>
      <c r="X67" s="15">
        <v>0</v>
      </c>
      <c r="Y67" s="15">
        <v>2250</v>
      </c>
      <c r="Z67" s="15">
        <v>6750</v>
      </c>
      <c r="AA67" s="15">
        <v>11250</v>
      </c>
      <c r="AB67" s="15">
        <v>18000</v>
      </c>
      <c r="AC67" s="15">
        <v>24750</v>
      </c>
      <c r="AD67" s="15">
        <v>33750</v>
      </c>
      <c r="AE67" s="15">
        <v>40500</v>
      </c>
      <c r="AF67" s="15">
        <v>54000</v>
      </c>
      <c r="AG67" s="15">
        <v>67500</v>
      </c>
      <c r="AH67" s="15">
        <v>81000</v>
      </c>
      <c r="AI67" s="15">
        <v>90000</v>
      </c>
    </row>
  </sheetData>
  <autoFilter ref="A11:V62" xr:uid="{00000000-0001-0000-0000-000000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9790-6D3F-4EA9-8070-0DF2F159B31E}">
  <dimension ref="B1:AC60"/>
  <sheetViews>
    <sheetView topLeftCell="H30" workbookViewId="0">
      <selection activeCell="B6" sqref="B6:C51"/>
    </sheetView>
  </sheetViews>
  <sheetFormatPr defaultColWidth="8.85546875" defaultRowHeight="15"/>
  <cols>
    <col min="3" max="3" width="43.85546875" bestFit="1" customWidth="1"/>
    <col min="4" max="4" width="10.7109375" bestFit="1" customWidth="1"/>
    <col min="5" max="5" width="9" bestFit="1" customWidth="1"/>
    <col min="6" max="6" width="6.7109375" bestFit="1" customWidth="1"/>
    <col min="7" max="7" width="16.42578125" bestFit="1" customWidth="1"/>
    <col min="8" max="8" width="20" bestFit="1" customWidth="1"/>
    <col min="9" max="10" width="11.140625" bestFit="1" customWidth="1"/>
    <col min="11" max="11" width="11.28515625" bestFit="1" customWidth="1"/>
    <col min="12" max="12" width="11.42578125" customWidth="1"/>
    <col min="13" max="13" width="2" customWidth="1"/>
  </cols>
  <sheetData>
    <row r="1" spans="2:29">
      <c r="E1" s="20"/>
      <c r="F1" s="20"/>
      <c r="G1" s="20"/>
      <c r="H1" s="20"/>
      <c r="I1" s="21">
        <v>2022</v>
      </c>
      <c r="J1" s="21">
        <v>2023</v>
      </c>
      <c r="K1" s="21">
        <v>2024</v>
      </c>
      <c r="L1" s="22" t="s">
        <v>70</v>
      </c>
      <c r="M1" s="21"/>
      <c r="N1" s="21" t="s">
        <v>246</v>
      </c>
      <c r="P1" s="23">
        <v>45658</v>
      </c>
      <c r="Q1" s="23">
        <v>45689</v>
      </c>
      <c r="R1" s="23">
        <v>45717</v>
      </c>
      <c r="S1" s="23">
        <v>45748</v>
      </c>
      <c r="T1" s="23">
        <v>45778</v>
      </c>
      <c r="U1" s="23">
        <v>45809</v>
      </c>
      <c r="V1" s="23">
        <v>45839</v>
      </c>
      <c r="W1" s="23">
        <v>45870</v>
      </c>
      <c r="X1" s="23">
        <v>45901</v>
      </c>
      <c r="Y1" s="23">
        <v>45931</v>
      </c>
      <c r="Z1" s="23">
        <v>45962</v>
      </c>
      <c r="AA1" s="23">
        <v>45992</v>
      </c>
    </row>
    <row r="2" spans="2:29">
      <c r="E2" t="s">
        <v>18</v>
      </c>
      <c r="I2" s="2">
        <v>168177.99</v>
      </c>
      <c r="J2" s="2">
        <v>256011.77000000002</v>
      </c>
      <c r="K2" s="2">
        <v>393403.7300000001</v>
      </c>
      <c r="L2" s="2">
        <v>644500</v>
      </c>
      <c r="N2" s="3">
        <v>0.6382661140503163</v>
      </c>
      <c r="P2" s="2">
        <v>37160</v>
      </c>
      <c r="Q2" s="2">
        <v>37015</v>
      </c>
      <c r="R2" s="2">
        <v>55450</v>
      </c>
      <c r="S2" s="2">
        <v>50805</v>
      </c>
      <c r="T2" s="2">
        <v>55305</v>
      </c>
      <c r="U2" s="2">
        <v>50660</v>
      </c>
      <c r="V2" s="2">
        <v>55160</v>
      </c>
      <c r="W2" s="2">
        <v>36725</v>
      </c>
      <c r="X2" s="2">
        <v>68805</v>
      </c>
      <c r="Y2" s="2">
        <v>78095</v>
      </c>
      <c r="Z2" s="2">
        <v>68805</v>
      </c>
      <c r="AA2" s="2">
        <v>50515</v>
      </c>
    </row>
    <row r="3" spans="2:29">
      <c r="E3" t="s">
        <v>16</v>
      </c>
      <c r="I3" s="2">
        <v>32357.19</v>
      </c>
      <c r="J3" s="2">
        <v>45572.71</v>
      </c>
      <c r="K3" s="2">
        <v>114005</v>
      </c>
      <c r="L3" s="2">
        <v>304000</v>
      </c>
      <c r="N3" s="3">
        <v>1.6665497127318978</v>
      </c>
      <c r="P3" s="2">
        <v>9920</v>
      </c>
      <c r="Q3" s="2">
        <v>13180.000000000002</v>
      </c>
      <c r="R3" s="2">
        <v>21400</v>
      </c>
      <c r="S3" s="2">
        <v>20160</v>
      </c>
      <c r="T3" s="2">
        <v>24660</v>
      </c>
      <c r="U3" s="2">
        <v>23420</v>
      </c>
      <c r="V3" s="2">
        <v>27920</v>
      </c>
      <c r="W3" s="2">
        <v>19700</v>
      </c>
      <c r="X3" s="2">
        <v>38160</v>
      </c>
      <c r="Y3" s="2">
        <v>40640</v>
      </c>
      <c r="Z3" s="2">
        <v>38160</v>
      </c>
      <c r="AA3" s="2">
        <v>26680</v>
      </c>
    </row>
    <row r="4" spans="2:29">
      <c r="E4" t="s">
        <v>19</v>
      </c>
      <c r="I4" s="2">
        <v>89830.65</v>
      </c>
      <c r="J4" s="2">
        <v>118243.23000000001</v>
      </c>
      <c r="K4" s="2">
        <v>208058.82</v>
      </c>
      <c r="L4" s="2">
        <v>418000</v>
      </c>
      <c r="N4" s="3">
        <v>1.0090472492346154</v>
      </c>
      <c r="P4" s="2">
        <v>19040</v>
      </c>
      <c r="Q4" s="2">
        <v>21160.000000000004</v>
      </c>
      <c r="R4" s="2">
        <v>32800</v>
      </c>
      <c r="S4" s="2">
        <v>30420</v>
      </c>
      <c r="T4" s="2">
        <v>34920</v>
      </c>
      <c r="U4" s="2">
        <v>32540</v>
      </c>
      <c r="V4" s="2">
        <v>37040</v>
      </c>
      <c r="W4" s="2">
        <v>25400</v>
      </c>
      <c r="X4" s="2">
        <v>48420</v>
      </c>
      <c r="Y4" s="2">
        <v>53180</v>
      </c>
      <c r="Z4" s="2">
        <v>48420</v>
      </c>
      <c r="AA4" s="2">
        <v>34660</v>
      </c>
    </row>
    <row r="5" spans="2:29">
      <c r="E5" t="s">
        <v>20</v>
      </c>
      <c r="I5" s="2">
        <v>0</v>
      </c>
      <c r="J5" s="2">
        <v>22651.16</v>
      </c>
      <c r="K5" s="2">
        <v>16193.58</v>
      </c>
      <c r="L5" s="2">
        <v>127000</v>
      </c>
      <c r="N5" s="3">
        <v>6.8426141717890667</v>
      </c>
      <c r="P5" s="2">
        <v>2960</v>
      </c>
      <c r="Q5" s="2">
        <v>4840</v>
      </c>
      <c r="R5" s="2">
        <v>8200</v>
      </c>
      <c r="S5" s="2">
        <v>7830</v>
      </c>
      <c r="T5" s="2">
        <v>10080</v>
      </c>
      <c r="U5" s="2">
        <v>9710</v>
      </c>
      <c r="V5" s="2">
        <v>11960</v>
      </c>
      <c r="W5" s="2">
        <v>8600</v>
      </c>
      <c r="X5" s="2">
        <v>16830</v>
      </c>
      <c r="Y5" s="2">
        <v>17570</v>
      </c>
      <c r="Z5" s="2">
        <v>16830</v>
      </c>
      <c r="AA5" s="2">
        <v>11590</v>
      </c>
    </row>
    <row r="6" spans="2:29">
      <c r="E6" s="24" t="s">
        <v>247</v>
      </c>
      <c r="F6" s="24"/>
      <c r="G6" s="24"/>
      <c r="H6" s="24"/>
      <c r="I6" s="25">
        <v>290365.82999999996</v>
      </c>
      <c r="J6" s="25">
        <v>442478.87000000005</v>
      </c>
      <c r="K6" s="25">
        <v>731661.13</v>
      </c>
      <c r="L6" s="25">
        <v>1493500</v>
      </c>
      <c r="M6" s="24"/>
      <c r="N6" s="26">
        <v>1.0412455148464699</v>
      </c>
      <c r="P6" s="25">
        <v>69080</v>
      </c>
      <c r="Q6" s="25">
        <v>76195</v>
      </c>
      <c r="R6" s="25">
        <v>117850</v>
      </c>
      <c r="S6" s="25">
        <v>109215</v>
      </c>
      <c r="T6" s="25">
        <v>124965</v>
      </c>
      <c r="U6" s="25">
        <v>116330</v>
      </c>
      <c r="V6" s="25">
        <v>132080</v>
      </c>
      <c r="W6" s="25">
        <v>90425</v>
      </c>
      <c r="X6" s="25">
        <v>172215</v>
      </c>
      <c r="Y6" s="25">
        <v>189485</v>
      </c>
      <c r="Z6" s="25">
        <v>172215</v>
      </c>
      <c r="AA6" s="25">
        <v>123445</v>
      </c>
    </row>
    <row r="7" spans="2:29"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2:29">
      <c r="O8" t="s">
        <v>6</v>
      </c>
      <c r="P8" s="28">
        <v>0</v>
      </c>
      <c r="Q8" s="28">
        <v>2.5000000000000001E-2</v>
      </c>
      <c r="R8" s="28">
        <v>0.05</v>
      </c>
      <c r="S8" s="28">
        <v>0.05</v>
      </c>
      <c r="T8" s="28">
        <v>7.4999999999999997E-2</v>
      </c>
      <c r="U8" s="28">
        <v>7.4999999999999997E-2</v>
      </c>
      <c r="V8" s="28">
        <v>0.1</v>
      </c>
      <c r="W8" s="28">
        <v>7.4999999999999997E-2</v>
      </c>
      <c r="X8" s="28">
        <v>0.15</v>
      </c>
      <c r="Y8" s="28">
        <v>0.15</v>
      </c>
      <c r="Z8" s="28">
        <v>0.15</v>
      </c>
      <c r="AA8" s="28">
        <v>0.1</v>
      </c>
    </row>
    <row r="9" spans="2:29">
      <c r="O9" t="s">
        <v>5</v>
      </c>
      <c r="P9" s="29">
        <v>0.08</v>
      </c>
      <c r="Q9" s="29">
        <v>7.0000000000000007E-2</v>
      </c>
      <c r="R9" s="29">
        <v>0.1</v>
      </c>
      <c r="S9" s="29">
        <v>0.09</v>
      </c>
      <c r="T9" s="29">
        <v>0.09</v>
      </c>
      <c r="U9" s="29">
        <v>0.08</v>
      </c>
      <c r="V9" s="29">
        <v>0.08</v>
      </c>
      <c r="W9" s="29">
        <v>0.05</v>
      </c>
      <c r="X9" s="29">
        <v>0.09</v>
      </c>
      <c r="Y9" s="29">
        <v>0.11</v>
      </c>
      <c r="Z9" s="29">
        <v>0.09</v>
      </c>
      <c r="AA9" s="29">
        <v>7.0000000000000007E-2</v>
      </c>
    </row>
    <row r="10" spans="2:29">
      <c r="L10" s="4"/>
    </row>
    <row r="11" spans="2:29">
      <c r="B11" s="30" t="s">
        <v>158</v>
      </c>
      <c r="C11" s="30" t="s">
        <v>55</v>
      </c>
      <c r="D11" s="30" t="s">
        <v>248</v>
      </c>
      <c r="E11" s="30" t="s">
        <v>56</v>
      </c>
      <c r="F11" s="30" t="s">
        <v>35</v>
      </c>
      <c r="G11" s="30" t="s">
        <v>249</v>
      </c>
      <c r="H11" s="30" t="s">
        <v>250</v>
      </c>
      <c r="I11">
        <v>2022</v>
      </c>
      <c r="J11">
        <v>2023</v>
      </c>
      <c r="K11">
        <v>2024</v>
      </c>
      <c r="L11" s="31" t="s">
        <v>70</v>
      </c>
      <c r="N11" t="s">
        <v>246</v>
      </c>
      <c r="P11" s="27">
        <v>45658</v>
      </c>
      <c r="Q11" s="27">
        <v>45689</v>
      </c>
      <c r="R11" s="27">
        <v>45717</v>
      </c>
      <c r="S11" s="27">
        <v>45748</v>
      </c>
      <c r="T11" s="27">
        <v>45778</v>
      </c>
      <c r="U11" s="27">
        <v>45809</v>
      </c>
      <c r="V11" s="27">
        <v>45839</v>
      </c>
      <c r="W11" s="27">
        <v>45870</v>
      </c>
      <c r="X11" s="27">
        <v>45901</v>
      </c>
      <c r="Y11" s="27">
        <v>45931</v>
      </c>
      <c r="Z11" s="27">
        <v>45962</v>
      </c>
      <c r="AA11" s="27">
        <v>45992</v>
      </c>
    </row>
    <row r="12" spans="2:29">
      <c r="B12" s="30">
        <v>25000</v>
      </c>
      <c r="C12" s="30" t="s">
        <v>106</v>
      </c>
      <c r="D12" s="30" t="s">
        <v>178</v>
      </c>
      <c r="E12" s="30" t="s">
        <v>18</v>
      </c>
      <c r="F12" s="30" t="s">
        <v>251</v>
      </c>
      <c r="G12" s="30">
        <v>2021</v>
      </c>
      <c r="H12" s="32">
        <v>44378</v>
      </c>
      <c r="I12" s="2">
        <v>5749.65</v>
      </c>
      <c r="J12" s="2">
        <v>7017.28</v>
      </c>
      <c r="K12" s="2">
        <v>1539.92</v>
      </c>
      <c r="L12" s="33">
        <v>1500</v>
      </c>
      <c r="N12" s="3">
        <v>-2.59234245934854E-2</v>
      </c>
      <c r="P12" s="34">
        <v>120</v>
      </c>
      <c r="Q12" s="34">
        <v>105.00000000000001</v>
      </c>
      <c r="R12" s="34">
        <v>150</v>
      </c>
      <c r="S12" s="34">
        <v>135</v>
      </c>
      <c r="T12" s="34">
        <v>135</v>
      </c>
      <c r="U12" s="34">
        <v>120</v>
      </c>
      <c r="V12" s="34">
        <v>120</v>
      </c>
      <c r="W12" s="34">
        <v>75</v>
      </c>
      <c r="X12" s="34">
        <v>135</v>
      </c>
      <c r="Y12" s="34">
        <v>165</v>
      </c>
      <c r="Z12" s="34">
        <v>135</v>
      </c>
      <c r="AA12" s="34">
        <v>105.00000000000001</v>
      </c>
      <c r="AC12" s="34">
        <f>SUM(P12:V12)</f>
        <v>885</v>
      </c>
    </row>
    <row r="13" spans="2:29">
      <c r="B13" s="30">
        <v>25001</v>
      </c>
      <c r="C13" s="30" t="s">
        <v>72</v>
      </c>
      <c r="D13" s="30" t="s">
        <v>252</v>
      </c>
      <c r="E13" s="30" t="s">
        <v>16</v>
      </c>
      <c r="F13" s="30" t="s">
        <v>253</v>
      </c>
      <c r="G13" s="30">
        <v>2021</v>
      </c>
      <c r="H13" s="32">
        <v>44317</v>
      </c>
      <c r="I13" s="2">
        <v>32357.19</v>
      </c>
      <c r="J13" s="2">
        <v>24745.57</v>
      </c>
      <c r="K13" s="2">
        <v>37422.379999999997</v>
      </c>
      <c r="L13" s="33">
        <v>40000</v>
      </c>
      <c r="N13" s="3">
        <v>6.887910389451446E-2</v>
      </c>
      <c r="P13" s="34">
        <v>3200</v>
      </c>
      <c r="Q13" s="34">
        <v>2800.0000000000005</v>
      </c>
      <c r="R13" s="34">
        <v>4000</v>
      </c>
      <c r="S13" s="34">
        <v>3600</v>
      </c>
      <c r="T13" s="34">
        <v>3600</v>
      </c>
      <c r="U13" s="34">
        <v>3200</v>
      </c>
      <c r="V13" s="34">
        <v>3200</v>
      </c>
      <c r="W13" s="34">
        <v>2000</v>
      </c>
      <c r="X13" s="34">
        <v>3600</v>
      </c>
      <c r="Y13" s="34">
        <v>4400</v>
      </c>
      <c r="Z13" s="34">
        <v>3600</v>
      </c>
      <c r="AA13" s="34">
        <v>2800.0000000000005</v>
      </c>
      <c r="AC13" s="34">
        <f t="shared" ref="AC13:AC60" si="0">SUM(P13:V13)</f>
        <v>23600</v>
      </c>
    </row>
    <row r="14" spans="2:29">
      <c r="B14" s="30">
        <v>25002</v>
      </c>
      <c r="C14" s="30" t="s">
        <v>121</v>
      </c>
      <c r="D14" s="30" t="s">
        <v>180</v>
      </c>
      <c r="E14" s="30" t="s">
        <v>19</v>
      </c>
      <c r="F14" s="30" t="s">
        <v>254</v>
      </c>
      <c r="G14" s="30">
        <v>2021</v>
      </c>
      <c r="H14" s="32">
        <v>44409</v>
      </c>
      <c r="I14" s="2">
        <v>16004.09</v>
      </c>
      <c r="J14" s="2">
        <v>7361.64</v>
      </c>
      <c r="K14" s="2">
        <v>19142.78</v>
      </c>
      <c r="L14" s="33">
        <v>20000</v>
      </c>
      <c r="N14" s="3">
        <v>4.478032971177659E-2</v>
      </c>
      <c r="P14" s="34">
        <v>1600</v>
      </c>
      <c r="Q14" s="34">
        <v>1400.0000000000002</v>
      </c>
      <c r="R14" s="34">
        <v>2000</v>
      </c>
      <c r="S14" s="34">
        <v>1800</v>
      </c>
      <c r="T14" s="34">
        <v>1800</v>
      </c>
      <c r="U14" s="34">
        <v>1600</v>
      </c>
      <c r="V14" s="34">
        <v>1600</v>
      </c>
      <c r="W14" s="34">
        <v>1000</v>
      </c>
      <c r="X14" s="34">
        <v>1800</v>
      </c>
      <c r="Y14" s="34">
        <v>2200</v>
      </c>
      <c r="Z14" s="34">
        <v>1800</v>
      </c>
      <c r="AA14" s="34">
        <v>1400.0000000000002</v>
      </c>
      <c r="AC14" s="34">
        <f t="shared" si="0"/>
        <v>11800</v>
      </c>
    </row>
    <row r="15" spans="2:29">
      <c r="B15" s="30">
        <v>25004</v>
      </c>
      <c r="C15" s="30" t="s">
        <v>105</v>
      </c>
      <c r="D15" s="30" t="s">
        <v>178</v>
      </c>
      <c r="E15" s="30" t="s">
        <v>18</v>
      </c>
      <c r="F15" s="30" t="s">
        <v>254</v>
      </c>
      <c r="G15" s="30">
        <v>2021</v>
      </c>
      <c r="H15" s="32">
        <v>44440</v>
      </c>
      <c r="I15" s="2">
        <v>5634</v>
      </c>
      <c r="J15" s="2">
        <v>7158.06</v>
      </c>
      <c r="K15" s="2">
        <v>10917.56</v>
      </c>
      <c r="L15" s="33">
        <v>12000</v>
      </c>
      <c r="N15" s="3">
        <v>9.9146695781841432E-2</v>
      </c>
      <c r="P15" s="34">
        <v>960</v>
      </c>
      <c r="Q15" s="34">
        <v>840.00000000000011</v>
      </c>
      <c r="R15" s="34">
        <v>1200</v>
      </c>
      <c r="S15" s="34">
        <v>1080</v>
      </c>
      <c r="T15" s="34">
        <v>1080</v>
      </c>
      <c r="U15" s="34">
        <v>960</v>
      </c>
      <c r="V15" s="34">
        <v>960</v>
      </c>
      <c r="W15" s="34">
        <v>600</v>
      </c>
      <c r="X15" s="34">
        <v>1080</v>
      </c>
      <c r="Y15" s="34">
        <v>1320</v>
      </c>
      <c r="Z15" s="34">
        <v>1080</v>
      </c>
      <c r="AA15" s="34">
        <v>840.00000000000011</v>
      </c>
      <c r="AC15" s="34">
        <f t="shared" si="0"/>
        <v>7080</v>
      </c>
    </row>
    <row r="16" spans="2:29">
      <c r="B16" s="30">
        <v>25008</v>
      </c>
      <c r="C16" s="30" t="s">
        <v>127</v>
      </c>
      <c r="D16" s="30" t="s">
        <v>180</v>
      </c>
      <c r="E16" s="30" t="s">
        <v>19</v>
      </c>
      <c r="F16" s="30" t="s">
        <v>251</v>
      </c>
      <c r="G16" s="30">
        <v>2021</v>
      </c>
      <c r="H16" s="32">
        <v>44531</v>
      </c>
      <c r="I16" s="2">
        <v>1083</v>
      </c>
      <c r="J16" s="2">
        <v>1129.5</v>
      </c>
      <c r="K16" s="2">
        <v>0</v>
      </c>
      <c r="L16" s="33">
        <v>0</v>
      </c>
      <c r="N16" s="3" t="s">
        <v>181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C16" s="34">
        <f t="shared" si="0"/>
        <v>0</v>
      </c>
    </row>
    <row r="17" spans="2:29">
      <c r="B17" s="30">
        <v>25010</v>
      </c>
      <c r="C17" s="30" t="s">
        <v>119</v>
      </c>
      <c r="D17" s="30" t="s">
        <v>180</v>
      </c>
      <c r="E17" s="30" t="s">
        <v>19</v>
      </c>
      <c r="F17" s="30" t="s">
        <v>255</v>
      </c>
      <c r="G17" s="30">
        <v>2022</v>
      </c>
      <c r="H17" s="32">
        <v>44562</v>
      </c>
      <c r="I17" s="2">
        <v>54627.81</v>
      </c>
      <c r="J17" s="2">
        <v>53276.36</v>
      </c>
      <c r="K17" s="2">
        <v>45516.32</v>
      </c>
      <c r="L17" s="33">
        <v>50000</v>
      </c>
      <c r="N17" s="3">
        <v>9.8507084931295008E-2</v>
      </c>
      <c r="P17" s="34">
        <v>4000</v>
      </c>
      <c r="Q17" s="34">
        <v>3500.0000000000005</v>
      </c>
      <c r="R17" s="34">
        <v>5000</v>
      </c>
      <c r="S17" s="34">
        <v>4500</v>
      </c>
      <c r="T17" s="34">
        <v>4500</v>
      </c>
      <c r="U17" s="34">
        <v>4000</v>
      </c>
      <c r="V17" s="34">
        <v>4000</v>
      </c>
      <c r="W17" s="34">
        <v>2500</v>
      </c>
      <c r="X17" s="34">
        <v>4500</v>
      </c>
      <c r="Y17" s="34">
        <v>5500</v>
      </c>
      <c r="Z17" s="34">
        <v>4500</v>
      </c>
      <c r="AA17" s="34">
        <v>3500.0000000000005</v>
      </c>
      <c r="AC17" s="34">
        <f t="shared" si="0"/>
        <v>29500</v>
      </c>
    </row>
    <row r="18" spans="2:29">
      <c r="B18" s="30">
        <v>25012</v>
      </c>
      <c r="C18" s="30" t="s">
        <v>100</v>
      </c>
      <c r="D18" s="30" t="s">
        <v>178</v>
      </c>
      <c r="E18" s="30" t="s">
        <v>18</v>
      </c>
      <c r="F18" s="30" t="s">
        <v>255</v>
      </c>
      <c r="G18" s="30">
        <v>2022</v>
      </c>
      <c r="H18" s="32">
        <v>44621</v>
      </c>
      <c r="I18" s="2">
        <v>127800.66</v>
      </c>
      <c r="J18" s="2">
        <v>127251.66</v>
      </c>
      <c r="K18" s="2">
        <v>104398.38</v>
      </c>
      <c r="L18" s="33">
        <v>120000</v>
      </c>
      <c r="N18" s="3">
        <v>0.1494431235427216</v>
      </c>
      <c r="P18" s="34">
        <v>9600</v>
      </c>
      <c r="Q18" s="34">
        <v>8400</v>
      </c>
      <c r="R18" s="34">
        <v>12000</v>
      </c>
      <c r="S18" s="34">
        <v>10800</v>
      </c>
      <c r="T18" s="34">
        <v>10800</v>
      </c>
      <c r="U18" s="34">
        <v>9600</v>
      </c>
      <c r="V18" s="34">
        <v>9600</v>
      </c>
      <c r="W18" s="34">
        <v>6000</v>
      </c>
      <c r="X18" s="34">
        <v>10800</v>
      </c>
      <c r="Y18" s="34">
        <v>13200</v>
      </c>
      <c r="Z18" s="34">
        <v>10800</v>
      </c>
      <c r="AA18" s="34">
        <v>8400</v>
      </c>
      <c r="AC18" s="34">
        <f t="shared" si="0"/>
        <v>70800</v>
      </c>
    </row>
    <row r="19" spans="2:29">
      <c r="B19" s="30">
        <v>25015</v>
      </c>
      <c r="C19" s="30" t="s">
        <v>107</v>
      </c>
      <c r="D19" s="30" t="s">
        <v>178</v>
      </c>
      <c r="E19" s="30" t="s">
        <v>18</v>
      </c>
      <c r="F19" s="30" t="s">
        <v>251</v>
      </c>
      <c r="G19" s="30">
        <v>2022</v>
      </c>
      <c r="H19" s="32">
        <v>44621</v>
      </c>
      <c r="I19" s="2">
        <v>9631.1</v>
      </c>
      <c r="J19" s="2">
        <v>6958.48</v>
      </c>
      <c r="K19" s="2">
        <v>2717.32</v>
      </c>
      <c r="L19" s="33">
        <v>3000</v>
      </c>
      <c r="N19" s="3">
        <v>0.10402896972016529</v>
      </c>
      <c r="P19" s="34">
        <v>240</v>
      </c>
      <c r="Q19" s="34">
        <v>210.00000000000003</v>
      </c>
      <c r="R19" s="34">
        <v>300</v>
      </c>
      <c r="S19" s="34">
        <v>270</v>
      </c>
      <c r="T19" s="34">
        <v>270</v>
      </c>
      <c r="U19" s="34">
        <v>240</v>
      </c>
      <c r="V19" s="34">
        <v>240</v>
      </c>
      <c r="W19" s="34">
        <v>150</v>
      </c>
      <c r="X19" s="34">
        <v>270</v>
      </c>
      <c r="Y19" s="34">
        <v>330</v>
      </c>
      <c r="Z19" s="34">
        <v>270</v>
      </c>
      <c r="AA19" s="34">
        <v>210.00000000000003</v>
      </c>
      <c r="AC19" s="34">
        <f t="shared" si="0"/>
        <v>1770</v>
      </c>
    </row>
    <row r="20" spans="2:29">
      <c r="B20" s="30">
        <v>25016</v>
      </c>
      <c r="C20" s="30" t="s">
        <v>122</v>
      </c>
      <c r="D20" s="30" t="s">
        <v>180</v>
      </c>
      <c r="E20" s="30" t="s">
        <v>19</v>
      </c>
      <c r="F20" s="30" t="s">
        <v>254</v>
      </c>
      <c r="G20" s="30">
        <v>2022</v>
      </c>
      <c r="H20" s="32">
        <v>44652</v>
      </c>
      <c r="I20" s="2">
        <v>11106.15</v>
      </c>
      <c r="J20" s="2">
        <v>7571.13</v>
      </c>
      <c r="K20" s="2">
        <v>11466.5</v>
      </c>
      <c r="L20" s="33">
        <v>12000</v>
      </c>
      <c r="N20" s="3">
        <v>4.6526839052893232E-2</v>
      </c>
      <c r="P20" s="34">
        <v>960</v>
      </c>
      <c r="Q20" s="34">
        <v>840.00000000000011</v>
      </c>
      <c r="R20" s="34">
        <v>1200</v>
      </c>
      <c r="S20" s="34">
        <v>1080</v>
      </c>
      <c r="T20" s="34">
        <v>1080</v>
      </c>
      <c r="U20" s="34">
        <v>960</v>
      </c>
      <c r="V20" s="34">
        <v>960</v>
      </c>
      <c r="W20" s="34">
        <v>600</v>
      </c>
      <c r="X20" s="34">
        <v>1080</v>
      </c>
      <c r="Y20" s="34">
        <v>1320</v>
      </c>
      <c r="Z20" s="34">
        <v>1080</v>
      </c>
      <c r="AA20" s="34">
        <v>840.00000000000011</v>
      </c>
      <c r="AC20" s="34">
        <f t="shared" si="0"/>
        <v>7080</v>
      </c>
    </row>
    <row r="21" spans="2:29">
      <c r="B21" s="30">
        <v>25024</v>
      </c>
      <c r="C21" s="30" t="s">
        <v>128</v>
      </c>
      <c r="D21" s="30" t="s">
        <v>180</v>
      </c>
      <c r="E21" s="30" t="s">
        <v>19</v>
      </c>
      <c r="F21" s="30" t="s">
        <v>251</v>
      </c>
      <c r="G21" s="30">
        <v>2022</v>
      </c>
      <c r="H21" s="32">
        <v>44835</v>
      </c>
      <c r="I21" s="2">
        <v>7009.6</v>
      </c>
      <c r="J21" s="2">
        <v>2544.2399999999998</v>
      </c>
      <c r="K21" s="2">
        <v>0</v>
      </c>
      <c r="L21" s="33">
        <v>0</v>
      </c>
      <c r="N21" s="3" t="s">
        <v>181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C21" s="34">
        <f t="shared" si="0"/>
        <v>0</v>
      </c>
    </row>
    <row r="22" spans="2:29">
      <c r="B22" s="30">
        <v>25026</v>
      </c>
      <c r="C22" s="30" t="s">
        <v>123</v>
      </c>
      <c r="D22" s="30" t="s">
        <v>180</v>
      </c>
      <c r="E22" s="30" t="s">
        <v>19</v>
      </c>
      <c r="F22" s="30" t="s">
        <v>256</v>
      </c>
      <c r="G22" s="30">
        <v>2023</v>
      </c>
      <c r="H22" s="32">
        <v>44927</v>
      </c>
      <c r="I22" s="2">
        <v>0</v>
      </c>
      <c r="J22" s="2">
        <v>10735.11</v>
      </c>
      <c r="K22" s="2">
        <v>3224.75</v>
      </c>
      <c r="L22" s="33">
        <v>5000</v>
      </c>
      <c r="N22" s="3">
        <v>0.55050779130165139</v>
      </c>
      <c r="P22" s="34">
        <v>400</v>
      </c>
      <c r="Q22" s="34">
        <v>350.00000000000006</v>
      </c>
      <c r="R22" s="34">
        <v>500</v>
      </c>
      <c r="S22" s="34">
        <v>450</v>
      </c>
      <c r="T22" s="34">
        <v>450</v>
      </c>
      <c r="U22" s="34">
        <v>400</v>
      </c>
      <c r="V22" s="34">
        <v>400</v>
      </c>
      <c r="W22" s="34">
        <v>250</v>
      </c>
      <c r="X22" s="34">
        <v>450</v>
      </c>
      <c r="Y22" s="34">
        <v>550</v>
      </c>
      <c r="Z22" s="34">
        <v>450</v>
      </c>
      <c r="AA22" s="34">
        <v>350.00000000000006</v>
      </c>
      <c r="AC22" s="34">
        <f t="shared" si="0"/>
        <v>2950</v>
      </c>
    </row>
    <row r="23" spans="2:29">
      <c r="B23" s="30">
        <v>25027</v>
      </c>
      <c r="C23" s="30" t="s">
        <v>102</v>
      </c>
      <c r="D23" s="30" t="s">
        <v>178</v>
      </c>
      <c r="E23" s="30" t="s">
        <v>18</v>
      </c>
      <c r="F23" s="30" t="s">
        <v>255</v>
      </c>
      <c r="G23" s="30">
        <v>2022</v>
      </c>
      <c r="H23" s="32">
        <v>44896</v>
      </c>
      <c r="I23" s="2">
        <v>19362.580000000002</v>
      </c>
      <c r="J23" s="2">
        <v>57225.3</v>
      </c>
      <c r="K23" s="2">
        <v>107107.55</v>
      </c>
      <c r="L23" s="33">
        <v>115000</v>
      </c>
      <c r="N23" s="3">
        <v>7.3687149038513144E-2</v>
      </c>
      <c r="P23" s="34">
        <v>9200</v>
      </c>
      <c r="Q23" s="34">
        <v>8050.0000000000009</v>
      </c>
      <c r="R23" s="34">
        <v>11500</v>
      </c>
      <c r="S23" s="34">
        <v>10350</v>
      </c>
      <c r="T23" s="34">
        <v>10350</v>
      </c>
      <c r="U23" s="34">
        <v>9200</v>
      </c>
      <c r="V23" s="34">
        <v>9200</v>
      </c>
      <c r="W23" s="34">
        <v>5750</v>
      </c>
      <c r="X23" s="34">
        <v>10350</v>
      </c>
      <c r="Y23" s="34">
        <v>12650</v>
      </c>
      <c r="Z23" s="34">
        <v>10350</v>
      </c>
      <c r="AA23" s="34">
        <v>8050.0000000000009</v>
      </c>
      <c r="AC23" s="34">
        <f t="shared" si="0"/>
        <v>67850</v>
      </c>
    </row>
    <row r="24" spans="2:29">
      <c r="B24" s="30">
        <v>25029</v>
      </c>
      <c r="C24" s="30" t="s">
        <v>124</v>
      </c>
      <c r="D24" s="30" t="s">
        <v>180</v>
      </c>
      <c r="E24" s="30" t="s">
        <v>19</v>
      </c>
      <c r="F24" s="30" t="s">
        <v>254</v>
      </c>
      <c r="G24" s="30">
        <v>2023</v>
      </c>
      <c r="H24" s="32">
        <v>44927</v>
      </c>
      <c r="I24" s="2">
        <v>0</v>
      </c>
      <c r="J24" s="2">
        <v>3872.89</v>
      </c>
      <c r="K24" s="2">
        <v>7659.26</v>
      </c>
      <c r="L24" s="33">
        <v>8000</v>
      </c>
      <c r="N24" s="3">
        <v>4.4487326451902565E-2</v>
      </c>
      <c r="P24" s="34">
        <v>640</v>
      </c>
      <c r="Q24" s="34">
        <v>560</v>
      </c>
      <c r="R24" s="34">
        <v>800</v>
      </c>
      <c r="S24" s="34">
        <v>720</v>
      </c>
      <c r="T24" s="34">
        <v>720</v>
      </c>
      <c r="U24" s="34">
        <v>640</v>
      </c>
      <c r="V24" s="34">
        <v>640</v>
      </c>
      <c r="W24" s="34">
        <v>400</v>
      </c>
      <c r="X24" s="34">
        <v>720</v>
      </c>
      <c r="Y24" s="34">
        <v>880</v>
      </c>
      <c r="Z24" s="34">
        <v>720</v>
      </c>
      <c r="AA24" s="34">
        <v>560</v>
      </c>
      <c r="AC24" s="34">
        <f t="shared" si="0"/>
        <v>4720</v>
      </c>
    </row>
    <row r="25" spans="2:29">
      <c r="B25" s="30">
        <v>25032</v>
      </c>
      <c r="C25" s="30" t="s">
        <v>103</v>
      </c>
      <c r="D25" s="30" t="s">
        <v>178</v>
      </c>
      <c r="E25" s="30" t="s">
        <v>18</v>
      </c>
      <c r="F25" s="30" t="s">
        <v>255</v>
      </c>
      <c r="G25" s="30">
        <v>2023</v>
      </c>
      <c r="H25" s="32">
        <v>45017</v>
      </c>
      <c r="I25" s="2">
        <v>0</v>
      </c>
      <c r="J25" s="2">
        <v>38782.75</v>
      </c>
      <c r="K25" s="2">
        <v>50110.28</v>
      </c>
      <c r="L25" s="33">
        <v>55000</v>
      </c>
      <c r="N25" s="3">
        <v>9.7579179361999113E-2</v>
      </c>
      <c r="P25" s="34">
        <v>4400</v>
      </c>
      <c r="Q25" s="34">
        <v>3850.0000000000005</v>
      </c>
      <c r="R25" s="34">
        <v>5500</v>
      </c>
      <c r="S25" s="34">
        <v>4950</v>
      </c>
      <c r="T25" s="34">
        <v>4950</v>
      </c>
      <c r="U25" s="34">
        <v>4400</v>
      </c>
      <c r="V25" s="34">
        <v>4400</v>
      </c>
      <c r="W25" s="34">
        <v>2750</v>
      </c>
      <c r="X25" s="34">
        <v>4950</v>
      </c>
      <c r="Y25" s="34">
        <v>6050</v>
      </c>
      <c r="Z25" s="34">
        <v>4950</v>
      </c>
      <c r="AA25" s="34">
        <v>3850.0000000000005</v>
      </c>
      <c r="AC25" s="34">
        <f t="shared" si="0"/>
        <v>32450</v>
      </c>
    </row>
    <row r="26" spans="2:29">
      <c r="B26" s="30">
        <v>25034</v>
      </c>
      <c r="C26" s="30" t="s">
        <v>154</v>
      </c>
      <c r="D26" s="30" t="s">
        <v>178</v>
      </c>
      <c r="E26" s="30" t="s">
        <v>18</v>
      </c>
      <c r="F26" s="30" t="s">
        <v>257</v>
      </c>
      <c r="G26" s="30">
        <v>2023</v>
      </c>
      <c r="H26" s="32">
        <v>45047</v>
      </c>
      <c r="I26" s="2">
        <v>0</v>
      </c>
      <c r="J26" s="2">
        <v>494</v>
      </c>
      <c r="K26" s="2">
        <v>0</v>
      </c>
      <c r="L26" s="33">
        <v>0</v>
      </c>
      <c r="N26" s="3" t="s">
        <v>181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C26" s="34">
        <f t="shared" si="0"/>
        <v>0</v>
      </c>
    </row>
    <row r="27" spans="2:29">
      <c r="B27" s="30">
        <v>25035</v>
      </c>
      <c r="C27" s="30" t="s">
        <v>135</v>
      </c>
      <c r="D27" s="30" t="s">
        <v>138</v>
      </c>
      <c r="E27" s="30" t="s">
        <v>20</v>
      </c>
      <c r="F27" s="30" t="s">
        <v>258</v>
      </c>
      <c r="G27" s="30">
        <v>2023</v>
      </c>
      <c r="H27" s="32">
        <v>45170</v>
      </c>
      <c r="I27" s="2">
        <v>0</v>
      </c>
      <c r="J27" s="2">
        <v>22651.16</v>
      </c>
      <c r="K27" s="2">
        <v>13723.61</v>
      </c>
      <c r="L27" s="33">
        <v>15000</v>
      </c>
      <c r="N27" s="3">
        <v>9.3006869183837049E-2</v>
      </c>
      <c r="P27" s="34">
        <v>1200</v>
      </c>
      <c r="Q27" s="34">
        <v>1050</v>
      </c>
      <c r="R27" s="34">
        <v>1500</v>
      </c>
      <c r="S27" s="34">
        <v>1350</v>
      </c>
      <c r="T27" s="34">
        <v>1350</v>
      </c>
      <c r="U27" s="34">
        <v>1200</v>
      </c>
      <c r="V27" s="34">
        <v>1200</v>
      </c>
      <c r="W27" s="34">
        <v>750</v>
      </c>
      <c r="X27" s="34">
        <v>1350</v>
      </c>
      <c r="Y27" s="34">
        <v>1650</v>
      </c>
      <c r="Z27" s="34">
        <v>1350</v>
      </c>
      <c r="AA27" s="34">
        <v>1050</v>
      </c>
      <c r="AC27" s="34">
        <f t="shared" si="0"/>
        <v>8850</v>
      </c>
    </row>
    <row r="28" spans="2:29">
      <c r="B28" s="30">
        <v>25036</v>
      </c>
      <c r="C28" s="30" t="s">
        <v>108</v>
      </c>
      <c r="D28" s="30" t="s">
        <v>178</v>
      </c>
      <c r="E28" s="30" t="s">
        <v>18</v>
      </c>
      <c r="F28" s="30" t="s">
        <v>251</v>
      </c>
      <c r="G28" s="30">
        <v>2023</v>
      </c>
      <c r="H28" s="32">
        <v>45139</v>
      </c>
      <c r="I28" s="2">
        <v>0</v>
      </c>
      <c r="J28" s="2">
        <v>5919.87</v>
      </c>
      <c r="K28" s="2">
        <v>2357.58</v>
      </c>
      <c r="L28" s="33">
        <v>5000</v>
      </c>
      <c r="N28" s="3">
        <v>1.1208188057245141</v>
      </c>
      <c r="P28" s="34">
        <v>400</v>
      </c>
      <c r="Q28" s="34">
        <v>350.00000000000006</v>
      </c>
      <c r="R28" s="34">
        <v>500</v>
      </c>
      <c r="S28" s="34">
        <v>450</v>
      </c>
      <c r="T28" s="34">
        <v>450</v>
      </c>
      <c r="U28" s="34">
        <v>400</v>
      </c>
      <c r="V28" s="34">
        <v>400</v>
      </c>
      <c r="W28" s="34">
        <v>250</v>
      </c>
      <c r="X28" s="34">
        <v>450</v>
      </c>
      <c r="Y28" s="34">
        <v>550</v>
      </c>
      <c r="Z28" s="34">
        <v>450</v>
      </c>
      <c r="AA28" s="34">
        <v>350.00000000000006</v>
      </c>
      <c r="AC28" s="34">
        <f t="shared" si="0"/>
        <v>2950</v>
      </c>
    </row>
    <row r="29" spans="2:29">
      <c r="B29" s="30">
        <v>25037</v>
      </c>
      <c r="C29" s="30" t="s">
        <v>75</v>
      </c>
      <c r="D29" s="30" t="s">
        <v>252</v>
      </c>
      <c r="E29" s="30" t="s">
        <v>16</v>
      </c>
      <c r="F29" s="30" t="s">
        <v>259</v>
      </c>
      <c r="G29" s="30">
        <v>2023</v>
      </c>
      <c r="H29" s="32">
        <v>45139</v>
      </c>
      <c r="I29" s="2">
        <v>0</v>
      </c>
      <c r="J29" s="2">
        <v>20827.14</v>
      </c>
      <c r="K29" s="2">
        <v>14341.14</v>
      </c>
      <c r="L29" s="33">
        <v>16000</v>
      </c>
      <c r="N29" s="3">
        <v>0.11567141803231817</v>
      </c>
      <c r="P29" s="34">
        <v>1280</v>
      </c>
      <c r="Q29" s="34">
        <v>1120</v>
      </c>
      <c r="R29" s="34">
        <v>1600</v>
      </c>
      <c r="S29" s="34">
        <v>1440</v>
      </c>
      <c r="T29" s="34">
        <v>1440</v>
      </c>
      <c r="U29" s="34">
        <v>1280</v>
      </c>
      <c r="V29" s="34">
        <v>1280</v>
      </c>
      <c r="W29" s="34">
        <v>800</v>
      </c>
      <c r="X29" s="34">
        <v>1440</v>
      </c>
      <c r="Y29" s="34">
        <v>1760</v>
      </c>
      <c r="Z29" s="34">
        <v>1440</v>
      </c>
      <c r="AA29" s="34">
        <v>1120</v>
      </c>
      <c r="AC29" s="34">
        <f t="shared" si="0"/>
        <v>9440</v>
      </c>
    </row>
    <row r="30" spans="2:29">
      <c r="B30" s="35" t="s">
        <v>182</v>
      </c>
      <c r="C30" s="30" t="s">
        <v>183</v>
      </c>
      <c r="D30" s="30" t="s">
        <v>252</v>
      </c>
      <c r="E30" s="30" t="s">
        <v>16</v>
      </c>
      <c r="F30" s="30" t="s">
        <v>251</v>
      </c>
      <c r="G30" s="30">
        <v>2023</v>
      </c>
      <c r="H30" s="32">
        <v>45139</v>
      </c>
      <c r="I30" s="2">
        <v>0</v>
      </c>
      <c r="J30" s="2">
        <v>0</v>
      </c>
      <c r="K30" s="2">
        <v>0</v>
      </c>
      <c r="L30" s="33">
        <v>0</v>
      </c>
      <c r="N30" s="3" t="s">
        <v>181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C30" s="34">
        <f t="shared" si="0"/>
        <v>0</v>
      </c>
    </row>
    <row r="31" spans="2:29">
      <c r="B31" s="30">
        <v>25038</v>
      </c>
      <c r="C31" s="30" t="s">
        <v>104</v>
      </c>
      <c r="D31" s="30" t="s">
        <v>178</v>
      </c>
      <c r="E31" s="30" t="s">
        <v>18</v>
      </c>
      <c r="F31" s="30" t="s">
        <v>253</v>
      </c>
      <c r="G31" s="30">
        <v>2023</v>
      </c>
      <c r="H31" s="32">
        <v>45200</v>
      </c>
      <c r="I31" s="2">
        <v>0</v>
      </c>
      <c r="J31" s="2">
        <v>5204.37</v>
      </c>
      <c r="K31" s="2">
        <v>24530.959999999999</v>
      </c>
      <c r="L31" s="33">
        <v>26000</v>
      </c>
      <c r="N31" s="3">
        <v>5.9885141062559377E-2</v>
      </c>
      <c r="P31" s="34">
        <v>2080</v>
      </c>
      <c r="Q31" s="34">
        <v>1820.0000000000002</v>
      </c>
      <c r="R31" s="34">
        <v>2600</v>
      </c>
      <c r="S31" s="34">
        <v>2340</v>
      </c>
      <c r="T31" s="34">
        <v>2340</v>
      </c>
      <c r="U31" s="34">
        <v>2080</v>
      </c>
      <c r="V31" s="34">
        <v>2080</v>
      </c>
      <c r="W31" s="34">
        <v>1300</v>
      </c>
      <c r="X31" s="34">
        <v>2340</v>
      </c>
      <c r="Y31" s="34">
        <v>2860</v>
      </c>
      <c r="Z31" s="34">
        <v>2340</v>
      </c>
      <c r="AA31" s="34">
        <v>1820.0000000000002</v>
      </c>
      <c r="AC31" s="34">
        <f t="shared" si="0"/>
        <v>15340</v>
      </c>
    </row>
    <row r="32" spans="2:29">
      <c r="B32" s="30">
        <v>25039</v>
      </c>
      <c r="C32" s="30" t="s">
        <v>88</v>
      </c>
      <c r="D32" s="30" t="s">
        <v>178</v>
      </c>
      <c r="E32" s="30" t="s">
        <v>18</v>
      </c>
      <c r="F32" s="30" t="s">
        <v>260</v>
      </c>
      <c r="G32" s="30">
        <v>2024</v>
      </c>
      <c r="H32" s="32">
        <v>45352</v>
      </c>
      <c r="I32" s="2">
        <v>0</v>
      </c>
      <c r="J32" s="2">
        <v>0</v>
      </c>
      <c r="K32" s="2">
        <v>14645.32</v>
      </c>
      <c r="L32" s="33">
        <v>16000</v>
      </c>
      <c r="N32" s="3">
        <v>9.2499173797499834E-2</v>
      </c>
      <c r="P32" s="34">
        <v>1280</v>
      </c>
      <c r="Q32" s="34">
        <v>1120</v>
      </c>
      <c r="R32" s="34">
        <v>1600</v>
      </c>
      <c r="S32" s="34">
        <v>1440</v>
      </c>
      <c r="T32" s="34">
        <v>1440</v>
      </c>
      <c r="U32" s="34">
        <v>1280</v>
      </c>
      <c r="V32" s="34">
        <v>1280</v>
      </c>
      <c r="W32" s="34">
        <v>800</v>
      </c>
      <c r="X32" s="34">
        <v>1440</v>
      </c>
      <c r="Y32" s="34">
        <v>1760</v>
      </c>
      <c r="Z32" s="34">
        <v>1440</v>
      </c>
      <c r="AA32" s="34">
        <v>1120</v>
      </c>
      <c r="AC32" s="34">
        <f t="shared" si="0"/>
        <v>9440</v>
      </c>
    </row>
    <row r="33" spans="2:29">
      <c r="B33" s="30">
        <v>25040</v>
      </c>
      <c r="C33" s="30" t="s">
        <v>166</v>
      </c>
      <c r="D33" s="30" t="s">
        <v>180</v>
      </c>
      <c r="E33" s="30" t="s">
        <v>19</v>
      </c>
      <c r="F33" s="30" t="s">
        <v>258</v>
      </c>
      <c r="G33" s="30">
        <v>2023</v>
      </c>
      <c r="H33" s="32">
        <v>45200</v>
      </c>
      <c r="I33" s="2">
        <v>0</v>
      </c>
      <c r="J33" s="2">
        <v>6216.36</v>
      </c>
      <c r="K33" s="2">
        <v>7421.06</v>
      </c>
      <c r="L33" s="33">
        <v>8000</v>
      </c>
      <c r="N33" s="3">
        <v>7.8013114029532149E-2</v>
      </c>
      <c r="P33" s="34">
        <v>640</v>
      </c>
      <c r="Q33" s="34">
        <v>560</v>
      </c>
      <c r="R33" s="34">
        <v>800</v>
      </c>
      <c r="S33" s="34">
        <v>720</v>
      </c>
      <c r="T33" s="34">
        <v>720</v>
      </c>
      <c r="U33" s="34">
        <v>640</v>
      </c>
      <c r="V33" s="34">
        <v>640</v>
      </c>
      <c r="W33" s="34">
        <v>400</v>
      </c>
      <c r="X33" s="34">
        <v>720</v>
      </c>
      <c r="Y33" s="34">
        <v>880</v>
      </c>
      <c r="Z33" s="34">
        <v>720</v>
      </c>
      <c r="AA33" s="34">
        <v>560</v>
      </c>
      <c r="AC33" s="34">
        <f t="shared" si="0"/>
        <v>4720</v>
      </c>
    </row>
    <row r="34" spans="2:29">
      <c r="B34" s="30">
        <v>25042</v>
      </c>
      <c r="C34" s="30" t="s">
        <v>136</v>
      </c>
      <c r="D34" s="30" t="s">
        <v>180</v>
      </c>
      <c r="E34" s="30" t="s">
        <v>19</v>
      </c>
      <c r="F34" s="30" t="s">
        <v>255</v>
      </c>
      <c r="G34" s="30">
        <v>2023</v>
      </c>
      <c r="H34" s="32">
        <v>45261</v>
      </c>
      <c r="I34" s="2">
        <v>0</v>
      </c>
      <c r="J34" s="2">
        <v>24324</v>
      </c>
      <c r="K34" s="2">
        <v>46694.01</v>
      </c>
      <c r="L34" s="33">
        <v>50000</v>
      </c>
      <c r="N34" s="3">
        <v>7.0801158435525258E-2</v>
      </c>
      <c r="P34" s="34">
        <v>4000</v>
      </c>
      <c r="Q34" s="34">
        <v>3500.0000000000005</v>
      </c>
      <c r="R34" s="34">
        <v>5000</v>
      </c>
      <c r="S34" s="34">
        <v>4500</v>
      </c>
      <c r="T34" s="34">
        <v>4500</v>
      </c>
      <c r="U34" s="34">
        <v>4000</v>
      </c>
      <c r="V34" s="34">
        <v>4000</v>
      </c>
      <c r="W34" s="34">
        <v>2500</v>
      </c>
      <c r="X34" s="34">
        <v>4500</v>
      </c>
      <c r="Y34" s="34">
        <v>5500</v>
      </c>
      <c r="Z34" s="34">
        <v>4500</v>
      </c>
      <c r="AA34" s="34">
        <v>3500.0000000000005</v>
      </c>
      <c r="AC34" s="34">
        <f t="shared" si="0"/>
        <v>29500</v>
      </c>
    </row>
    <row r="35" spans="2:29">
      <c r="B35" s="30">
        <v>25043</v>
      </c>
      <c r="C35" s="30" t="s">
        <v>126</v>
      </c>
      <c r="D35" s="30" t="s">
        <v>180</v>
      </c>
      <c r="E35" s="30" t="s">
        <v>19</v>
      </c>
      <c r="F35" s="30" t="s">
        <v>251</v>
      </c>
      <c r="G35" s="30">
        <v>2023</v>
      </c>
      <c r="H35" s="32">
        <v>45261</v>
      </c>
      <c r="I35" s="2">
        <v>0</v>
      </c>
      <c r="J35" s="2">
        <v>1212</v>
      </c>
      <c r="K35" s="2">
        <v>2916</v>
      </c>
      <c r="L35" s="33">
        <v>3000</v>
      </c>
      <c r="N35" s="3">
        <v>2.8806584362139898E-2</v>
      </c>
      <c r="P35" s="34">
        <v>240</v>
      </c>
      <c r="Q35" s="34">
        <v>210.00000000000003</v>
      </c>
      <c r="R35" s="34">
        <v>300</v>
      </c>
      <c r="S35" s="34">
        <v>270</v>
      </c>
      <c r="T35" s="34">
        <v>270</v>
      </c>
      <c r="U35" s="34">
        <v>240</v>
      </c>
      <c r="V35" s="34">
        <v>240</v>
      </c>
      <c r="W35" s="34">
        <v>150</v>
      </c>
      <c r="X35" s="34">
        <v>270</v>
      </c>
      <c r="Y35" s="34">
        <v>330</v>
      </c>
      <c r="Z35" s="34">
        <v>270</v>
      </c>
      <c r="AA35" s="34">
        <v>210.00000000000003</v>
      </c>
      <c r="AC35" s="34">
        <f t="shared" si="0"/>
        <v>1770</v>
      </c>
    </row>
    <row r="36" spans="2:29">
      <c r="B36" s="30">
        <v>25044</v>
      </c>
      <c r="C36" s="30" t="s">
        <v>90</v>
      </c>
      <c r="D36" s="30" t="s">
        <v>252</v>
      </c>
      <c r="E36" s="30" t="s">
        <v>16</v>
      </c>
      <c r="F36" s="30" t="s">
        <v>260</v>
      </c>
      <c r="G36" s="30">
        <v>2024</v>
      </c>
      <c r="H36" s="32">
        <v>45292</v>
      </c>
      <c r="I36" s="2">
        <v>0</v>
      </c>
      <c r="J36" s="2">
        <v>0</v>
      </c>
      <c r="K36" s="2">
        <v>23382.73</v>
      </c>
      <c r="L36" s="33">
        <v>25000</v>
      </c>
      <c r="N36" s="3">
        <v>6.9165148808543853E-2</v>
      </c>
      <c r="P36" s="34">
        <v>2000</v>
      </c>
      <c r="Q36" s="34">
        <v>1750.0000000000002</v>
      </c>
      <c r="R36" s="34">
        <v>2500</v>
      </c>
      <c r="S36" s="34">
        <v>2250</v>
      </c>
      <c r="T36" s="34">
        <v>2250</v>
      </c>
      <c r="U36" s="34">
        <v>2000</v>
      </c>
      <c r="V36" s="34">
        <v>2000</v>
      </c>
      <c r="W36" s="34">
        <v>1250</v>
      </c>
      <c r="X36" s="34">
        <v>2250</v>
      </c>
      <c r="Y36" s="34">
        <v>2750</v>
      </c>
      <c r="Z36" s="34">
        <v>2250</v>
      </c>
      <c r="AA36" s="34">
        <v>1750.0000000000002</v>
      </c>
      <c r="AC36" s="34">
        <f t="shared" si="0"/>
        <v>14750</v>
      </c>
    </row>
    <row r="37" spans="2:29">
      <c r="B37" s="30">
        <v>25045</v>
      </c>
      <c r="C37" s="30" t="s">
        <v>77</v>
      </c>
      <c r="D37" s="30" t="s">
        <v>252</v>
      </c>
      <c r="E37" s="30" t="s">
        <v>16</v>
      </c>
      <c r="F37" s="30" t="s">
        <v>260</v>
      </c>
      <c r="G37" s="30">
        <v>2024</v>
      </c>
      <c r="H37" s="32">
        <v>45323</v>
      </c>
      <c r="I37" s="2">
        <v>0</v>
      </c>
      <c r="J37" s="2">
        <v>0</v>
      </c>
      <c r="K37" s="2">
        <v>23105.03</v>
      </c>
      <c r="L37" s="33">
        <v>25000</v>
      </c>
      <c r="N37" s="3">
        <v>8.2015474552511014E-2</v>
      </c>
      <c r="P37" s="34">
        <v>2000</v>
      </c>
      <c r="Q37" s="34">
        <v>1750.0000000000002</v>
      </c>
      <c r="R37" s="34">
        <v>2500</v>
      </c>
      <c r="S37" s="34">
        <v>2250</v>
      </c>
      <c r="T37" s="34">
        <v>2250</v>
      </c>
      <c r="U37" s="34">
        <v>2000</v>
      </c>
      <c r="V37" s="34">
        <v>2000</v>
      </c>
      <c r="W37" s="34">
        <v>1250</v>
      </c>
      <c r="X37" s="34">
        <v>2250</v>
      </c>
      <c r="Y37" s="34">
        <v>2750</v>
      </c>
      <c r="Z37" s="34">
        <v>2250</v>
      </c>
      <c r="AA37" s="34">
        <v>1750.0000000000002</v>
      </c>
      <c r="AC37" s="34">
        <f t="shared" si="0"/>
        <v>14750</v>
      </c>
    </row>
    <row r="38" spans="2:29">
      <c r="B38" s="30">
        <v>25046</v>
      </c>
      <c r="C38" s="30" t="s">
        <v>109</v>
      </c>
      <c r="D38" s="30" t="s">
        <v>178</v>
      </c>
      <c r="E38" s="30" t="s">
        <v>18</v>
      </c>
      <c r="F38" s="30" t="s">
        <v>260</v>
      </c>
      <c r="G38" s="30">
        <v>2024</v>
      </c>
      <c r="H38" s="32">
        <v>45383</v>
      </c>
      <c r="I38" s="2">
        <v>0</v>
      </c>
      <c r="J38" s="2">
        <v>0</v>
      </c>
      <c r="K38" s="2">
        <v>14440.24</v>
      </c>
      <c r="L38" s="33">
        <v>16000</v>
      </c>
      <c r="N38" s="3">
        <v>0.1080148252383617</v>
      </c>
      <c r="P38" s="34">
        <v>1280</v>
      </c>
      <c r="Q38" s="34">
        <v>1120</v>
      </c>
      <c r="R38" s="34">
        <v>1600</v>
      </c>
      <c r="S38" s="34">
        <v>1440</v>
      </c>
      <c r="T38" s="34">
        <v>1440</v>
      </c>
      <c r="U38" s="34">
        <v>1280</v>
      </c>
      <c r="V38" s="34">
        <v>1280</v>
      </c>
      <c r="W38" s="34">
        <v>800</v>
      </c>
      <c r="X38" s="34">
        <v>1440</v>
      </c>
      <c r="Y38" s="34">
        <v>1760</v>
      </c>
      <c r="Z38" s="34">
        <v>1440</v>
      </c>
      <c r="AA38" s="34">
        <v>1120</v>
      </c>
      <c r="AC38" s="34">
        <f t="shared" si="0"/>
        <v>9440</v>
      </c>
    </row>
    <row r="39" spans="2:29">
      <c r="B39" s="30">
        <v>25047</v>
      </c>
      <c r="C39" s="30" t="s">
        <v>129</v>
      </c>
      <c r="D39" s="30" t="s">
        <v>180</v>
      </c>
      <c r="E39" s="30" t="s">
        <v>19</v>
      </c>
      <c r="F39" s="30" t="s">
        <v>260</v>
      </c>
      <c r="G39" s="30">
        <v>2024</v>
      </c>
      <c r="H39" s="32">
        <v>45413</v>
      </c>
      <c r="I39" s="2">
        <v>0</v>
      </c>
      <c r="J39" s="2">
        <v>0</v>
      </c>
      <c r="K39" s="2">
        <v>37356.629999999997</v>
      </c>
      <c r="L39" s="33">
        <v>45000</v>
      </c>
      <c r="N39" s="3">
        <v>0.204605447547062</v>
      </c>
      <c r="P39" s="34">
        <v>3600</v>
      </c>
      <c r="Q39" s="34">
        <v>3150.0000000000005</v>
      </c>
      <c r="R39" s="34">
        <v>4500</v>
      </c>
      <c r="S39" s="34">
        <v>4050</v>
      </c>
      <c r="T39" s="34">
        <v>4050</v>
      </c>
      <c r="U39" s="34">
        <v>3600</v>
      </c>
      <c r="V39" s="34">
        <v>3600</v>
      </c>
      <c r="W39" s="34">
        <v>2250</v>
      </c>
      <c r="X39" s="34">
        <v>4050</v>
      </c>
      <c r="Y39" s="34">
        <v>4950</v>
      </c>
      <c r="Z39" s="34">
        <v>4050</v>
      </c>
      <c r="AA39" s="34">
        <v>3150.0000000000005</v>
      </c>
      <c r="AC39" s="34">
        <f t="shared" si="0"/>
        <v>26550</v>
      </c>
    </row>
    <row r="40" spans="2:29">
      <c r="B40" s="30">
        <v>25049</v>
      </c>
      <c r="C40" s="30" t="s">
        <v>78</v>
      </c>
      <c r="D40" s="30" t="s">
        <v>252</v>
      </c>
      <c r="E40" s="30" t="s">
        <v>16</v>
      </c>
      <c r="F40" s="30" t="s">
        <v>260</v>
      </c>
      <c r="G40" s="30">
        <v>2024</v>
      </c>
      <c r="H40" s="32">
        <v>45413</v>
      </c>
      <c r="I40" s="2">
        <v>0</v>
      </c>
      <c r="J40" s="2">
        <v>0</v>
      </c>
      <c r="K40" s="2">
        <v>15753.72</v>
      </c>
      <c r="L40" s="33">
        <v>18000</v>
      </c>
      <c r="N40" s="3">
        <v>0.14258727462466014</v>
      </c>
      <c r="P40" s="34">
        <v>1440</v>
      </c>
      <c r="Q40" s="34">
        <v>1260.0000000000002</v>
      </c>
      <c r="R40" s="34">
        <v>1800</v>
      </c>
      <c r="S40" s="34">
        <v>1620</v>
      </c>
      <c r="T40" s="34">
        <v>1620</v>
      </c>
      <c r="U40" s="34">
        <v>1440</v>
      </c>
      <c r="V40" s="34">
        <v>1440</v>
      </c>
      <c r="W40" s="34">
        <v>900</v>
      </c>
      <c r="X40" s="34">
        <v>1620</v>
      </c>
      <c r="Y40" s="34">
        <v>1980</v>
      </c>
      <c r="Z40" s="34">
        <v>1620</v>
      </c>
      <c r="AA40" s="34">
        <v>1260.0000000000002</v>
      </c>
      <c r="AC40" s="34">
        <f t="shared" si="0"/>
        <v>10620</v>
      </c>
    </row>
    <row r="41" spans="2:29">
      <c r="B41" s="30">
        <v>25050</v>
      </c>
      <c r="C41" s="30" t="s">
        <v>91</v>
      </c>
      <c r="D41" s="30" t="s">
        <v>178</v>
      </c>
      <c r="E41" s="30" t="s">
        <v>18</v>
      </c>
      <c r="F41" s="30" t="s">
        <v>260</v>
      </c>
      <c r="G41" s="30">
        <v>2024</v>
      </c>
      <c r="H41" s="32">
        <v>45444</v>
      </c>
      <c r="I41" s="2">
        <v>0</v>
      </c>
      <c r="J41" s="2">
        <v>0</v>
      </c>
      <c r="K41" s="2">
        <v>12142.96</v>
      </c>
      <c r="L41" s="33">
        <v>16000</v>
      </c>
      <c r="N41" s="3">
        <v>0.31763589767239631</v>
      </c>
      <c r="P41" s="34">
        <v>1280</v>
      </c>
      <c r="Q41" s="34">
        <v>1120</v>
      </c>
      <c r="R41" s="34">
        <v>1600</v>
      </c>
      <c r="S41" s="34">
        <v>1440</v>
      </c>
      <c r="T41" s="34">
        <v>1440</v>
      </c>
      <c r="U41" s="34">
        <v>1280</v>
      </c>
      <c r="V41" s="34">
        <v>1280</v>
      </c>
      <c r="W41" s="34">
        <v>800</v>
      </c>
      <c r="X41" s="34">
        <v>1440</v>
      </c>
      <c r="Y41" s="34">
        <v>1760</v>
      </c>
      <c r="Z41" s="34">
        <v>1440</v>
      </c>
      <c r="AA41" s="34">
        <v>1120</v>
      </c>
      <c r="AC41" s="34">
        <f t="shared" si="0"/>
        <v>9440</v>
      </c>
    </row>
    <row r="42" spans="2:29">
      <c r="B42" s="30">
        <v>25052</v>
      </c>
      <c r="C42" s="30" t="s">
        <v>110</v>
      </c>
      <c r="D42" s="30" t="s">
        <v>178</v>
      </c>
      <c r="E42" s="30" t="s">
        <v>18</v>
      </c>
      <c r="F42" s="30" t="s">
        <v>260</v>
      </c>
      <c r="G42" s="30">
        <v>2024</v>
      </c>
      <c r="H42" s="32">
        <v>45474</v>
      </c>
      <c r="I42" s="2">
        <v>0</v>
      </c>
      <c r="J42" s="2">
        <v>0</v>
      </c>
      <c r="K42" s="2">
        <v>1734</v>
      </c>
      <c r="L42" s="33">
        <v>5000</v>
      </c>
      <c r="N42" s="3">
        <v>1.8835063437139561</v>
      </c>
      <c r="P42" s="34">
        <v>400</v>
      </c>
      <c r="Q42" s="34">
        <v>350.00000000000006</v>
      </c>
      <c r="R42" s="34">
        <v>500</v>
      </c>
      <c r="S42" s="34">
        <v>450</v>
      </c>
      <c r="T42" s="34">
        <v>450</v>
      </c>
      <c r="U42" s="34">
        <v>400</v>
      </c>
      <c r="V42" s="34">
        <v>400</v>
      </c>
      <c r="W42" s="34">
        <v>250</v>
      </c>
      <c r="X42" s="34">
        <v>450</v>
      </c>
      <c r="Y42" s="34">
        <v>550</v>
      </c>
      <c r="Z42" s="34">
        <v>450</v>
      </c>
      <c r="AA42" s="34">
        <v>350.00000000000006</v>
      </c>
      <c r="AC42" s="34">
        <f t="shared" si="0"/>
        <v>2950</v>
      </c>
    </row>
    <row r="43" spans="2:29">
      <c r="B43" s="30">
        <v>25053</v>
      </c>
      <c r="C43" s="30" t="s">
        <v>111</v>
      </c>
      <c r="D43" s="30" t="s">
        <v>178</v>
      </c>
      <c r="E43" s="30" t="s">
        <v>18</v>
      </c>
      <c r="F43" s="30" t="s">
        <v>260</v>
      </c>
      <c r="G43" s="30">
        <v>2024</v>
      </c>
      <c r="H43" s="32">
        <v>45505</v>
      </c>
      <c r="I43" s="2">
        <v>0</v>
      </c>
      <c r="J43" s="2">
        <v>0</v>
      </c>
      <c r="K43" s="2">
        <v>8196.5300000000007</v>
      </c>
      <c r="L43" s="33">
        <v>12000</v>
      </c>
      <c r="N43" s="3">
        <v>0.46403417055754059</v>
      </c>
      <c r="P43" s="34">
        <v>960</v>
      </c>
      <c r="Q43" s="34">
        <v>840.00000000000011</v>
      </c>
      <c r="R43" s="34">
        <v>1200</v>
      </c>
      <c r="S43" s="34">
        <v>1080</v>
      </c>
      <c r="T43" s="34">
        <v>1080</v>
      </c>
      <c r="U43" s="34">
        <v>960</v>
      </c>
      <c r="V43" s="34">
        <v>960</v>
      </c>
      <c r="W43" s="34">
        <v>600</v>
      </c>
      <c r="X43" s="34">
        <v>1080</v>
      </c>
      <c r="Y43" s="34">
        <v>1320</v>
      </c>
      <c r="Z43" s="34">
        <v>1080</v>
      </c>
      <c r="AA43" s="34">
        <v>840.00000000000011</v>
      </c>
      <c r="AC43" s="34">
        <f t="shared" si="0"/>
        <v>7080</v>
      </c>
    </row>
    <row r="44" spans="2:29">
      <c r="B44" s="30">
        <v>25054</v>
      </c>
      <c r="C44" s="30" t="s">
        <v>92</v>
      </c>
      <c r="D44" s="30" t="s">
        <v>180</v>
      </c>
      <c r="E44" s="30" t="s">
        <v>19</v>
      </c>
      <c r="F44" s="30" t="s">
        <v>260</v>
      </c>
      <c r="G44" s="30">
        <v>2024</v>
      </c>
      <c r="H44" s="32">
        <v>45505</v>
      </c>
      <c r="I44" s="2">
        <v>0</v>
      </c>
      <c r="J44" s="2">
        <v>0</v>
      </c>
      <c r="K44" s="2">
        <v>17876.189999999999</v>
      </c>
      <c r="L44" s="33">
        <v>25000</v>
      </c>
      <c r="N44" s="3">
        <v>0.39850829511210173</v>
      </c>
      <c r="P44" s="34">
        <v>2000</v>
      </c>
      <c r="Q44" s="34">
        <v>1750.0000000000002</v>
      </c>
      <c r="R44" s="34">
        <v>2500</v>
      </c>
      <c r="S44" s="34">
        <v>2250</v>
      </c>
      <c r="T44" s="34">
        <v>2250</v>
      </c>
      <c r="U44" s="34">
        <v>2000</v>
      </c>
      <c r="V44" s="34">
        <v>2000</v>
      </c>
      <c r="W44" s="34">
        <v>1250</v>
      </c>
      <c r="X44" s="34">
        <v>2250</v>
      </c>
      <c r="Y44" s="34">
        <v>2750</v>
      </c>
      <c r="Z44" s="34">
        <v>2250</v>
      </c>
      <c r="AA44" s="34">
        <v>1750.0000000000002</v>
      </c>
      <c r="AC44" s="34">
        <f t="shared" si="0"/>
        <v>14750</v>
      </c>
    </row>
    <row r="45" spans="2:29">
      <c r="B45" s="30">
        <v>25055</v>
      </c>
      <c r="C45" s="30" t="s">
        <v>130</v>
      </c>
      <c r="D45" s="30" t="s">
        <v>180</v>
      </c>
      <c r="E45" s="30" t="s">
        <v>19</v>
      </c>
      <c r="F45" s="30" t="s">
        <v>260</v>
      </c>
      <c r="G45" s="30">
        <v>2024</v>
      </c>
      <c r="H45" s="32">
        <v>45536</v>
      </c>
      <c r="I45" s="2">
        <v>0</v>
      </c>
      <c r="J45" s="2">
        <v>0</v>
      </c>
      <c r="K45" s="2">
        <v>8785.32</v>
      </c>
      <c r="L45" s="33">
        <v>12000</v>
      </c>
      <c r="N45" s="3">
        <v>0.36591495813470654</v>
      </c>
      <c r="P45" s="34">
        <v>960</v>
      </c>
      <c r="Q45" s="34">
        <v>840.00000000000011</v>
      </c>
      <c r="R45" s="34">
        <v>1200</v>
      </c>
      <c r="S45" s="34">
        <v>1080</v>
      </c>
      <c r="T45" s="34">
        <v>1080</v>
      </c>
      <c r="U45" s="34">
        <v>960</v>
      </c>
      <c r="V45" s="34">
        <v>960</v>
      </c>
      <c r="W45" s="34">
        <v>600</v>
      </c>
      <c r="X45" s="34">
        <v>1080</v>
      </c>
      <c r="Y45" s="34">
        <v>1320</v>
      </c>
      <c r="Z45" s="34">
        <v>1080</v>
      </c>
      <c r="AA45" s="34">
        <v>840.00000000000011</v>
      </c>
      <c r="AC45" s="34">
        <f t="shared" si="0"/>
        <v>7080</v>
      </c>
    </row>
    <row r="46" spans="2:29">
      <c r="B46" s="30">
        <v>25056</v>
      </c>
      <c r="C46" s="30" t="s">
        <v>94</v>
      </c>
      <c r="D46" s="30" t="s">
        <v>178</v>
      </c>
      <c r="E46" s="30" t="s">
        <v>18</v>
      </c>
      <c r="F46" s="30" t="s">
        <v>260</v>
      </c>
      <c r="G46" s="30">
        <v>2024</v>
      </c>
      <c r="H46" s="32">
        <v>45536</v>
      </c>
      <c r="I46" s="2">
        <v>0</v>
      </c>
      <c r="J46" s="2">
        <v>0</v>
      </c>
      <c r="K46" s="2">
        <v>34205.64</v>
      </c>
      <c r="L46" s="33">
        <v>50000</v>
      </c>
      <c r="N46" s="3">
        <v>0.46174724402174605</v>
      </c>
      <c r="P46" s="34">
        <v>4000</v>
      </c>
      <c r="Q46" s="34">
        <v>3500.0000000000005</v>
      </c>
      <c r="R46" s="34">
        <v>5000</v>
      </c>
      <c r="S46" s="34">
        <v>4500</v>
      </c>
      <c r="T46" s="34">
        <v>4500</v>
      </c>
      <c r="U46" s="34">
        <v>4000</v>
      </c>
      <c r="V46" s="34">
        <v>4000</v>
      </c>
      <c r="W46" s="34">
        <v>2500</v>
      </c>
      <c r="X46" s="34">
        <v>4500</v>
      </c>
      <c r="Y46" s="34">
        <v>5500</v>
      </c>
      <c r="Z46" s="34">
        <v>4500</v>
      </c>
      <c r="AA46" s="34">
        <v>3500.0000000000005</v>
      </c>
      <c r="AC46" s="34">
        <f t="shared" si="0"/>
        <v>29500</v>
      </c>
    </row>
    <row r="47" spans="2:29">
      <c r="B47" s="11">
        <v>25057</v>
      </c>
      <c r="C47" s="11" t="s">
        <v>156</v>
      </c>
      <c r="D47" s="30" t="s">
        <v>138</v>
      </c>
      <c r="E47" s="30" t="s">
        <v>20</v>
      </c>
      <c r="F47" s="30" t="s">
        <v>260</v>
      </c>
      <c r="G47" s="30">
        <v>2024</v>
      </c>
      <c r="H47" s="32">
        <v>45566</v>
      </c>
      <c r="I47" s="2">
        <v>0</v>
      </c>
      <c r="J47" s="2">
        <v>0</v>
      </c>
      <c r="K47" s="2">
        <v>0</v>
      </c>
      <c r="L47" s="33">
        <v>10000</v>
      </c>
      <c r="N47" s="3" t="s">
        <v>181</v>
      </c>
      <c r="P47" s="34">
        <v>800</v>
      </c>
      <c r="Q47" s="34">
        <v>700.00000000000011</v>
      </c>
      <c r="R47" s="34">
        <v>1000</v>
      </c>
      <c r="S47" s="34">
        <v>900</v>
      </c>
      <c r="T47" s="34">
        <v>900</v>
      </c>
      <c r="U47" s="34">
        <v>800</v>
      </c>
      <c r="V47" s="34">
        <v>800</v>
      </c>
      <c r="W47" s="34">
        <v>500</v>
      </c>
      <c r="X47" s="34">
        <v>900</v>
      </c>
      <c r="Y47" s="34">
        <v>1100</v>
      </c>
      <c r="Z47" s="34">
        <v>900</v>
      </c>
      <c r="AA47" s="34">
        <v>700.00000000000011</v>
      </c>
      <c r="AC47" s="34">
        <f t="shared" si="0"/>
        <v>5900</v>
      </c>
    </row>
    <row r="48" spans="2:29">
      <c r="B48" s="12">
        <v>25058</v>
      </c>
      <c r="C48" s="12" t="s">
        <v>112</v>
      </c>
      <c r="D48" s="30" t="s">
        <v>178</v>
      </c>
      <c r="E48" s="30" t="s">
        <v>18</v>
      </c>
      <c r="F48" s="30" t="s">
        <v>260</v>
      </c>
      <c r="G48" s="30">
        <v>2024</v>
      </c>
      <c r="H48" s="32">
        <v>45566</v>
      </c>
      <c r="I48" s="2">
        <v>0</v>
      </c>
      <c r="J48" s="2">
        <v>0</v>
      </c>
      <c r="K48" s="2">
        <v>4359.49</v>
      </c>
      <c r="L48" s="33">
        <v>12000</v>
      </c>
      <c r="N48" s="3">
        <v>1.7526155582419047</v>
      </c>
      <c r="P48" s="34">
        <v>960</v>
      </c>
      <c r="Q48" s="34">
        <v>840.00000000000011</v>
      </c>
      <c r="R48" s="34">
        <v>1200</v>
      </c>
      <c r="S48" s="34">
        <v>1080</v>
      </c>
      <c r="T48" s="34">
        <v>1080</v>
      </c>
      <c r="U48" s="34">
        <v>960</v>
      </c>
      <c r="V48" s="34">
        <v>960</v>
      </c>
      <c r="W48" s="34">
        <v>600</v>
      </c>
      <c r="X48" s="34">
        <v>1080</v>
      </c>
      <c r="Y48" s="34">
        <v>1320</v>
      </c>
      <c r="Z48" s="34">
        <v>1080</v>
      </c>
      <c r="AA48" s="34">
        <v>840.00000000000011</v>
      </c>
      <c r="AC48" s="34">
        <f t="shared" si="0"/>
        <v>7080</v>
      </c>
    </row>
    <row r="49" spans="2:29">
      <c r="B49" s="30">
        <v>25059</v>
      </c>
      <c r="C49" s="30" t="s">
        <v>113</v>
      </c>
      <c r="D49" s="30" t="s">
        <v>138</v>
      </c>
      <c r="E49" s="30" t="s">
        <v>20</v>
      </c>
      <c r="F49" s="30" t="s">
        <v>260</v>
      </c>
      <c r="G49" s="30">
        <v>2024</v>
      </c>
      <c r="H49" s="32">
        <v>45627</v>
      </c>
      <c r="I49" s="2">
        <v>0</v>
      </c>
      <c r="J49" s="2">
        <v>0</v>
      </c>
      <c r="K49" s="2">
        <v>2469.9699999999998</v>
      </c>
      <c r="L49" s="33">
        <v>12000</v>
      </c>
      <c r="N49" s="3">
        <v>3.8583586035457929</v>
      </c>
      <c r="P49" s="34">
        <v>960</v>
      </c>
      <c r="Q49" s="34">
        <v>840.00000000000011</v>
      </c>
      <c r="R49" s="34">
        <v>1200</v>
      </c>
      <c r="S49" s="34">
        <v>1080</v>
      </c>
      <c r="T49" s="34">
        <v>1080</v>
      </c>
      <c r="U49" s="34">
        <v>960</v>
      </c>
      <c r="V49" s="34">
        <v>960</v>
      </c>
      <c r="W49" s="34">
        <v>600</v>
      </c>
      <c r="X49" s="34">
        <v>1080</v>
      </c>
      <c r="Y49" s="34">
        <v>1320</v>
      </c>
      <c r="Z49" s="34">
        <v>1080</v>
      </c>
      <c r="AA49" s="34">
        <v>840.00000000000011</v>
      </c>
      <c r="AC49" s="34">
        <f t="shared" si="0"/>
        <v>7080</v>
      </c>
    </row>
    <row r="50" spans="2:29">
      <c r="L50" s="33"/>
      <c r="N50" s="3" t="s">
        <v>181</v>
      </c>
      <c r="AC50" s="34">
        <f t="shared" si="0"/>
        <v>0</v>
      </c>
    </row>
    <row r="51" spans="2:29">
      <c r="B51" t="s">
        <v>83</v>
      </c>
      <c r="C51" t="s">
        <v>242</v>
      </c>
      <c r="D51" t="s">
        <v>178</v>
      </c>
      <c r="E51" t="s">
        <v>18</v>
      </c>
      <c r="F51" t="s">
        <v>83</v>
      </c>
      <c r="I51" s="2">
        <v>0</v>
      </c>
      <c r="J51" s="2">
        <v>0</v>
      </c>
      <c r="K51" s="2">
        <v>0</v>
      </c>
      <c r="L51" s="33">
        <v>180000</v>
      </c>
      <c r="N51" s="3" t="str">
        <f t="shared" ref="N51:N55" si="1">IFERROR(L51/K51-1, "N/A")</f>
        <v>N/A</v>
      </c>
      <c r="P51" s="34">
        <f>$L51*P$9</f>
        <v>14400</v>
      </c>
      <c r="Q51" s="34">
        <f t="shared" ref="Q51:AA51" si="2">$L51*Q$9</f>
        <v>12600.000000000002</v>
      </c>
      <c r="R51" s="34">
        <f t="shared" si="2"/>
        <v>18000</v>
      </c>
      <c r="S51" s="34">
        <f t="shared" si="2"/>
        <v>16200</v>
      </c>
      <c r="T51" s="34">
        <f t="shared" si="2"/>
        <v>16200</v>
      </c>
      <c r="U51" s="34">
        <f t="shared" si="2"/>
        <v>14400</v>
      </c>
      <c r="V51" s="34">
        <f t="shared" si="2"/>
        <v>14400</v>
      </c>
      <c r="W51" s="34">
        <f t="shared" si="2"/>
        <v>9000</v>
      </c>
      <c r="X51" s="34">
        <f t="shared" si="2"/>
        <v>16200</v>
      </c>
      <c r="Y51" s="34">
        <f t="shared" si="2"/>
        <v>19800</v>
      </c>
      <c r="Z51" s="34">
        <f t="shared" si="2"/>
        <v>16200</v>
      </c>
      <c r="AA51" s="34">
        <f t="shared" si="2"/>
        <v>12600.000000000002</v>
      </c>
      <c r="AC51" s="34">
        <f t="shared" si="0"/>
        <v>106200</v>
      </c>
    </row>
    <row r="52" spans="2:29">
      <c r="B52" t="s">
        <v>83</v>
      </c>
      <c r="C52" t="s">
        <v>243</v>
      </c>
      <c r="D52" t="s">
        <v>180</v>
      </c>
      <c r="E52" t="s">
        <v>19</v>
      </c>
      <c r="F52" t="s">
        <v>83</v>
      </c>
      <c r="I52" s="2">
        <v>0</v>
      </c>
      <c r="J52" s="2">
        <v>0</v>
      </c>
      <c r="K52" s="2">
        <v>0</v>
      </c>
      <c r="L52" s="33">
        <v>180000</v>
      </c>
      <c r="N52" s="3" t="str">
        <f t="shared" si="1"/>
        <v>N/A</v>
      </c>
      <c r="P52" s="34">
        <f t="shared" ref="P52:AA55" si="3">$L52*P$9</f>
        <v>14400</v>
      </c>
      <c r="Q52" s="34">
        <f t="shared" si="3"/>
        <v>12600.000000000002</v>
      </c>
      <c r="R52" s="34">
        <f t="shared" si="3"/>
        <v>18000</v>
      </c>
      <c r="S52" s="34">
        <f t="shared" si="3"/>
        <v>16200</v>
      </c>
      <c r="T52" s="34">
        <f t="shared" si="3"/>
        <v>16200</v>
      </c>
      <c r="U52" s="34">
        <f t="shared" si="3"/>
        <v>14400</v>
      </c>
      <c r="V52" s="34">
        <f t="shared" si="3"/>
        <v>14400</v>
      </c>
      <c r="W52" s="34">
        <f t="shared" si="3"/>
        <v>9000</v>
      </c>
      <c r="X52" s="34">
        <f t="shared" si="3"/>
        <v>16200</v>
      </c>
      <c r="Y52" s="34">
        <f t="shared" si="3"/>
        <v>19800</v>
      </c>
      <c r="Z52" s="34">
        <f t="shared" si="3"/>
        <v>16200</v>
      </c>
      <c r="AA52" s="34">
        <f t="shared" si="3"/>
        <v>12600.000000000002</v>
      </c>
      <c r="AC52" s="34">
        <f t="shared" si="0"/>
        <v>106200</v>
      </c>
    </row>
    <row r="53" spans="2:29">
      <c r="B53" t="s">
        <v>83</v>
      </c>
      <c r="C53" t="s">
        <v>261</v>
      </c>
      <c r="D53" s="30" t="s">
        <v>179</v>
      </c>
      <c r="E53" t="s">
        <v>16</v>
      </c>
      <c r="F53" t="s">
        <v>83</v>
      </c>
      <c r="I53" s="2">
        <v>0</v>
      </c>
      <c r="J53" s="2">
        <v>0</v>
      </c>
      <c r="K53" s="2">
        <v>0</v>
      </c>
      <c r="L53" s="33">
        <v>100000</v>
      </c>
      <c r="N53" s="3" t="str">
        <f t="shared" si="1"/>
        <v>N/A</v>
      </c>
      <c r="P53" s="34"/>
      <c r="Q53" s="34"/>
      <c r="R53" s="34"/>
      <c r="S53" s="34"/>
      <c r="T53" s="34">
        <v>4500</v>
      </c>
      <c r="U53" s="34">
        <v>4500</v>
      </c>
      <c r="V53" s="34">
        <v>9000</v>
      </c>
      <c r="W53" s="34">
        <v>12000</v>
      </c>
      <c r="X53" s="34">
        <v>15000</v>
      </c>
      <c r="Y53" s="34">
        <v>17000</v>
      </c>
      <c r="Z53" s="34">
        <v>18000</v>
      </c>
      <c r="AA53" s="34">
        <v>20000</v>
      </c>
      <c r="AC53" s="34">
        <f t="shared" si="0"/>
        <v>18000</v>
      </c>
    </row>
    <row r="54" spans="2:29">
      <c r="B54" t="s">
        <v>83</v>
      </c>
      <c r="C54" t="s">
        <v>262</v>
      </c>
      <c r="D54" t="s">
        <v>93</v>
      </c>
      <c r="E54" t="s">
        <v>17</v>
      </c>
      <c r="F54" t="s">
        <v>83</v>
      </c>
      <c r="I54" s="2"/>
      <c r="J54" s="2"/>
      <c r="K54" s="2"/>
      <c r="L54" s="33">
        <v>100000</v>
      </c>
      <c r="N54" s="3" t="str">
        <f t="shared" si="1"/>
        <v>N/A</v>
      </c>
      <c r="P54" s="34"/>
      <c r="Q54" s="34"/>
      <c r="R54" s="34"/>
      <c r="S54" s="34"/>
      <c r="T54" s="34">
        <v>4500</v>
      </c>
      <c r="U54" s="34">
        <v>4500</v>
      </c>
      <c r="V54" s="34">
        <v>9000</v>
      </c>
      <c r="W54" s="34">
        <v>12000</v>
      </c>
      <c r="X54" s="34">
        <v>15000</v>
      </c>
      <c r="Y54" s="34">
        <v>17000</v>
      </c>
      <c r="Z54" s="34">
        <v>18000</v>
      </c>
      <c r="AA54" s="34">
        <v>20000</v>
      </c>
      <c r="AC54" s="34">
        <f t="shared" si="0"/>
        <v>18000</v>
      </c>
    </row>
    <row r="55" spans="2:29">
      <c r="B55" t="s">
        <v>83</v>
      </c>
      <c r="C55" t="s">
        <v>245</v>
      </c>
      <c r="D55" t="s">
        <v>138</v>
      </c>
      <c r="E55" t="s">
        <v>20</v>
      </c>
      <c r="F55" t="s">
        <v>83</v>
      </c>
      <c r="I55" s="2">
        <v>0</v>
      </c>
      <c r="J55" s="2">
        <v>0</v>
      </c>
      <c r="K55" s="2">
        <v>0</v>
      </c>
      <c r="L55" s="33">
        <v>90000</v>
      </c>
      <c r="N55" s="3" t="str">
        <f t="shared" si="1"/>
        <v>N/A</v>
      </c>
      <c r="P55" s="34">
        <f t="shared" si="3"/>
        <v>7200</v>
      </c>
      <c r="Q55" s="34">
        <f t="shared" si="3"/>
        <v>6300.0000000000009</v>
      </c>
      <c r="R55" s="34">
        <f t="shared" si="3"/>
        <v>9000</v>
      </c>
      <c r="S55" s="34">
        <f t="shared" si="3"/>
        <v>8100</v>
      </c>
      <c r="T55" s="34">
        <f t="shared" si="3"/>
        <v>8100</v>
      </c>
      <c r="U55" s="34">
        <f t="shared" si="3"/>
        <v>7200</v>
      </c>
      <c r="V55" s="34">
        <f t="shared" si="3"/>
        <v>7200</v>
      </c>
      <c r="W55" s="34">
        <f t="shared" si="3"/>
        <v>4500</v>
      </c>
      <c r="X55" s="34">
        <f t="shared" si="3"/>
        <v>8100</v>
      </c>
      <c r="Y55" s="34">
        <f t="shared" si="3"/>
        <v>9900</v>
      </c>
      <c r="Z55" s="34">
        <f t="shared" si="3"/>
        <v>8100</v>
      </c>
      <c r="AA55" s="34">
        <f t="shared" si="3"/>
        <v>6300.0000000000009</v>
      </c>
      <c r="AC55" s="34">
        <f t="shared" si="0"/>
        <v>53100</v>
      </c>
    </row>
    <row r="56" spans="2:29">
      <c r="I56" s="2"/>
      <c r="J56" s="2"/>
      <c r="K56" s="2"/>
      <c r="L56" s="33"/>
      <c r="N56" s="3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C56" s="34">
        <f t="shared" si="0"/>
        <v>0</v>
      </c>
    </row>
    <row r="57" spans="2:29">
      <c r="B57">
        <v>25030</v>
      </c>
      <c r="C57" t="s">
        <v>263</v>
      </c>
      <c r="D57" t="s">
        <v>264</v>
      </c>
      <c r="E57" t="s">
        <v>264</v>
      </c>
      <c r="K57">
        <v>24726</v>
      </c>
      <c r="L57" s="33">
        <v>25000</v>
      </c>
      <c r="P57" s="34">
        <v>2000</v>
      </c>
      <c r="Q57" s="34">
        <v>1750.0000000000002</v>
      </c>
      <c r="R57" s="34">
        <v>2500</v>
      </c>
      <c r="S57" s="34">
        <v>2250</v>
      </c>
      <c r="T57" s="34">
        <v>2250</v>
      </c>
      <c r="U57" s="34">
        <v>2000</v>
      </c>
      <c r="V57" s="34">
        <v>2000</v>
      </c>
      <c r="W57" s="34">
        <v>1250</v>
      </c>
      <c r="X57" s="34">
        <v>2250</v>
      </c>
      <c r="Y57" s="34">
        <v>2750</v>
      </c>
      <c r="Z57" s="34">
        <v>2250</v>
      </c>
      <c r="AA57" s="34">
        <v>1750.0000000000002</v>
      </c>
      <c r="AC57" s="34">
        <f t="shared" si="0"/>
        <v>14750</v>
      </c>
    </row>
    <row r="58" spans="2:29">
      <c r="B58">
        <v>25031</v>
      </c>
      <c r="C58" t="s">
        <v>265</v>
      </c>
      <c r="D58" t="s">
        <v>264</v>
      </c>
      <c r="E58" t="s">
        <v>264</v>
      </c>
      <c r="K58">
        <v>0</v>
      </c>
      <c r="L58" s="33"/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C58" s="34">
        <f t="shared" si="0"/>
        <v>0</v>
      </c>
    </row>
    <row r="59" spans="2:29">
      <c r="B59">
        <v>25048</v>
      </c>
      <c r="C59" t="s">
        <v>266</v>
      </c>
      <c r="D59" t="s">
        <v>264</v>
      </c>
      <c r="E59" t="s">
        <v>264</v>
      </c>
      <c r="K59">
        <v>2254.2199999999998</v>
      </c>
      <c r="L59" s="33">
        <v>10000</v>
      </c>
      <c r="P59" s="34">
        <v>800</v>
      </c>
      <c r="Q59" s="34">
        <v>700.00000000000011</v>
      </c>
      <c r="R59" s="34">
        <v>1000</v>
      </c>
      <c r="S59" s="34">
        <v>900</v>
      </c>
      <c r="T59" s="34">
        <v>900</v>
      </c>
      <c r="U59" s="34">
        <v>800</v>
      </c>
      <c r="V59" s="34">
        <v>800</v>
      </c>
      <c r="W59" s="34">
        <v>500</v>
      </c>
      <c r="X59" s="34">
        <v>900</v>
      </c>
      <c r="Y59" s="34">
        <v>1100</v>
      </c>
      <c r="Z59" s="34">
        <v>900</v>
      </c>
      <c r="AA59" s="34">
        <v>700.00000000000011</v>
      </c>
      <c r="AC59" s="34">
        <f t="shared" si="0"/>
        <v>5900</v>
      </c>
    </row>
    <row r="60" spans="2:29">
      <c r="B60">
        <v>25051</v>
      </c>
      <c r="C60" t="s">
        <v>267</v>
      </c>
      <c r="D60" t="s">
        <v>264</v>
      </c>
      <c r="E60" t="s">
        <v>264</v>
      </c>
      <c r="K60">
        <v>18016.32</v>
      </c>
      <c r="L60" s="33">
        <v>25000</v>
      </c>
      <c r="P60" s="34">
        <v>2000</v>
      </c>
      <c r="Q60" s="34">
        <v>1750.0000000000002</v>
      </c>
      <c r="R60" s="34">
        <v>2500</v>
      </c>
      <c r="S60" s="34">
        <v>2250</v>
      </c>
      <c r="T60" s="34">
        <v>2250</v>
      </c>
      <c r="U60" s="34">
        <v>2000</v>
      </c>
      <c r="V60" s="34">
        <v>2000</v>
      </c>
      <c r="W60" s="34">
        <v>1250</v>
      </c>
      <c r="X60" s="34">
        <v>2250</v>
      </c>
      <c r="Y60" s="34">
        <v>2750</v>
      </c>
      <c r="Z60" s="34">
        <v>2250</v>
      </c>
      <c r="AA60" s="34">
        <v>1750.0000000000002</v>
      </c>
      <c r="AC60" s="34">
        <f t="shared" si="0"/>
        <v>14750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15D0-CDB3-4EF6-88FE-FE21D60C8162}">
  <dimension ref="B2:D4"/>
  <sheetViews>
    <sheetView showGridLines="0" workbookViewId="0">
      <selection sqref="A1:XFD1048576"/>
    </sheetView>
  </sheetViews>
  <sheetFormatPr defaultRowHeight="15"/>
  <sheetData>
    <row r="2" spans="2:4">
      <c r="B2" t="s">
        <v>177</v>
      </c>
      <c r="D2" t="s">
        <v>74</v>
      </c>
    </row>
    <row r="3" spans="2:4">
      <c r="B3" t="s">
        <v>141</v>
      </c>
      <c r="D3" t="s">
        <v>76</v>
      </c>
    </row>
    <row r="4" spans="2:4">
      <c r="D4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4C1493FF4C124AA61416ED9EC966E9" ma:contentTypeVersion="4" ma:contentTypeDescription="Create a new document." ma:contentTypeScope="" ma:versionID="d0c0148a9f8ce5d0f7761491e1f8e021">
  <xsd:schema xmlns:xsd="http://www.w3.org/2001/XMLSchema" xmlns:xs="http://www.w3.org/2001/XMLSchema" xmlns:p="http://schemas.microsoft.com/office/2006/metadata/properties" xmlns:ns2="34b9a112-d606-4fe6-9a6c-82dd5954e82f" targetNamespace="http://schemas.microsoft.com/office/2006/metadata/properties" ma:root="true" ma:fieldsID="6c6b9bd5373f7eefc1b6597b1c3df57f" ns2:_="">
    <xsd:import namespace="34b9a112-d606-4fe6-9a6c-82dd5954e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9a112-d606-4fe6-9a6c-82dd5954e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AC47A5-6D9A-4402-85B4-9CE1569E759E}"/>
</file>

<file path=customXml/itemProps2.xml><?xml version="1.0" encoding="utf-8"?>
<ds:datastoreItem xmlns:ds="http://schemas.openxmlformats.org/officeDocument/2006/customXml" ds:itemID="{A09C6224-9FD5-4A4C-A90B-E80D79716948}"/>
</file>

<file path=customXml/itemProps3.xml><?xml version="1.0" encoding="utf-8"?>
<ds:datastoreItem xmlns:ds="http://schemas.openxmlformats.org/officeDocument/2006/customXml" ds:itemID="{87AB34F6-7931-4068-B09E-AAF343667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Byrom-Chadd</dc:creator>
  <cp:keywords/>
  <dc:description/>
  <cp:lastModifiedBy>Bradley Wilcock</cp:lastModifiedBy>
  <cp:revision/>
  <dcterms:created xsi:type="dcterms:W3CDTF">2025-08-21T07:52:20Z</dcterms:created>
  <dcterms:modified xsi:type="dcterms:W3CDTF">2026-02-04T07:06:51Z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0x010100964C1493FF4C124AA61416ED9EC966E9</vt:lpwstr>
  </property>
  <property fmtid="{D5CDD505-2E9C-101B-9397-08002B2CF9AE}" pid="3" name="MediaServiceImageTags">
    <vt:lpwstr/>
  </property>
</Properties>
</file>