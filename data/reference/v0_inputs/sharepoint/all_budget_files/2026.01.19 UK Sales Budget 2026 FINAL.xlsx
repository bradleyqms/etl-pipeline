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qmsmedicosmetics.sharepoint.com/sites/TIFinanceSBCCT/Shared Documents/Budget/2026/Sales/Final/"/>
    </mc:Choice>
  </mc:AlternateContent>
  <xr:revisionPtr revIDLastSave="0" documentId="8_{47D7B6FF-D7B8-43A3-9A77-1211197B1313}" xr6:coauthVersionLast="47" xr6:coauthVersionMax="47" xr10:uidLastSave="{00000000-0000-0000-0000-000000000000}"/>
  <bookViews>
    <workbookView xWindow="-120" yWindow="-120" windowWidth="29040" windowHeight="15720" xr2:uid="{2DF23699-BD9C-4766-84BE-C12DC7248DF3}"/>
  </bookViews>
  <sheets>
    <sheet name="Summary" sheetId="13" r:id="rId1"/>
    <sheet name="UK Spa Budget" sheetId="9" r:id="rId2"/>
    <sheet name="UK Retail Budget" sheetId="10" r:id="rId3"/>
    <sheet name="Global eTailer Budget" sheetId="11" r:id="rId4"/>
    <sheet name="Performance Data" sheetId="7" r:id="rId5"/>
    <sheet name="2022" sheetId="1" r:id="rId6"/>
    <sheet name="2023" sheetId="2" r:id="rId7"/>
    <sheet name="2024" sheetId="3" r:id="rId8"/>
    <sheet name="2025" sheetId="4" r:id="rId9"/>
    <sheet name="2025B" sheetId="5" r:id="rId10"/>
    <sheet name="Spa budget" sheetId="8" r:id="rId11"/>
    <sheet name="Mapping" sheetId="6" r:id="rId12"/>
    <sheet name="List" sheetId="12" r:id="rId13"/>
  </sheets>
  <externalReferences>
    <externalReference r:id="rId14"/>
    <externalReference r:id="rId1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3" l="1"/>
  <c r="F17" i="13"/>
  <c r="F15" i="13"/>
  <c r="D16" i="13"/>
  <c r="D17" i="13"/>
  <c r="D15" i="13"/>
  <c r="C17" i="13"/>
  <c r="C16" i="13"/>
  <c r="C15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X15" i="13"/>
  <c r="W15" i="13"/>
  <c r="W19" i="13" s="1"/>
  <c r="V15" i="13"/>
  <c r="V19" i="13" s="1"/>
  <c r="U15" i="13"/>
  <c r="U19" i="13" s="1"/>
  <c r="T15" i="13"/>
  <c r="T19" i="13" s="1"/>
  <c r="S15" i="13"/>
  <c r="S19" i="13" s="1"/>
  <c r="R15" i="13"/>
  <c r="R19" i="13" s="1"/>
  <c r="Q15" i="13"/>
  <c r="Q19" i="13" s="1"/>
  <c r="P15" i="13"/>
  <c r="O15" i="13"/>
  <c r="N15" i="13"/>
  <c r="M15" i="13"/>
  <c r="I16" i="13"/>
  <c r="I17" i="13"/>
  <c r="I15" i="13"/>
  <c r="X19" i="13"/>
  <c r="E17" i="13"/>
  <c r="J16" i="13"/>
  <c r="P19" i="13"/>
  <c r="O19" i="13"/>
  <c r="N19" i="13"/>
  <c r="M19" i="13"/>
  <c r="F19" i="13"/>
  <c r="D19" i="13"/>
  <c r="J15" i="13"/>
  <c r="N6" i="13"/>
  <c r="O6" i="13"/>
  <c r="P6" i="13"/>
  <c r="Q6" i="13"/>
  <c r="R6" i="13"/>
  <c r="S6" i="13"/>
  <c r="T6" i="13"/>
  <c r="U6" i="13"/>
  <c r="V6" i="13"/>
  <c r="W6" i="13"/>
  <c r="X6" i="13"/>
  <c r="M6" i="13"/>
  <c r="I6" i="13"/>
  <c r="F6" i="13"/>
  <c r="D6" i="13"/>
  <c r="C6" i="13"/>
  <c r="N5" i="13"/>
  <c r="O5" i="13"/>
  <c r="P5" i="13"/>
  <c r="Q5" i="13"/>
  <c r="R5" i="13"/>
  <c r="S5" i="13"/>
  <c r="T5" i="13"/>
  <c r="U5" i="13"/>
  <c r="V5" i="13"/>
  <c r="W5" i="13"/>
  <c r="X5" i="13"/>
  <c r="M5" i="13"/>
  <c r="I5" i="13"/>
  <c r="F5" i="13"/>
  <c r="D5" i="13"/>
  <c r="C5" i="13"/>
  <c r="N4" i="13"/>
  <c r="O4" i="13"/>
  <c r="P4" i="13"/>
  <c r="Q4" i="13"/>
  <c r="R4" i="13"/>
  <c r="S4" i="13"/>
  <c r="T4" i="13"/>
  <c r="U4" i="13"/>
  <c r="V4" i="13"/>
  <c r="W4" i="13"/>
  <c r="X4" i="13"/>
  <c r="M4" i="13"/>
  <c r="I4" i="13"/>
  <c r="F4" i="13"/>
  <c r="D4" i="13"/>
  <c r="C4" i="13"/>
  <c r="J6" i="13"/>
  <c r="K6" i="13"/>
  <c r="G6" i="13"/>
  <c r="J5" i="13"/>
  <c r="F8" i="13"/>
  <c r="D8" i="13"/>
  <c r="K16" i="13" l="1"/>
  <c r="K15" i="13"/>
  <c r="C19" i="13"/>
  <c r="E15" i="13"/>
  <c r="G16" i="13"/>
  <c r="G17" i="13"/>
  <c r="J17" i="13"/>
  <c r="K17" i="13" s="1"/>
  <c r="E16" i="13"/>
  <c r="G15" i="13"/>
  <c r="I19" i="13"/>
  <c r="R8" i="13"/>
  <c r="S8" i="13"/>
  <c r="N8" i="13"/>
  <c r="W8" i="13"/>
  <c r="T8" i="13"/>
  <c r="U8" i="13"/>
  <c r="X8" i="13"/>
  <c r="O8" i="13"/>
  <c r="P8" i="13"/>
  <c r="V8" i="13"/>
  <c r="C8" i="13"/>
  <c r="K4" i="13"/>
  <c r="G8" i="13"/>
  <c r="E8" i="13"/>
  <c r="K5" i="13"/>
  <c r="I8" i="13"/>
  <c r="E4" i="13"/>
  <c r="G4" i="13"/>
  <c r="M8" i="13"/>
  <c r="Q8" i="13"/>
  <c r="E5" i="13"/>
  <c r="J4" i="13"/>
  <c r="J8" i="13" s="1"/>
  <c r="G5" i="13"/>
  <c r="E6" i="13"/>
  <c r="G19" i="13" l="1"/>
  <c r="E19" i="13"/>
  <c r="J19" i="13"/>
  <c r="K19" i="13" s="1"/>
  <c r="K8" i="13"/>
  <c r="AR5" i="11" l="1"/>
  <c r="AQ5" i="11"/>
  <c r="AP5" i="11"/>
  <c r="AO5" i="11"/>
  <c r="AN5" i="11"/>
  <c r="AM5" i="11"/>
  <c r="AL5" i="11"/>
  <c r="AK5" i="11"/>
  <c r="AJ5" i="11"/>
  <c r="AI5" i="11"/>
  <c r="AH5" i="11"/>
  <c r="AG5" i="11"/>
  <c r="AG4" i="11"/>
  <c r="AH4" i="11"/>
  <c r="AI4" i="11"/>
  <c r="AJ4" i="11"/>
  <c r="AK4" i="11"/>
  <c r="AL4" i="11"/>
  <c r="AM4" i="11"/>
  <c r="AN4" i="11"/>
  <c r="AO4" i="11"/>
  <c r="AP4" i="11"/>
  <c r="AQ4" i="11"/>
  <c r="AR4" i="11"/>
  <c r="AH3" i="11"/>
  <c r="AI3" i="11"/>
  <c r="AJ3" i="11"/>
  <c r="AK3" i="11"/>
  <c r="AL3" i="11"/>
  <c r="AM3" i="11"/>
  <c r="AN3" i="11"/>
  <c r="AO3" i="11"/>
  <c r="AP3" i="11"/>
  <c r="AQ3" i="11"/>
  <c r="AR3" i="11"/>
  <c r="AG3" i="11"/>
  <c r="AR6" i="10"/>
  <c r="AQ6" i="10"/>
  <c r="AP6" i="10"/>
  <c r="AO6" i="10"/>
  <c r="AN6" i="10"/>
  <c r="AM6" i="10"/>
  <c r="AL6" i="10"/>
  <c r="AK6" i="10"/>
  <c r="AJ6" i="10"/>
  <c r="AI6" i="10"/>
  <c r="AH6" i="10"/>
  <c r="AG6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W17" i="11"/>
  <c r="X17" i="11"/>
  <c r="Y17" i="11"/>
  <c r="Z17" i="11"/>
  <c r="AA17" i="11"/>
  <c r="W18" i="10"/>
  <c r="X18" i="10"/>
  <c r="Y18" i="10"/>
  <c r="Z18" i="10"/>
  <c r="AA18" i="10"/>
  <c r="AH33" i="9"/>
  <c r="AG33" i="9"/>
  <c r="W33" i="9"/>
  <c r="X33" i="9"/>
  <c r="Y33" i="9"/>
  <c r="Z33" i="9"/>
  <c r="AA33" i="9"/>
  <c r="AJ31" i="9"/>
  <c r="AJ33" i="9" s="1"/>
  <c r="AI31" i="9"/>
  <c r="AI33" i="9" s="1"/>
  <c r="AH31" i="9"/>
  <c r="AG31" i="9"/>
  <c r="BF30" i="9"/>
  <c r="AR31" i="9" s="1"/>
  <c r="AR33" i="9" s="1"/>
  <c r="BE30" i="9"/>
  <c r="AQ31" i="9" s="1"/>
  <c r="AQ33" i="9" s="1"/>
  <c r="BD30" i="9"/>
  <c r="AP31" i="9" s="1"/>
  <c r="AP33" i="9" s="1"/>
  <c r="BC30" i="9"/>
  <c r="AO31" i="9" s="1"/>
  <c r="AO33" i="9" s="1"/>
  <c r="BB30" i="9"/>
  <c r="AN31" i="9" s="1"/>
  <c r="AN33" i="9" s="1"/>
  <c r="BA30" i="9"/>
  <c r="AM31" i="9" s="1"/>
  <c r="AM33" i="9" s="1"/>
  <c r="AZ30" i="9"/>
  <c r="AL31" i="9" s="1"/>
  <c r="AL33" i="9" s="1"/>
  <c r="AY30" i="9"/>
  <c r="AK31" i="9" s="1"/>
  <c r="AK33" i="9" s="1"/>
  <c r="AR27" i="9"/>
  <c r="AQ27" i="9"/>
  <c r="AP27" i="9"/>
  <c r="AO27" i="9"/>
  <c r="AN27" i="9"/>
  <c r="AM27" i="9"/>
  <c r="AL27" i="9"/>
  <c r="AK27" i="9"/>
  <c r="AJ27" i="9"/>
  <c r="AI27" i="9"/>
  <c r="AH27" i="9"/>
  <c r="AG27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G4" i="9"/>
  <c r="AH4" i="9"/>
  <c r="AI4" i="9"/>
  <c r="AJ4" i="9"/>
  <c r="AK4" i="9"/>
  <c r="AL4" i="9"/>
  <c r="AM4" i="9"/>
  <c r="AN4" i="9"/>
  <c r="AO4" i="9"/>
  <c r="AP4" i="9"/>
  <c r="AQ4" i="9"/>
  <c r="AR4" i="9"/>
  <c r="AG5" i="9"/>
  <c r="AH5" i="9"/>
  <c r="AI5" i="9"/>
  <c r="AJ5" i="9"/>
  <c r="AK5" i="9"/>
  <c r="AL5" i="9"/>
  <c r="AM5" i="9"/>
  <c r="AN5" i="9"/>
  <c r="AO5" i="9"/>
  <c r="AP5" i="9"/>
  <c r="AQ5" i="9"/>
  <c r="AR5" i="9"/>
  <c r="AG6" i="9"/>
  <c r="AH6" i="9"/>
  <c r="AI6" i="9"/>
  <c r="AJ6" i="9"/>
  <c r="AK6" i="9"/>
  <c r="AL6" i="9"/>
  <c r="AM6" i="9"/>
  <c r="AN6" i="9"/>
  <c r="AO6" i="9"/>
  <c r="AP6" i="9"/>
  <c r="AQ6" i="9"/>
  <c r="AR6" i="9"/>
  <c r="AG7" i="9"/>
  <c r="AH7" i="9"/>
  <c r="AI7" i="9"/>
  <c r="AJ7" i="9"/>
  <c r="AK7" i="9"/>
  <c r="AL7" i="9"/>
  <c r="AM7" i="9"/>
  <c r="AN7" i="9"/>
  <c r="AO7" i="9"/>
  <c r="AP7" i="9"/>
  <c r="AQ7" i="9"/>
  <c r="AR7" i="9"/>
  <c r="AG8" i="9"/>
  <c r="AH8" i="9"/>
  <c r="AI8" i="9"/>
  <c r="AJ8" i="9"/>
  <c r="AK8" i="9"/>
  <c r="AL8" i="9"/>
  <c r="AM8" i="9"/>
  <c r="AN8" i="9"/>
  <c r="AO8" i="9"/>
  <c r="AP8" i="9"/>
  <c r="AQ8" i="9"/>
  <c r="AR8" i="9"/>
  <c r="AG9" i="9"/>
  <c r="AH9" i="9"/>
  <c r="AI9" i="9"/>
  <c r="AJ9" i="9"/>
  <c r="AK9" i="9"/>
  <c r="AL9" i="9"/>
  <c r="AM9" i="9"/>
  <c r="AN9" i="9"/>
  <c r="AO9" i="9"/>
  <c r="AP9" i="9"/>
  <c r="AQ9" i="9"/>
  <c r="AR9" i="9"/>
  <c r="AG10" i="9"/>
  <c r="AH10" i="9"/>
  <c r="AI10" i="9"/>
  <c r="AJ10" i="9"/>
  <c r="AK10" i="9"/>
  <c r="AL10" i="9"/>
  <c r="AM10" i="9"/>
  <c r="AN10" i="9"/>
  <c r="AO10" i="9"/>
  <c r="AP10" i="9"/>
  <c r="AQ10" i="9"/>
  <c r="AR10" i="9"/>
  <c r="AG11" i="9"/>
  <c r="AH11" i="9"/>
  <c r="AI11" i="9"/>
  <c r="AJ11" i="9"/>
  <c r="AK11" i="9"/>
  <c r="AL11" i="9"/>
  <c r="AM11" i="9"/>
  <c r="AN11" i="9"/>
  <c r="AO11" i="9"/>
  <c r="AP11" i="9"/>
  <c r="AQ11" i="9"/>
  <c r="AR11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R3" i="9"/>
  <c r="AQ3" i="9"/>
  <c r="AP3" i="9"/>
  <c r="AO3" i="9"/>
  <c r="AN3" i="9"/>
  <c r="AM3" i="9"/>
  <c r="AL3" i="9"/>
  <c r="AK3" i="9"/>
  <c r="AJ3" i="9"/>
  <c r="AI3" i="9"/>
  <c r="AH3" i="9"/>
  <c r="AG3" i="9"/>
  <c r="J4" i="11" l="1"/>
  <c r="Z4" i="11" s="1"/>
  <c r="J3" i="11"/>
  <c r="J4" i="10"/>
  <c r="Z4" i="10" s="1"/>
  <c r="J5" i="10"/>
  <c r="Z5" i="10" s="1"/>
  <c r="J3" i="10"/>
  <c r="Z3" i="10" s="1"/>
  <c r="J24" i="9"/>
  <c r="Z24" i="9" s="1"/>
  <c r="I22" i="9"/>
  <c r="I23" i="9"/>
  <c r="I24" i="9"/>
  <c r="D22" i="9"/>
  <c r="E22" i="9"/>
  <c r="F22" i="9"/>
  <c r="G22" i="9"/>
  <c r="O22" i="9"/>
  <c r="P22" i="9"/>
  <c r="S22" i="9" s="1"/>
  <c r="Q22" i="9"/>
  <c r="V22" i="9"/>
  <c r="W22" i="9"/>
  <c r="X22" i="9"/>
  <c r="Y22" i="9"/>
  <c r="AA22" i="9"/>
  <c r="D23" i="9"/>
  <c r="E23" i="9"/>
  <c r="F23" i="9"/>
  <c r="G23" i="9"/>
  <c r="O23" i="9"/>
  <c r="P23" i="9"/>
  <c r="S23" i="9" s="1"/>
  <c r="Q23" i="9"/>
  <c r="V23" i="9"/>
  <c r="W23" i="9"/>
  <c r="X23" i="9"/>
  <c r="Y23" i="9"/>
  <c r="AA23" i="9"/>
  <c r="D24" i="9"/>
  <c r="E24" i="9"/>
  <c r="F24" i="9"/>
  <c r="G24" i="9"/>
  <c r="O24" i="9"/>
  <c r="P24" i="9"/>
  <c r="Q24" i="9"/>
  <c r="S24" i="9"/>
  <c r="V24" i="9"/>
  <c r="W24" i="9"/>
  <c r="X24" i="9"/>
  <c r="Y24" i="9"/>
  <c r="AA24" i="9"/>
  <c r="F18" i="7"/>
  <c r="G18" i="7"/>
  <c r="L18" i="7"/>
  <c r="M18" i="7"/>
  <c r="N18" i="7"/>
  <c r="O18" i="7"/>
  <c r="P18" i="7"/>
  <c r="R18" i="7"/>
  <c r="S18" i="7"/>
  <c r="T18" i="7"/>
  <c r="U18" i="7"/>
  <c r="V18" i="7"/>
  <c r="X18" i="7"/>
  <c r="Y18" i="7"/>
  <c r="Z18" i="7"/>
  <c r="AA18" i="7"/>
  <c r="AC18" i="7"/>
  <c r="AM18" i="7" s="1"/>
  <c r="AD18" i="7"/>
  <c r="AE18" i="7"/>
  <c r="AF18" i="7"/>
  <c r="AQ18" i="7" s="1"/>
  <c r="AG18" i="7"/>
  <c r="F19" i="7"/>
  <c r="G19" i="7"/>
  <c r="L19" i="7"/>
  <c r="V19" i="7" s="1"/>
  <c r="M19" i="7"/>
  <c r="N19" i="7"/>
  <c r="O19" i="7"/>
  <c r="U19" i="7" s="1"/>
  <c r="P19" i="7"/>
  <c r="R19" i="7"/>
  <c r="S19" i="7"/>
  <c r="T19" i="7"/>
  <c r="AC19" i="7"/>
  <c r="AD19" i="7"/>
  <c r="AE19" i="7"/>
  <c r="AG19" i="7"/>
  <c r="F20" i="7"/>
  <c r="G20" i="7"/>
  <c r="L20" i="7"/>
  <c r="M20" i="7"/>
  <c r="N20" i="7"/>
  <c r="O20" i="7"/>
  <c r="P20" i="7"/>
  <c r="R20" i="7"/>
  <c r="S20" i="7"/>
  <c r="T20" i="7"/>
  <c r="U20" i="7"/>
  <c r="V20" i="7"/>
  <c r="X20" i="7"/>
  <c r="Y20" i="7"/>
  <c r="Z20" i="7"/>
  <c r="AA20" i="7"/>
  <c r="AC20" i="7"/>
  <c r="AM20" i="7" s="1"/>
  <c r="AD20" i="7"/>
  <c r="AE20" i="7"/>
  <c r="AF20" i="7"/>
  <c r="AI20" i="7" s="1"/>
  <c r="AG20" i="7"/>
  <c r="AF7" i="7"/>
  <c r="AF9" i="7"/>
  <c r="AF11" i="7"/>
  <c r="AF15" i="7"/>
  <c r="AF17" i="7"/>
  <c r="AF22" i="7"/>
  <c r="AF23" i="7"/>
  <c r="AF25" i="7"/>
  <c r="AF26" i="7"/>
  <c r="AF3" i="7"/>
  <c r="P28" i="7"/>
  <c r="O28" i="7"/>
  <c r="N28" i="7"/>
  <c r="M28" i="7"/>
  <c r="L28" i="7"/>
  <c r="V28" i="7" s="1"/>
  <c r="P26" i="7"/>
  <c r="O26" i="7"/>
  <c r="N26" i="7"/>
  <c r="O5" i="10" s="1"/>
  <c r="M26" i="7"/>
  <c r="L26" i="7"/>
  <c r="P25" i="7"/>
  <c r="O25" i="7"/>
  <c r="N25" i="7"/>
  <c r="O4" i="11" s="1"/>
  <c r="M25" i="7"/>
  <c r="L25" i="7"/>
  <c r="P24" i="7"/>
  <c r="O24" i="7"/>
  <c r="N24" i="7"/>
  <c r="M24" i="7"/>
  <c r="L24" i="7"/>
  <c r="P23" i="7"/>
  <c r="O23" i="7"/>
  <c r="P4" i="10" s="1"/>
  <c r="N23" i="7"/>
  <c r="O4" i="10" s="1"/>
  <c r="M23" i="7"/>
  <c r="L23" i="7"/>
  <c r="P22" i="7"/>
  <c r="Q3" i="10" s="1"/>
  <c r="O22" i="7"/>
  <c r="P3" i="10" s="1"/>
  <c r="N22" i="7"/>
  <c r="O3" i="10" s="1"/>
  <c r="M22" i="7"/>
  <c r="L22" i="7"/>
  <c r="P17" i="7"/>
  <c r="O17" i="7"/>
  <c r="N17" i="7"/>
  <c r="O21" i="9" s="1"/>
  <c r="M17" i="7"/>
  <c r="L17" i="7"/>
  <c r="P16" i="7"/>
  <c r="O16" i="7"/>
  <c r="AF16" i="7" s="1"/>
  <c r="N16" i="7"/>
  <c r="O20" i="9" s="1"/>
  <c r="M16" i="7"/>
  <c r="L16" i="7"/>
  <c r="P15" i="7"/>
  <c r="O15" i="7"/>
  <c r="N15" i="7"/>
  <c r="O19" i="9" s="1"/>
  <c r="M15" i="7"/>
  <c r="L15" i="7"/>
  <c r="P14" i="7"/>
  <c r="Q18" i="9" s="1"/>
  <c r="O14" i="7"/>
  <c r="AF14" i="7" s="1"/>
  <c r="N14" i="7"/>
  <c r="O18" i="9" s="1"/>
  <c r="M14" i="7"/>
  <c r="L14" i="7"/>
  <c r="P13" i="7"/>
  <c r="O13" i="7"/>
  <c r="AF13" i="7" s="1"/>
  <c r="N13" i="7"/>
  <c r="M13" i="7"/>
  <c r="L13" i="7"/>
  <c r="P12" i="7"/>
  <c r="Q12" i="9" s="1"/>
  <c r="O12" i="7"/>
  <c r="AF12" i="7" s="1"/>
  <c r="N12" i="7"/>
  <c r="O12" i="9" s="1"/>
  <c r="M12" i="7"/>
  <c r="L12" i="7"/>
  <c r="P11" i="7"/>
  <c r="O11" i="7"/>
  <c r="N11" i="7"/>
  <c r="M11" i="7"/>
  <c r="L11" i="7"/>
  <c r="P10" i="7"/>
  <c r="Q10" i="9" s="1"/>
  <c r="O10" i="7"/>
  <c r="AF10" i="7" s="1"/>
  <c r="N10" i="7"/>
  <c r="O10" i="9" s="1"/>
  <c r="M10" i="7"/>
  <c r="L10" i="7"/>
  <c r="P9" i="7"/>
  <c r="O9" i="7"/>
  <c r="N9" i="7"/>
  <c r="O9" i="9" s="1"/>
  <c r="M9" i="7"/>
  <c r="L9" i="7"/>
  <c r="P8" i="7"/>
  <c r="Q8" i="9" s="1"/>
  <c r="O8" i="7"/>
  <c r="AF8" i="7" s="1"/>
  <c r="N8" i="7"/>
  <c r="O8" i="9" s="1"/>
  <c r="M8" i="7"/>
  <c r="L8" i="7"/>
  <c r="P7" i="7"/>
  <c r="O7" i="7"/>
  <c r="N7" i="7"/>
  <c r="M7" i="7"/>
  <c r="L7" i="7"/>
  <c r="P6" i="7"/>
  <c r="Q6" i="9" s="1"/>
  <c r="O6" i="7"/>
  <c r="AF6" i="7" s="1"/>
  <c r="N6" i="7"/>
  <c r="O6" i="9" s="1"/>
  <c r="M6" i="7"/>
  <c r="L6" i="7"/>
  <c r="P5" i="7"/>
  <c r="Q5" i="9" s="1"/>
  <c r="O5" i="7"/>
  <c r="AF5" i="7" s="1"/>
  <c r="N5" i="7"/>
  <c r="O5" i="9" s="1"/>
  <c r="M5" i="7"/>
  <c r="L5" i="7"/>
  <c r="P4" i="7"/>
  <c r="O4" i="7"/>
  <c r="AF4" i="7" s="1"/>
  <c r="N4" i="7"/>
  <c r="M4" i="7"/>
  <c r="L4" i="7"/>
  <c r="P3" i="7"/>
  <c r="O3" i="7"/>
  <c r="N3" i="7"/>
  <c r="M3" i="7"/>
  <c r="L3" i="7"/>
  <c r="V17" i="11"/>
  <c r="Q17" i="11"/>
  <c r="P17" i="11"/>
  <c r="S17" i="11" s="1"/>
  <c r="O17" i="11"/>
  <c r="K17" i="11"/>
  <c r="J17" i="11"/>
  <c r="H17" i="11"/>
  <c r="AA15" i="11"/>
  <c r="AE15" i="11" s="1"/>
  <c r="Z15" i="11"/>
  <c r="AD15" i="11" s="1"/>
  <c r="T15" i="11"/>
  <c r="S15" i="11"/>
  <c r="Z11" i="11"/>
  <c r="AD11" i="11" s="1"/>
  <c r="Y11" i="11"/>
  <c r="X11" i="11"/>
  <c r="W11" i="11"/>
  <c r="V11" i="11"/>
  <c r="Q11" i="11"/>
  <c r="P11" i="11"/>
  <c r="T11" i="11" s="1"/>
  <c r="O11" i="11"/>
  <c r="K11" i="11"/>
  <c r="J11" i="11"/>
  <c r="H11" i="11"/>
  <c r="AA9" i="11"/>
  <c r="Z9" i="11"/>
  <c r="AD9" i="11" s="1"/>
  <c r="T9" i="11"/>
  <c r="S9" i="11"/>
  <c r="V5" i="11"/>
  <c r="K5" i="11"/>
  <c r="H5" i="11"/>
  <c r="AA4" i="11"/>
  <c r="Q4" i="11"/>
  <c r="I4" i="11"/>
  <c r="G4" i="11"/>
  <c r="D4" i="11"/>
  <c r="AA3" i="11"/>
  <c r="Y3" i="11"/>
  <c r="X3" i="11"/>
  <c r="W3" i="11"/>
  <c r="V3" i="11"/>
  <c r="Q3" i="11"/>
  <c r="P3" i="11"/>
  <c r="O3" i="11"/>
  <c r="I3" i="11"/>
  <c r="G3" i="11"/>
  <c r="D3" i="11"/>
  <c r="H12" i="10"/>
  <c r="Y12" i="10"/>
  <c r="E3" i="10"/>
  <c r="E8" i="9"/>
  <c r="V18" i="10"/>
  <c r="Q18" i="10"/>
  <c r="P18" i="10"/>
  <c r="T18" i="10" s="1"/>
  <c r="O18" i="10"/>
  <c r="K18" i="10"/>
  <c r="J18" i="10"/>
  <c r="H18" i="10"/>
  <c r="AA16" i="10"/>
  <c r="Z16" i="10"/>
  <c r="AD16" i="10" s="1"/>
  <c r="T16" i="10"/>
  <c r="S16" i="10"/>
  <c r="K12" i="10"/>
  <c r="J12" i="10"/>
  <c r="AA10" i="10"/>
  <c r="Z10" i="10"/>
  <c r="AC10" i="10" s="1"/>
  <c r="S10" i="10"/>
  <c r="T10" i="10"/>
  <c r="X12" i="10"/>
  <c r="V6" i="10"/>
  <c r="K6" i="10"/>
  <c r="H6" i="10"/>
  <c r="AA5" i="10"/>
  <c r="Q5" i="10"/>
  <c r="P5" i="10"/>
  <c r="T5" i="10" s="1"/>
  <c r="I5" i="10"/>
  <c r="G5" i="10"/>
  <c r="D5" i="10"/>
  <c r="AA4" i="10"/>
  <c r="Q4" i="10"/>
  <c r="I4" i="10"/>
  <c r="G4" i="10"/>
  <c r="D4" i="10"/>
  <c r="AA3" i="10"/>
  <c r="Y3" i="10"/>
  <c r="X3" i="10"/>
  <c r="W3" i="10"/>
  <c r="G3" i="10"/>
  <c r="D3" i="10"/>
  <c r="V33" i="9"/>
  <c r="H27" i="9"/>
  <c r="H13" i="9"/>
  <c r="AG28" i="7"/>
  <c r="AR28" i="7" s="1"/>
  <c r="AE28" i="7"/>
  <c r="AD28" i="7"/>
  <c r="AP28" i="7" s="1"/>
  <c r="AC28" i="7"/>
  <c r="AQ28" i="7" s="1"/>
  <c r="Q25" i="9"/>
  <c r="T25" i="9" s="1"/>
  <c r="AA18" i="9"/>
  <c r="Q19" i="9"/>
  <c r="AA19" i="9"/>
  <c r="Q20" i="9"/>
  <c r="AA20" i="9"/>
  <c r="Q21" i="9"/>
  <c r="AA21" i="9"/>
  <c r="D18" i="9"/>
  <c r="G18" i="9"/>
  <c r="I18" i="9"/>
  <c r="D19" i="9"/>
  <c r="G19" i="9"/>
  <c r="I19" i="9"/>
  <c r="D20" i="9"/>
  <c r="G20" i="9"/>
  <c r="I20" i="9"/>
  <c r="D21" i="9"/>
  <c r="G21" i="9"/>
  <c r="I21" i="9"/>
  <c r="G17" i="9"/>
  <c r="G4" i="9"/>
  <c r="G5" i="9"/>
  <c r="G6" i="9"/>
  <c r="G7" i="9"/>
  <c r="G8" i="9"/>
  <c r="G9" i="9"/>
  <c r="G10" i="9"/>
  <c r="G11" i="9"/>
  <c r="G12" i="9"/>
  <c r="G3" i="9"/>
  <c r="Q17" i="9"/>
  <c r="O17" i="9"/>
  <c r="I17" i="9"/>
  <c r="D17" i="9"/>
  <c r="V13" i="9"/>
  <c r="I12" i="9"/>
  <c r="D12" i="9"/>
  <c r="Q11" i="9"/>
  <c r="O11" i="9"/>
  <c r="I11" i="9"/>
  <c r="D11" i="9"/>
  <c r="I10" i="9"/>
  <c r="D10" i="9"/>
  <c r="Q9" i="9"/>
  <c r="I9" i="9"/>
  <c r="D9" i="9"/>
  <c r="I8" i="9"/>
  <c r="D8" i="9"/>
  <c r="Q7" i="9"/>
  <c r="O7" i="9"/>
  <c r="I7" i="9"/>
  <c r="D7" i="9"/>
  <c r="I6" i="9"/>
  <c r="D6" i="9"/>
  <c r="I5" i="9"/>
  <c r="D5" i="9"/>
  <c r="Q4" i="9"/>
  <c r="O4" i="9"/>
  <c r="I4" i="9"/>
  <c r="D4" i="9"/>
  <c r="Q3" i="9"/>
  <c r="O3" i="9"/>
  <c r="I3" i="9"/>
  <c r="D3" i="9"/>
  <c r="Q33" i="9"/>
  <c r="P33" i="9"/>
  <c r="O33" i="9"/>
  <c r="K33" i="9"/>
  <c r="J33" i="9"/>
  <c r="H33" i="9"/>
  <c r="AA31" i="9"/>
  <c r="Z31" i="9"/>
  <c r="AC31" i="9" s="1"/>
  <c r="T31" i="9"/>
  <c r="S31" i="9"/>
  <c r="K27" i="9"/>
  <c r="AA25" i="9"/>
  <c r="Z25" i="9"/>
  <c r="S25" i="9"/>
  <c r="AA17" i="9"/>
  <c r="K13" i="9"/>
  <c r="AA12" i="9"/>
  <c r="AA11" i="9"/>
  <c r="AA10" i="9"/>
  <c r="AA9" i="9"/>
  <c r="AA8" i="9"/>
  <c r="AA7" i="9"/>
  <c r="AA6" i="9"/>
  <c r="AA5" i="9"/>
  <c r="AA4" i="9"/>
  <c r="AA3" i="9"/>
  <c r="H23" i="7"/>
  <c r="H22" i="7"/>
  <c r="I3" i="10" s="1"/>
  <c r="AG26" i="7"/>
  <c r="Y5" i="10" s="1"/>
  <c r="AE26" i="7"/>
  <c r="X5" i="10" s="1"/>
  <c r="AD26" i="7"/>
  <c r="W5" i="10" s="1"/>
  <c r="AC26" i="7"/>
  <c r="V5" i="10" s="1"/>
  <c r="Y26" i="7"/>
  <c r="G26" i="7"/>
  <c r="F5" i="10" s="1"/>
  <c r="F26" i="7"/>
  <c r="E5" i="10" s="1"/>
  <c r="AG25" i="7"/>
  <c r="Y4" i="11" s="1"/>
  <c r="AE25" i="7"/>
  <c r="X4" i="11" s="1"/>
  <c r="AD25" i="7"/>
  <c r="W4" i="11" s="1"/>
  <c r="AC25" i="7"/>
  <c r="V4" i="11" s="1"/>
  <c r="P4" i="11"/>
  <c r="G25" i="7"/>
  <c r="F4" i="11" s="1"/>
  <c r="F25" i="7"/>
  <c r="E4" i="11" s="1"/>
  <c r="AG24" i="7"/>
  <c r="AE24" i="7"/>
  <c r="AD24" i="7"/>
  <c r="AC24" i="7"/>
  <c r="G24" i="7"/>
  <c r="F3" i="11" s="1"/>
  <c r="F24" i="7"/>
  <c r="E3" i="11" s="1"/>
  <c r="AG23" i="7"/>
  <c r="Y4" i="10" s="1"/>
  <c r="AE23" i="7"/>
  <c r="AO23" i="7" s="1"/>
  <c r="AD23" i="7"/>
  <c r="AP23" i="7" s="1"/>
  <c r="AC23" i="7"/>
  <c r="AQ23" i="7" s="1"/>
  <c r="S23" i="7"/>
  <c r="G23" i="7"/>
  <c r="F4" i="10" s="1"/>
  <c r="F23" i="7"/>
  <c r="E4" i="10" s="1"/>
  <c r="AG22" i="7"/>
  <c r="AE22" i="7"/>
  <c r="AD22" i="7"/>
  <c r="AC22" i="7"/>
  <c r="V3" i="10" s="1"/>
  <c r="G22" i="7"/>
  <c r="F3" i="10" s="1"/>
  <c r="F22" i="7"/>
  <c r="AE24" i="9" l="1"/>
  <c r="AC24" i="9"/>
  <c r="AD24" i="9"/>
  <c r="T23" i="9"/>
  <c r="AE25" i="9"/>
  <c r="J22" i="9"/>
  <c r="Z22" i="9" s="1"/>
  <c r="T24" i="9"/>
  <c r="AE22" i="9"/>
  <c r="J23" i="9"/>
  <c r="Z23" i="9" s="1"/>
  <c r="AD23" i="9" s="1"/>
  <c r="J5" i="11"/>
  <c r="Z3" i="11"/>
  <c r="AE4" i="10"/>
  <c r="J6" i="10"/>
  <c r="T22" i="9"/>
  <c r="AC23" i="9"/>
  <c r="AR20" i="7"/>
  <c r="AF19" i="7"/>
  <c r="AO20" i="7"/>
  <c r="AO18" i="7"/>
  <c r="AL20" i="7"/>
  <c r="AK20" i="7"/>
  <c r="Y19" i="7"/>
  <c r="AK18" i="7"/>
  <c r="AP18" i="7"/>
  <c r="AA19" i="7"/>
  <c r="Z19" i="7"/>
  <c r="AL18" i="7"/>
  <c r="AJ20" i="7"/>
  <c r="X19" i="7"/>
  <c r="AJ18" i="7"/>
  <c r="AI18" i="7"/>
  <c r="AR18" i="7"/>
  <c r="AQ20" i="7"/>
  <c r="AP20" i="7"/>
  <c r="Q5" i="11"/>
  <c r="S24" i="7"/>
  <c r="V4" i="10"/>
  <c r="AF24" i="7"/>
  <c r="Y25" i="9"/>
  <c r="X25" i="7"/>
  <c r="T28" i="7"/>
  <c r="T4" i="10"/>
  <c r="W4" i="10"/>
  <c r="W6" i="10" s="1"/>
  <c r="X4" i="10"/>
  <c r="AC4" i="10" s="1"/>
  <c r="AQ24" i="7"/>
  <c r="AM26" i="7"/>
  <c r="AR23" i="7"/>
  <c r="AP24" i="7"/>
  <c r="AR24" i="7"/>
  <c r="AK22" i="7"/>
  <c r="AP26" i="7"/>
  <c r="AL26" i="7"/>
  <c r="AQ25" i="7"/>
  <c r="AJ25" i="7"/>
  <c r="AO25" i="7"/>
  <c r="AO26" i="7"/>
  <c r="AO24" i="7"/>
  <c r="AI22" i="7"/>
  <c r="AR25" i="7"/>
  <c r="AP22" i="7"/>
  <c r="AL22" i="7"/>
  <c r="T4" i="11"/>
  <c r="U24" i="7"/>
  <c r="Z24" i="7"/>
  <c r="AA24" i="7"/>
  <c r="V23" i="7"/>
  <c r="V26" i="7"/>
  <c r="V25" i="7"/>
  <c r="AA22" i="7"/>
  <c r="Y22" i="7"/>
  <c r="AA25" i="7"/>
  <c r="X22" i="7"/>
  <c r="X23" i="7"/>
  <c r="Z22" i="7"/>
  <c r="Z23" i="7"/>
  <c r="Z25" i="7"/>
  <c r="Y23" i="7"/>
  <c r="X28" i="7"/>
  <c r="AE9" i="11"/>
  <c r="AA11" i="11"/>
  <c r="AE11" i="11" s="1"/>
  <c r="AE3" i="11"/>
  <c r="AA5" i="11"/>
  <c r="AC15" i="11"/>
  <c r="AC9" i="11"/>
  <c r="AC4" i="11"/>
  <c r="T17" i="11"/>
  <c r="O5" i="11"/>
  <c r="P5" i="11"/>
  <c r="S5" i="11" s="1"/>
  <c r="AE4" i="11"/>
  <c r="AC11" i="11"/>
  <c r="AD4" i="11"/>
  <c r="W5" i="11"/>
  <c r="AD3" i="11"/>
  <c r="X5" i="11"/>
  <c r="Y5" i="11"/>
  <c r="S4" i="11"/>
  <c r="S11" i="11"/>
  <c r="S3" i="11"/>
  <c r="T3" i="11"/>
  <c r="Z5" i="11"/>
  <c r="AC3" i="11"/>
  <c r="Q6" i="10"/>
  <c r="AE16" i="10"/>
  <c r="Z6" i="10"/>
  <c r="AA6" i="10"/>
  <c r="AC16" i="10"/>
  <c r="S18" i="10"/>
  <c r="AE10" i="10"/>
  <c r="O12" i="10"/>
  <c r="AE3" i="10"/>
  <c r="Q12" i="10"/>
  <c r="V12" i="10"/>
  <c r="W12" i="10"/>
  <c r="AD3" i="10"/>
  <c r="O6" i="10"/>
  <c r="Y6" i="10"/>
  <c r="T3" i="10"/>
  <c r="AD4" i="10"/>
  <c r="AD5" i="10"/>
  <c r="P12" i="10"/>
  <c r="AC5" i="10"/>
  <c r="P6" i="10"/>
  <c r="AC3" i="10"/>
  <c r="AE5" i="10"/>
  <c r="AA12" i="10"/>
  <c r="S5" i="10"/>
  <c r="S4" i="10"/>
  <c r="AD10" i="10"/>
  <c r="Z12" i="10"/>
  <c r="S3" i="10"/>
  <c r="S28" i="7"/>
  <c r="U28" i="7"/>
  <c r="Y28" i="7"/>
  <c r="Z28" i="7"/>
  <c r="R28" i="7"/>
  <c r="AA28" i="7"/>
  <c r="W21" i="9"/>
  <c r="AI28" i="7"/>
  <c r="V21" i="9"/>
  <c r="AJ28" i="7"/>
  <c r="AM28" i="7"/>
  <c r="AO28" i="7"/>
  <c r="AK28" i="7"/>
  <c r="AL28" i="7"/>
  <c r="O27" i="9"/>
  <c r="AA27" i="9"/>
  <c r="AE31" i="9"/>
  <c r="Q27" i="9"/>
  <c r="AD31" i="9"/>
  <c r="S33" i="9"/>
  <c r="O13" i="9"/>
  <c r="Q13" i="9"/>
  <c r="T33" i="9"/>
  <c r="AC25" i="9"/>
  <c r="AD25" i="9"/>
  <c r="AA13" i="9"/>
  <c r="V22" i="7"/>
  <c r="V24" i="7"/>
  <c r="T23" i="7"/>
  <c r="X24" i="7"/>
  <c r="U22" i="7"/>
  <c r="Y24" i="7"/>
  <c r="T26" i="7"/>
  <c r="AA26" i="7"/>
  <c r="R26" i="7"/>
  <c r="AM22" i="7"/>
  <c r="U26" i="7"/>
  <c r="S25" i="7"/>
  <c r="X26" i="7"/>
  <c r="AA23" i="7"/>
  <c r="Z26" i="7"/>
  <c r="T24" i="7"/>
  <c r="Y25" i="7"/>
  <c r="AQ26" i="7"/>
  <c r="S26" i="7"/>
  <c r="AR26" i="7"/>
  <c r="AI26" i="7"/>
  <c r="AJ26" i="7"/>
  <c r="AK26" i="7"/>
  <c r="AI25" i="7"/>
  <c r="T25" i="7"/>
  <c r="U25" i="7"/>
  <c r="AK25" i="7"/>
  <c r="AL25" i="7"/>
  <c r="AM25" i="7"/>
  <c r="AP25" i="7"/>
  <c r="R25" i="7"/>
  <c r="AJ24" i="7"/>
  <c r="AK24" i="7"/>
  <c r="AL24" i="7"/>
  <c r="AM24" i="7"/>
  <c r="AI24" i="7"/>
  <c r="R24" i="7"/>
  <c r="U23" i="7"/>
  <c r="AI23" i="7"/>
  <c r="AL23" i="7"/>
  <c r="AM23" i="7"/>
  <c r="AJ23" i="7"/>
  <c r="AK23" i="7"/>
  <c r="R23" i="7"/>
  <c r="AO22" i="7"/>
  <c r="R22" i="7"/>
  <c r="AQ22" i="7"/>
  <c r="S22" i="7"/>
  <c r="AR22" i="7"/>
  <c r="T22" i="7"/>
  <c r="AJ22" i="7"/>
  <c r="AI4" i="7"/>
  <c r="AJ4" i="7"/>
  <c r="AK4" i="7"/>
  <c r="AM4" i="7"/>
  <c r="AO4" i="7"/>
  <c r="AP4" i="7"/>
  <c r="AI6" i="7"/>
  <c r="AJ6" i="7"/>
  <c r="AK6" i="7"/>
  <c r="AL6" i="7"/>
  <c r="AM6" i="7"/>
  <c r="AO6" i="7"/>
  <c r="AP6" i="7"/>
  <c r="AR8" i="7"/>
  <c r="AI9" i="7"/>
  <c r="AJ9" i="7"/>
  <c r="AI11" i="7"/>
  <c r="AJ11" i="7"/>
  <c r="AK11" i="7"/>
  <c r="AL11" i="7"/>
  <c r="AO11" i="7"/>
  <c r="AP11" i="7"/>
  <c r="AJ12" i="7"/>
  <c r="AL13" i="7"/>
  <c r="AO13" i="7"/>
  <c r="AI16" i="7"/>
  <c r="AJ16" i="7"/>
  <c r="AO16" i="7"/>
  <c r="AP16" i="7"/>
  <c r="AR16" i="7"/>
  <c r="AG17" i="7"/>
  <c r="AE17" i="7"/>
  <c r="X21" i="9" s="1"/>
  <c r="AD17" i="7"/>
  <c r="AP17" i="7" s="1"/>
  <c r="AC17" i="7"/>
  <c r="AK17" i="7" s="1"/>
  <c r="AG16" i="7"/>
  <c r="AE16" i="7"/>
  <c r="X20" i="9" s="1"/>
  <c r="AD16" i="7"/>
  <c r="W20" i="9" s="1"/>
  <c r="AC16" i="7"/>
  <c r="AG15" i="7"/>
  <c r="AE15" i="7"/>
  <c r="X19" i="9" s="1"/>
  <c r="AD15" i="7"/>
  <c r="W19" i="9" s="1"/>
  <c r="AC15" i="7"/>
  <c r="V19" i="9" s="1"/>
  <c r="AG14" i="7"/>
  <c r="AE14" i="7"/>
  <c r="AD14" i="7"/>
  <c r="AC14" i="7"/>
  <c r="AG13" i="7"/>
  <c r="AE13" i="7"/>
  <c r="AD13" i="7"/>
  <c r="AC13" i="7"/>
  <c r="AG12" i="7"/>
  <c r="AE12" i="7"/>
  <c r="AD12" i="7"/>
  <c r="W12" i="9" s="1"/>
  <c r="AC12" i="7"/>
  <c r="V12" i="9" s="1"/>
  <c r="AG11" i="7"/>
  <c r="AE11" i="7"/>
  <c r="X11" i="9" s="1"/>
  <c r="AD11" i="7"/>
  <c r="W11" i="9" s="1"/>
  <c r="AC11" i="7"/>
  <c r="AG10" i="7"/>
  <c r="AR10" i="7" s="1"/>
  <c r="AE10" i="7"/>
  <c r="X10" i="9" s="1"/>
  <c r="AD10" i="7"/>
  <c r="AP10" i="7" s="1"/>
  <c r="AC10" i="7"/>
  <c r="AG9" i="7"/>
  <c r="AE9" i="7"/>
  <c r="AD9" i="7"/>
  <c r="AC9" i="7"/>
  <c r="AG8" i="7"/>
  <c r="AE8" i="7"/>
  <c r="AD8" i="7"/>
  <c r="AC8" i="7"/>
  <c r="AG7" i="7"/>
  <c r="AE7" i="7"/>
  <c r="AD7" i="7"/>
  <c r="AC7" i="7"/>
  <c r="AG6" i="7"/>
  <c r="Y6" i="9" s="1"/>
  <c r="AE6" i="7"/>
  <c r="X6" i="9" s="1"/>
  <c r="AD6" i="7"/>
  <c r="W6" i="9" s="1"/>
  <c r="AC6" i="7"/>
  <c r="V6" i="9" s="1"/>
  <c r="AG5" i="7"/>
  <c r="AE5" i="7"/>
  <c r="X5" i="9" s="1"/>
  <c r="AD5" i="7"/>
  <c r="AC5" i="7"/>
  <c r="AG4" i="7"/>
  <c r="AE4" i="7"/>
  <c r="X4" i="9" s="1"/>
  <c r="AD4" i="7"/>
  <c r="W4" i="9" s="1"/>
  <c r="AC4" i="7"/>
  <c r="AG3" i="7"/>
  <c r="Y3" i="9" s="1"/>
  <c r="AE3" i="7"/>
  <c r="AD3" i="7"/>
  <c r="W3" i="9" s="1"/>
  <c r="AC3" i="7"/>
  <c r="AP3" i="7"/>
  <c r="S6" i="7"/>
  <c r="X7" i="7"/>
  <c r="Y7" i="7"/>
  <c r="Z7" i="7"/>
  <c r="R8" i="7"/>
  <c r="S8" i="7"/>
  <c r="T8" i="7"/>
  <c r="U8" i="7"/>
  <c r="X9" i="7"/>
  <c r="R12" i="7"/>
  <c r="V12" i="7"/>
  <c r="X12" i="7"/>
  <c r="Y12" i="7"/>
  <c r="Z12" i="7"/>
  <c r="X13" i="7"/>
  <c r="U14" i="7"/>
  <c r="Y14" i="7"/>
  <c r="Z14" i="7"/>
  <c r="AA14" i="7"/>
  <c r="R15" i="7"/>
  <c r="AA15" i="7"/>
  <c r="U16" i="7"/>
  <c r="AA13" i="7"/>
  <c r="AA11" i="7"/>
  <c r="AA10" i="7"/>
  <c r="AA9" i="7"/>
  <c r="AA7" i="7"/>
  <c r="AA5" i="7"/>
  <c r="AA16" i="7"/>
  <c r="P18" i="9"/>
  <c r="U12" i="7"/>
  <c r="P10" i="9"/>
  <c r="X5" i="7"/>
  <c r="P3" i="9"/>
  <c r="X17" i="7"/>
  <c r="X16" i="7"/>
  <c r="R14" i="7"/>
  <c r="R13" i="7"/>
  <c r="Y17" i="7"/>
  <c r="S16" i="7"/>
  <c r="S14" i="7"/>
  <c r="S13" i="7"/>
  <c r="S12" i="7"/>
  <c r="S10" i="7"/>
  <c r="S9" i="7"/>
  <c r="V8" i="7"/>
  <c r="T9" i="7"/>
  <c r="Z10" i="7"/>
  <c r="V11" i="7"/>
  <c r="T12" i="7"/>
  <c r="T13" i="7"/>
  <c r="T14" i="7"/>
  <c r="V15" i="7"/>
  <c r="T16" i="7"/>
  <c r="T17" i="7"/>
  <c r="F4" i="7"/>
  <c r="E4" i="9" s="1"/>
  <c r="G4" i="7"/>
  <c r="F4" i="9" s="1"/>
  <c r="F5" i="7"/>
  <c r="E5" i="9" s="1"/>
  <c r="G5" i="7"/>
  <c r="F5" i="9" s="1"/>
  <c r="F6" i="7"/>
  <c r="E6" i="9" s="1"/>
  <c r="G6" i="7"/>
  <c r="F6" i="9" s="1"/>
  <c r="F7" i="7"/>
  <c r="E7" i="9" s="1"/>
  <c r="G7" i="7"/>
  <c r="F7" i="9" s="1"/>
  <c r="G8" i="7"/>
  <c r="F8" i="9" s="1"/>
  <c r="F9" i="7"/>
  <c r="E9" i="9" s="1"/>
  <c r="G9" i="7"/>
  <c r="F9" i="9" s="1"/>
  <c r="F10" i="7"/>
  <c r="E10" i="9" s="1"/>
  <c r="G10" i="7"/>
  <c r="F10" i="9" s="1"/>
  <c r="F11" i="7"/>
  <c r="E11" i="9" s="1"/>
  <c r="G11" i="7"/>
  <c r="F11" i="9" s="1"/>
  <c r="F12" i="7"/>
  <c r="E12" i="9" s="1"/>
  <c r="G12" i="7"/>
  <c r="F12" i="9" s="1"/>
  <c r="F13" i="7"/>
  <c r="E17" i="9" s="1"/>
  <c r="G13" i="7"/>
  <c r="F17" i="9" s="1"/>
  <c r="F14" i="7"/>
  <c r="E18" i="9" s="1"/>
  <c r="G14" i="7"/>
  <c r="F18" i="9" s="1"/>
  <c r="F15" i="7"/>
  <c r="E19" i="9" s="1"/>
  <c r="G15" i="7"/>
  <c r="F19" i="9" s="1"/>
  <c r="F16" i="7"/>
  <c r="E20" i="9" s="1"/>
  <c r="G16" i="7"/>
  <c r="F20" i="9" s="1"/>
  <c r="F17" i="7"/>
  <c r="E21" i="9" s="1"/>
  <c r="G17" i="7"/>
  <c r="F21" i="9" s="1"/>
  <c r="F3" i="7"/>
  <c r="E3" i="9" s="1"/>
  <c r="G3" i="7"/>
  <c r="F3" i="9" s="1"/>
  <c r="G30" i="6"/>
  <c r="F30" i="6"/>
  <c r="G29" i="6"/>
  <c r="F29" i="6"/>
  <c r="G28" i="6"/>
  <c r="F28" i="6"/>
  <c r="H27" i="6"/>
  <c r="G27" i="6"/>
  <c r="F27" i="6"/>
  <c r="H26" i="6"/>
  <c r="H25" i="6"/>
  <c r="H21" i="6"/>
  <c r="H20" i="6"/>
  <c r="H18" i="6"/>
  <c r="H12" i="6"/>
  <c r="H6" i="6"/>
  <c r="AF41" i="5"/>
  <c r="AE41" i="5"/>
  <c r="AD41" i="5"/>
  <c r="AC41" i="5"/>
  <c r="AB41" i="5"/>
  <c r="AA41" i="5"/>
  <c r="Z41" i="5"/>
  <c r="Y41" i="5"/>
  <c r="X41" i="5"/>
  <c r="W41" i="5"/>
  <c r="V41" i="5"/>
  <c r="U41" i="5"/>
  <c r="AF40" i="5"/>
  <c r="AE40" i="5"/>
  <c r="AD40" i="5"/>
  <c r="AC40" i="5"/>
  <c r="AB40" i="5"/>
  <c r="AA40" i="5"/>
  <c r="Z40" i="5"/>
  <c r="Y40" i="5"/>
  <c r="X40" i="5"/>
  <c r="W40" i="5"/>
  <c r="V40" i="5"/>
  <c r="U40" i="5"/>
  <c r="AF39" i="5"/>
  <c r="AE39" i="5"/>
  <c r="AD39" i="5"/>
  <c r="AC39" i="5"/>
  <c r="AB39" i="5"/>
  <c r="AA39" i="5"/>
  <c r="Z39" i="5"/>
  <c r="Y39" i="5"/>
  <c r="X39" i="5"/>
  <c r="W39" i="5"/>
  <c r="V39" i="5"/>
  <c r="U39" i="5"/>
  <c r="E39" i="5"/>
  <c r="AF38" i="5"/>
  <c r="AE38" i="5"/>
  <c r="AD38" i="5"/>
  <c r="AC38" i="5"/>
  <c r="AB38" i="5"/>
  <c r="AA38" i="5"/>
  <c r="Z38" i="5"/>
  <c r="Y38" i="5"/>
  <c r="X38" i="5"/>
  <c r="W38" i="5"/>
  <c r="V38" i="5"/>
  <c r="U38" i="5"/>
  <c r="E38" i="5"/>
  <c r="AF37" i="5"/>
  <c r="AE37" i="5"/>
  <c r="AD37" i="5"/>
  <c r="AC37" i="5"/>
  <c r="AB37" i="5"/>
  <c r="AA37" i="5"/>
  <c r="Z37" i="5"/>
  <c r="Y37" i="5"/>
  <c r="X37" i="5"/>
  <c r="W37" i="5"/>
  <c r="V37" i="5"/>
  <c r="U37" i="5"/>
  <c r="E37" i="5"/>
  <c r="AF36" i="5"/>
  <c r="AE36" i="5"/>
  <c r="AD36" i="5"/>
  <c r="AC36" i="5"/>
  <c r="AB36" i="5"/>
  <c r="AA36" i="5"/>
  <c r="Z36" i="5"/>
  <c r="Y36" i="5"/>
  <c r="X36" i="5"/>
  <c r="W36" i="5"/>
  <c r="V36" i="5"/>
  <c r="U36" i="5"/>
  <c r="E36" i="5"/>
  <c r="AF35" i="5"/>
  <c r="AE35" i="5"/>
  <c r="AD35" i="5"/>
  <c r="AC35" i="5"/>
  <c r="AB35" i="5"/>
  <c r="AA35" i="5"/>
  <c r="Z35" i="5"/>
  <c r="Y35" i="5"/>
  <c r="X35" i="5"/>
  <c r="W35" i="5"/>
  <c r="V35" i="5"/>
  <c r="U35" i="5"/>
  <c r="E35" i="5"/>
  <c r="AF34" i="5"/>
  <c r="AE34" i="5"/>
  <c r="AD34" i="5"/>
  <c r="AC34" i="5"/>
  <c r="AB34" i="5"/>
  <c r="AA34" i="5"/>
  <c r="Z34" i="5"/>
  <c r="Y34" i="5"/>
  <c r="X34" i="5"/>
  <c r="W34" i="5"/>
  <c r="V34" i="5"/>
  <c r="U34" i="5"/>
  <c r="E34" i="5"/>
  <c r="AF33" i="5"/>
  <c r="AE33" i="5"/>
  <c r="AD33" i="5"/>
  <c r="AC33" i="5"/>
  <c r="P5" i="5" s="1"/>
  <c r="AB33" i="5"/>
  <c r="AA33" i="5"/>
  <c r="Z33" i="5"/>
  <c r="Y33" i="5"/>
  <c r="X33" i="5"/>
  <c r="W33" i="5"/>
  <c r="V33" i="5"/>
  <c r="U33" i="5"/>
  <c r="E33" i="5"/>
  <c r="AF32" i="5"/>
  <c r="AE32" i="5"/>
  <c r="AD32" i="5"/>
  <c r="AC32" i="5"/>
  <c r="AB32" i="5"/>
  <c r="AA32" i="5"/>
  <c r="Z32" i="5"/>
  <c r="Y32" i="5"/>
  <c r="X32" i="5"/>
  <c r="W32" i="5"/>
  <c r="V32" i="5"/>
  <c r="U32" i="5"/>
  <c r="E32" i="5"/>
  <c r="AF31" i="5"/>
  <c r="AE31" i="5"/>
  <c r="AD31" i="5"/>
  <c r="AC31" i="5"/>
  <c r="AB31" i="5"/>
  <c r="AA31" i="5"/>
  <c r="Z31" i="5"/>
  <c r="Y31" i="5"/>
  <c r="X31" i="5"/>
  <c r="W31" i="5"/>
  <c r="V31" i="5"/>
  <c r="U31" i="5"/>
  <c r="E31" i="5"/>
  <c r="AF30" i="5"/>
  <c r="AE30" i="5"/>
  <c r="AD30" i="5"/>
  <c r="AC30" i="5"/>
  <c r="AB30" i="5"/>
  <c r="AA30" i="5"/>
  <c r="Z30" i="5"/>
  <c r="M5" i="5" s="1"/>
  <c r="Y30" i="5"/>
  <c r="X30" i="5"/>
  <c r="W30" i="5"/>
  <c r="V30" i="5"/>
  <c r="U30" i="5"/>
  <c r="E30" i="5"/>
  <c r="AF29" i="5"/>
  <c r="AE29" i="5"/>
  <c r="AD29" i="5"/>
  <c r="AC29" i="5"/>
  <c r="AB29" i="5"/>
  <c r="AA29" i="5"/>
  <c r="Z29" i="5"/>
  <c r="Y29" i="5"/>
  <c r="X29" i="5"/>
  <c r="W29" i="5"/>
  <c r="V29" i="5"/>
  <c r="U29" i="5"/>
  <c r="E29" i="5"/>
  <c r="AF28" i="5"/>
  <c r="S5" i="5" s="1"/>
  <c r="AE28" i="5"/>
  <c r="AD28" i="5"/>
  <c r="AC28" i="5"/>
  <c r="AB28" i="5"/>
  <c r="AA28" i="5"/>
  <c r="Z28" i="5"/>
  <c r="Y28" i="5"/>
  <c r="X28" i="5"/>
  <c r="W28" i="5"/>
  <c r="V28" i="5"/>
  <c r="U28" i="5"/>
  <c r="E28" i="5"/>
  <c r="AF27" i="5"/>
  <c r="AE27" i="5"/>
  <c r="AD27" i="5"/>
  <c r="AC27" i="5"/>
  <c r="AB27" i="5"/>
  <c r="AA27" i="5"/>
  <c r="N5" i="5" s="1"/>
  <c r="Z27" i="5"/>
  <c r="Y27" i="5"/>
  <c r="X27" i="5"/>
  <c r="W27" i="5"/>
  <c r="V27" i="5"/>
  <c r="U27" i="5"/>
  <c r="E27" i="5"/>
  <c r="AF26" i="5"/>
  <c r="AE26" i="5"/>
  <c r="AD26" i="5"/>
  <c r="AC26" i="5"/>
  <c r="AB26" i="5"/>
  <c r="AA26" i="5"/>
  <c r="Z26" i="5"/>
  <c r="Y26" i="5"/>
  <c r="X26" i="5"/>
  <c r="W26" i="5"/>
  <c r="J5" i="5" s="1"/>
  <c r="V26" i="5"/>
  <c r="U26" i="5"/>
  <c r="E26" i="5"/>
  <c r="AF25" i="5"/>
  <c r="AE25" i="5"/>
  <c r="R5" i="5" s="1"/>
  <c r="AD25" i="5"/>
  <c r="AC25" i="5"/>
  <c r="AB25" i="5"/>
  <c r="AA25" i="5"/>
  <c r="Z25" i="5"/>
  <c r="Y25" i="5"/>
  <c r="X25" i="5"/>
  <c r="W25" i="5"/>
  <c r="V25" i="5"/>
  <c r="U25" i="5"/>
  <c r="E25" i="5"/>
  <c r="R23" i="5"/>
  <c r="S23" i="5" s="1"/>
  <c r="L23" i="5"/>
  <c r="M23" i="5" s="1"/>
  <c r="N23" i="5" s="1"/>
  <c r="O23" i="5" s="1"/>
  <c r="P23" i="5" s="1"/>
  <c r="Q23" i="5" s="1"/>
  <c r="J23" i="5"/>
  <c r="K23" i="5" s="1"/>
  <c r="I23" i="5"/>
  <c r="S21" i="5"/>
  <c r="R21" i="5"/>
  <c r="Q21" i="5"/>
  <c r="P21" i="5"/>
  <c r="O21" i="5"/>
  <c r="N21" i="5"/>
  <c r="M21" i="5"/>
  <c r="L21" i="5"/>
  <c r="K21" i="5"/>
  <c r="J21" i="5"/>
  <c r="I21" i="5"/>
  <c r="H21" i="5"/>
  <c r="S20" i="5"/>
  <c r="R20" i="5"/>
  <c r="Q20" i="5"/>
  <c r="P20" i="5"/>
  <c r="O20" i="5"/>
  <c r="N20" i="5"/>
  <c r="M20" i="5"/>
  <c r="L20" i="5"/>
  <c r="K20" i="5"/>
  <c r="J20" i="5"/>
  <c r="I20" i="5"/>
  <c r="H20" i="5"/>
  <c r="S19" i="5"/>
  <c r="R19" i="5"/>
  <c r="R15" i="5" s="1"/>
  <c r="Q19" i="5"/>
  <c r="P19" i="5"/>
  <c r="P15" i="5" s="1"/>
  <c r="O19" i="5"/>
  <c r="O15" i="5" s="1"/>
  <c r="N19" i="5"/>
  <c r="M19" i="5"/>
  <c r="L19" i="5"/>
  <c r="K19" i="5"/>
  <c r="J19" i="5"/>
  <c r="I19" i="5"/>
  <c r="H19" i="5"/>
  <c r="S17" i="5"/>
  <c r="S16" i="5" s="1"/>
  <c r="R17" i="5"/>
  <c r="R16" i="5" s="1"/>
  <c r="Q17" i="5"/>
  <c r="Q16" i="5" s="1"/>
  <c r="P17" i="5"/>
  <c r="O17" i="5"/>
  <c r="N17" i="5"/>
  <c r="P16" i="5"/>
  <c r="O16" i="5"/>
  <c r="N16" i="5"/>
  <c r="S15" i="5"/>
  <c r="Q15" i="5"/>
  <c r="N15" i="5"/>
  <c r="S14" i="5"/>
  <c r="I14" i="5"/>
  <c r="S13" i="5"/>
  <c r="R13" i="5"/>
  <c r="Q13" i="5"/>
  <c r="P13" i="5"/>
  <c r="O13" i="5"/>
  <c r="N13" i="5"/>
  <c r="M13" i="5"/>
  <c r="L13" i="5"/>
  <c r="K13" i="5"/>
  <c r="J13" i="5"/>
  <c r="I13" i="5"/>
  <c r="H13" i="5"/>
  <c r="S10" i="5"/>
  <c r="R10" i="5"/>
  <c r="Q10" i="5"/>
  <c r="P10" i="5"/>
  <c r="O10" i="5"/>
  <c r="N10" i="5"/>
  <c r="M10" i="5"/>
  <c r="L10" i="5"/>
  <c r="K10" i="5"/>
  <c r="J10" i="5"/>
  <c r="I10" i="5"/>
  <c r="H10" i="5"/>
  <c r="S9" i="5"/>
  <c r="R9" i="5"/>
  <c r="Q9" i="5"/>
  <c r="P9" i="5"/>
  <c r="O9" i="5"/>
  <c r="N9" i="5"/>
  <c r="M9" i="5"/>
  <c r="L9" i="5"/>
  <c r="K9" i="5"/>
  <c r="J9" i="5"/>
  <c r="I9" i="5"/>
  <c r="H9" i="5"/>
  <c r="I8" i="5"/>
  <c r="H8" i="5"/>
  <c r="S7" i="5"/>
  <c r="R7" i="5"/>
  <c r="Q7" i="5"/>
  <c r="P7" i="5"/>
  <c r="O7" i="5"/>
  <c r="N7" i="5"/>
  <c r="M7" i="5"/>
  <c r="Q8" i="5" s="1"/>
  <c r="L7" i="5"/>
  <c r="K7" i="5"/>
  <c r="J7" i="5"/>
  <c r="I7" i="5"/>
  <c r="H7" i="5"/>
  <c r="S6" i="5"/>
  <c r="R6" i="5"/>
  <c r="Q6" i="5"/>
  <c r="P6" i="5"/>
  <c r="O6" i="5"/>
  <c r="N6" i="5"/>
  <c r="M6" i="5"/>
  <c r="L6" i="5"/>
  <c r="K6" i="5"/>
  <c r="J6" i="5"/>
  <c r="I6" i="5"/>
  <c r="H6" i="5"/>
  <c r="Q5" i="5"/>
  <c r="S4" i="5"/>
  <c r="R4" i="5"/>
  <c r="Q4" i="5"/>
  <c r="P4" i="5"/>
  <c r="O4" i="5"/>
  <c r="N4" i="5"/>
  <c r="M4" i="5"/>
  <c r="L4" i="5"/>
  <c r="K4" i="5"/>
  <c r="J4" i="5"/>
  <c r="I4" i="5"/>
  <c r="H4" i="5"/>
  <c r="I3" i="5"/>
  <c r="H3" i="5"/>
  <c r="S2" i="5"/>
  <c r="R2" i="5"/>
  <c r="Q2" i="5"/>
  <c r="P2" i="5"/>
  <c r="O2" i="5"/>
  <c r="N2" i="5"/>
  <c r="M2" i="5"/>
  <c r="L2" i="5"/>
  <c r="K2" i="5"/>
  <c r="J2" i="5"/>
  <c r="I2" i="5"/>
  <c r="S3" i="5" s="1"/>
  <c r="H2" i="5"/>
  <c r="AF53" i="3"/>
  <c r="H30" i="6" s="1"/>
  <c r="AE53" i="3"/>
  <c r="AD53" i="3"/>
  <c r="AC53" i="3"/>
  <c r="AB53" i="3"/>
  <c r="AA53" i="3"/>
  <c r="Z53" i="3"/>
  <c r="Y53" i="3"/>
  <c r="X53" i="3"/>
  <c r="W53" i="3"/>
  <c r="V53" i="3"/>
  <c r="U53" i="3"/>
  <c r="E53" i="3"/>
  <c r="D53" i="3"/>
  <c r="AF52" i="3"/>
  <c r="H28" i="6" s="1"/>
  <c r="AE52" i="3"/>
  <c r="AD52" i="3"/>
  <c r="AC52" i="3"/>
  <c r="AB52" i="3"/>
  <c r="AA52" i="3"/>
  <c r="Z52" i="3"/>
  <c r="Y52" i="3"/>
  <c r="X52" i="3"/>
  <c r="W52" i="3"/>
  <c r="V52" i="3"/>
  <c r="U52" i="3"/>
  <c r="E52" i="3"/>
  <c r="D52" i="3"/>
  <c r="AF51" i="3"/>
  <c r="AE51" i="3"/>
  <c r="AD51" i="3"/>
  <c r="AC51" i="3"/>
  <c r="AB51" i="3"/>
  <c r="AA51" i="3"/>
  <c r="Z51" i="3"/>
  <c r="Y51" i="3"/>
  <c r="X51" i="3"/>
  <c r="W51" i="3"/>
  <c r="V51" i="3"/>
  <c r="U51" i="3"/>
  <c r="D51" i="3"/>
  <c r="O10" i="3" s="1"/>
  <c r="AF50" i="3"/>
  <c r="AE50" i="3"/>
  <c r="AD50" i="3"/>
  <c r="AC50" i="3"/>
  <c r="AB50" i="3"/>
  <c r="AA50" i="3"/>
  <c r="Z50" i="3"/>
  <c r="Y50" i="3"/>
  <c r="X50" i="3"/>
  <c r="W50" i="3"/>
  <c r="V50" i="3"/>
  <c r="U50" i="3"/>
  <c r="D50" i="3"/>
  <c r="AF49" i="3"/>
  <c r="AE49" i="3"/>
  <c r="AD49" i="3"/>
  <c r="AC49" i="3"/>
  <c r="AB49" i="3"/>
  <c r="AA49" i="3"/>
  <c r="Z49" i="3"/>
  <c r="Y49" i="3"/>
  <c r="X49" i="3"/>
  <c r="W49" i="3"/>
  <c r="V49" i="3"/>
  <c r="U49" i="3"/>
  <c r="D49" i="3"/>
  <c r="E49" i="3" s="1"/>
  <c r="AF48" i="3"/>
  <c r="H29" i="6" s="1"/>
  <c r="AE48" i="3"/>
  <c r="AD48" i="3"/>
  <c r="AC48" i="3"/>
  <c r="AB48" i="3"/>
  <c r="AA48" i="3"/>
  <c r="Z48" i="3"/>
  <c r="Y48" i="3"/>
  <c r="X48" i="3"/>
  <c r="W48" i="3"/>
  <c r="V48" i="3"/>
  <c r="U48" i="3"/>
  <c r="D48" i="3"/>
  <c r="AF47" i="3"/>
  <c r="H24" i="6" s="1"/>
  <c r="AE47" i="3"/>
  <c r="AD47" i="3"/>
  <c r="AC47" i="3"/>
  <c r="AB47" i="3"/>
  <c r="AA47" i="3"/>
  <c r="Z47" i="3"/>
  <c r="Y47" i="3"/>
  <c r="X47" i="3"/>
  <c r="W47" i="3"/>
  <c r="V47" i="3"/>
  <c r="U47" i="3"/>
  <c r="E47" i="3"/>
  <c r="D47" i="3"/>
  <c r="AF46" i="3"/>
  <c r="H23" i="6" s="1"/>
  <c r="AE46" i="3"/>
  <c r="AD46" i="3"/>
  <c r="AC46" i="3"/>
  <c r="AB46" i="3"/>
  <c r="AA46" i="3"/>
  <c r="Z46" i="3"/>
  <c r="Y46" i="3"/>
  <c r="X46" i="3"/>
  <c r="W46" i="3"/>
  <c r="V46" i="3"/>
  <c r="U46" i="3"/>
  <c r="E46" i="3"/>
  <c r="D46" i="3"/>
  <c r="AF45" i="3"/>
  <c r="H22" i="6" s="1"/>
  <c r="AE45" i="3"/>
  <c r="AD45" i="3"/>
  <c r="AC45" i="3"/>
  <c r="AB45" i="3"/>
  <c r="O16" i="3" s="1"/>
  <c r="AA45" i="3"/>
  <c r="Z45" i="3"/>
  <c r="Y45" i="3"/>
  <c r="X45" i="3"/>
  <c r="W45" i="3"/>
  <c r="V45" i="3"/>
  <c r="U45" i="3"/>
  <c r="E45" i="3"/>
  <c r="D45" i="3"/>
  <c r="AF44" i="3"/>
  <c r="AE44" i="3"/>
  <c r="AD44" i="3"/>
  <c r="AC44" i="3"/>
  <c r="AB44" i="3"/>
  <c r="AA44" i="3"/>
  <c r="Z44" i="3"/>
  <c r="Y44" i="3"/>
  <c r="X44" i="3"/>
  <c r="W44" i="3"/>
  <c r="V44" i="3"/>
  <c r="U44" i="3"/>
  <c r="E44" i="3"/>
  <c r="D44" i="3"/>
  <c r="AF43" i="3"/>
  <c r="AE43" i="3"/>
  <c r="AD43" i="3"/>
  <c r="AC43" i="3"/>
  <c r="AB43" i="3"/>
  <c r="AA43" i="3"/>
  <c r="Z43" i="3"/>
  <c r="Y43" i="3"/>
  <c r="X43" i="3"/>
  <c r="W43" i="3"/>
  <c r="V43" i="3"/>
  <c r="U43" i="3"/>
  <c r="E43" i="3"/>
  <c r="D43" i="3"/>
  <c r="AF42" i="3"/>
  <c r="H19" i="6" s="1"/>
  <c r="AE42" i="3"/>
  <c r="AD42" i="3"/>
  <c r="AC42" i="3"/>
  <c r="AB42" i="3"/>
  <c r="AA42" i="3"/>
  <c r="Z42" i="3"/>
  <c r="Y42" i="3"/>
  <c r="X42" i="3"/>
  <c r="W42" i="3"/>
  <c r="V42" i="3"/>
  <c r="U42" i="3"/>
  <c r="E42" i="3"/>
  <c r="D42" i="3"/>
  <c r="AF41" i="3"/>
  <c r="AE41" i="3"/>
  <c r="AD41" i="3"/>
  <c r="AC41" i="3"/>
  <c r="AB41" i="3"/>
  <c r="AA41" i="3"/>
  <c r="Z41" i="3"/>
  <c r="Y41" i="3"/>
  <c r="X41" i="3"/>
  <c r="W41" i="3"/>
  <c r="V41" i="3"/>
  <c r="U41" i="3"/>
  <c r="D41" i="3"/>
  <c r="E41" i="3" s="1"/>
  <c r="AF40" i="3"/>
  <c r="H17" i="6" s="1"/>
  <c r="AE40" i="3"/>
  <c r="AD40" i="3"/>
  <c r="AC40" i="3"/>
  <c r="AB40" i="3"/>
  <c r="AA40" i="3"/>
  <c r="Z40" i="3"/>
  <c r="Y40" i="3"/>
  <c r="X40" i="3"/>
  <c r="W40" i="3"/>
  <c r="V40" i="3"/>
  <c r="U40" i="3"/>
  <c r="D40" i="3"/>
  <c r="E40" i="3" s="1"/>
  <c r="AF39" i="3"/>
  <c r="H16" i="6" s="1"/>
  <c r="AE39" i="3"/>
  <c r="AD39" i="3"/>
  <c r="AC39" i="3"/>
  <c r="AB39" i="3"/>
  <c r="AA39" i="3"/>
  <c r="Z39" i="3"/>
  <c r="Y39" i="3"/>
  <c r="X39" i="3"/>
  <c r="W39" i="3"/>
  <c r="V39" i="3"/>
  <c r="U39" i="3"/>
  <c r="D39" i="3"/>
  <c r="E39" i="3" s="1"/>
  <c r="AF38" i="3"/>
  <c r="H15" i="6" s="1"/>
  <c r="AE38" i="3"/>
  <c r="AD38" i="3"/>
  <c r="AC38" i="3"/>
  <c r="AB38" i="3"/>
  <c r="AA38" i="3"/>
  <c r="Z38" i="3"/>
  <c r="Y38" i="3"/>
  <c r="X38" i="3"/>
  <c r="W38" i="3"/>
  <c r="V38" i="3"/>
  <c r="U38" i="3"/>
  <c r="D38" i="3"/>
  <c r="E38" i="3" s="1"/>
  <c r="AF37" i="3"/>
  <c r="H14" i="6" s="1"/>
  <c r="AE37" i="3"/>
  <c r="AD37" i="3"/>
  <c r="AC37" i="3"/>
  <c r="AB37" i="3"/>
  <c r="AA37" i="3"/>
  <c r="Z37" i="3"/>
  <c r="Y37" i="3"/>
  <c r="X37" i="3"/>
  <c r="W37" i="3"/>
  <c r="V37" i="3"/>
  <c r="U37" i="3"/>
  <c r="D37" i="3"/>
  <c r="E37" i="3" s="1"/>
  <c r="AF36" i="3"/>
  <c r="AE36" i="3"/>
  <c r="AD36" i="3"/>
  <c r="AC36" i="3"/>
  <c r="AB36" i="3"/>
  <c r="AA36" i="3"/>
  <c r="Z36" i="3"/>
  <c r="Y36" i="3"/>
  <c r="X36" i="3"/>
  <c r="W36" i="3"/>
  <c r="V36" i="3"/>
  <c r="U36" i="3"/>
  <c r="E36" i="3"/>
  <c r="D36" i="3"/>
  <c r="AF35" i="3"/>
  <c r="AE35" i="3"/>
  <c r="AD35" i="3"/>
  <c r="AC35" i="3"/>
  <c r="AB35" i="3"/>
  <c r="AA35" i="3"/>
  <c r="Z35" i="3"/>
  <c r="Y35" i="3"/>
  <c r="X35" i="3"/>
  <c r="W35" i="3"/>
  <c r="J5" i="3" s="1"/>
  <c r="V35" i="3"/>
  <c r="U35" i="3"/>
  <c r="D35" i="3"/>
  <c r="E35" i="3" s="1"/>
  <c r="AF34" i="3"/>
  <c r="H11" i="6" s="1"/>
  <c r="AE34" i="3"/>
  <c r="AD34" i="3"/>
  <c r="AC34" i="3"/>
  <c r="AB34" i="3"/>
  <c r="AA34" i="3"/>
  <c r="Z34" i="3"/>
  <c r="Y34" i="3"/>
  <c r="X34" i="3"/>
  <c r="W34" i="3"/>
  <c r="V34" i="3"/>
  <c r="U34" i="3"/>
  <c r="D34" i="3"/>
  <c r="E34" i="3" s="1"/>
  <c r="AF33" i="3"/>
  <c r="H10" i="6" s="1"/>
  <c r="AE33" i="3"/>
  <c r="AD33" i="3"/>
  <c r="AC33" i="3"/>
  <c r="AB33" i="3"/>
  <c r="AA33" i="3"/>
  <c r="Z33" i="3"/>
  <c r="Y33" i="3"/>
  <c r="X33" i="3"/>
  <c r="W33" i="3"/>
  <c r="V33" i="3"/>
  <c r="U33" i="3"/>
  <c r="E33" i="3"/>
  <c r="D33" i="3"/>
  <c r="AF32" i="3"/>
  <c r="H9" i="6" s="1"/>
  <c r="AE32" i="3"/>
  <c r="AD32" i="3"/>
  <c r="AC32" i="3"/>
  <c r="AB32" i="3"/>
  <c r="AA32" i="3"/>
  <c r="Z32" i="3"/>
  <c r="Y32" i="3"/>
  <c r="L16" i="3" s="1"/>
  <c r="X32" i="3"/>
  <c r="W32" i="3"/>
  <c r="V32" i="3"/>
  <c r="U32" i="3"/>
  <c r="E32" i="3"/>
  <c r="D32" i="3"/>
  <c r="AF31" i="3"/>
  <c r="H8" i="6" s="1"/>
  <c r="AE31" i="3"/>
  <c r="AD31" i="3"/>
  <c r="AC31" i="3"/>
  <c r="AB31" i="3"/>
  <c r="AA31" i="3"/>
  <c r="Z31" i="3"/>
  <c r="Y31" i="3"/>
  <c r="X31" i="3"/>
  <c r="W31" i="3"/>
  <c r="V31" i="3"/>
  <c r="U31" i="3"/>
  <c r="D31" i="3"/>
  <c r="E31" i="3" s="1"/>
  <c r="AF30" i="3"/>
  <c r="H7" i="6" s="1"/>
  <c r="AE30" i="3"/>
  <c r="AD30" i="3"/>
  <c r="AC30" i="3"/>
  <c r="AB30" i="3"/>
  <c r="AA30" i="3"/>
  <c r="Z30" i="3"/>
  <c r="Y30" i="3"/>
  <c r="X30" i="3"/>
  <c r="W30" i="3"/>
  <c r="V30" i="3"/>
  <c r="U30" i="3"/>
  <c r="E30" i="3"/>
  <c r="D30" i="3"/>
  <c r="AF29" i="3"/>
  <c r="AE29" i="3"/>
  <c r="AD29" i="3"/>
  <c r="AC29" i="3"/>
  <c r="AB29" i="3"/>
  <c r="AA29" i="3"/>
  <c r="Z29" i="3"/>
  <c r="Y29" i="3"/>
  <c r="X29" i="3"/>
  <c r="W29" i="3"/>
  <c r="V29" i="3"/>
  <c r="U29" i="3"/>
  <c r="D29" i="3"/>
  <c r="E29" i="3" s="1"/>
  <c r="AF28" i="3"/>
  <c r="H5" i="6" s="1"/>
  <c r="AE28" i="3"/>
  <c r="AD28" i="3"/>
  <c r="AC28" i="3"/>
  <c r="AB28" i="3"/>
  <c r="AA28" i="3"/>
  <c r="Z28" i="3"/>
  <c r="Y28" i="3"/>
  <c r="X28" i="3"/>
  <c r="W28" i="3"/>
  <c r="V28" i="3"/>
  <c r="U28" i="3"/>
  <c r="E28" i="3"/>
  <c r="D28" i="3"/>
  <c r="AF27" i="3"/>
  <c r="H4" i="6" s="1"/>
  <c r="AE27" i="3"/>
  <c r="AD27" i="3"/>
  <c r="AC27" i="3"/>
  <c r="AB27" i="3"/>
  <c r="AA27" i="3"/>
  <c r="N16" i="3" s="1"/>
  <c r="Z27" i="3"/>
  <c r="Y27" i="3"/>
  <c r="X27" i="3"/>
  <c r="W27" i="3"/>
  <c r="V27" i="3"/>
  <c r="U27" i="3"/>
  <c r="D27" i="3"/>
  <c r="E27" i="3" s="1"/>
  <c r="AF26" i="3"/>
  <c r="H3" i="6" s="1"/>
  <c r="AE26" i="3"/>
  <c r="AD26" i="3"/>
  <c r="AC26" i="3"/>
  <c r="AB26" i="3"/>
  <c r="AA26" i="3"/>
  <c r="Z26" i="3"/>
  <c r="Y26" i="3"/>
  <c r="X26" i="3"/>
  <c r="W26" i="3"/>
  <c r="V26" i="3"/>
  <c r="U26" i="3"/>
  <c r="E26" i="3"/>
  <c r="D26" i="3"/>
  <c r="AF25" i="3"/>
  <c r="H2" i="6" s="1"/>
  <c r="AE25" i="3"/>
  <c r="AD25" i="3"/>
  <c r="AC25" i="3"/>
  <c r="AB25" i="3"/>
  <c r="AA25" i="3"/>
  <c r="Z25" i="3"/>
  <c r="Y25" i="3"/>
  <c r="X25" i="3"/>
  <c r="W25" i="3"/>
  <c r="V25" i="3"/>
  <c r="U25" i="3"/>
  <c r="E25" i="3"/>
  <c r="D25" i="3"/>
  <c r="K23" i="3"/>
  <c r="L23" i="3" s="1"/>
  <c r="M23" i="3" s="1"/>
  <c r="N23" i="3" s="1"/>
  <c r="O23" i="3" s="1"/>
  <c r="P23" i="3" s="1"/>
  <c r="Q23" i="3" s="1"/>
  <c r="R23" i="3" s="1"/>
  <c r="S23" i="3" s="1"/>
  <c r="J23" i="3"/>
  <c r="I23" i="3"/>
  <c r="L21" i="3"/>
  <c r="H21" i="3"/>
  <c r="S20" i="3"/>
  <c r="R20" i="3"/>
  <c r="Q20" i="3"/>
  <c r="P20" i="3"/>
  <c r="M20" i="3"/>
  <c r="L20" i="3"/>
  <c r="K20" i="3"/>
  <c r="I20" i="3"/>
  <c r="H20" i="3"/>
  <c r="I19" i="3"/>
  <c r="S18" i="3"/>
  <c r="R18" i="3"/>
  <c r="Q18" i="3"/>
  <c r="P18" i="3"/>
  <c r="M18" i="3"/>
  <c r="L18" i="3"/>
  <c r="K18" i="3"/>
  <c r="I18" i="3"/>
  <c r="H18" i="3"/>
  <c r="S15" i="3"/>
  <c r="M15" i="3"/>
  <c r="L15" i="3"/>
  <c r="K15" i="3"/>
  <c r="J15" i="3"/>
  <c r="H15" i="3"/>
  <c r="R10" i="3"/>
  <c r="J10" i="3"/>
  <c r="I10" i="3"/>
  <c r="H10" i="3"/>
  <c r="S9" i="3"/>
  <c r="R9" i="3"/>
  <c r="Q9" i="3"/>
  <c r="P9" i="3"/>
  <c r="M9" i="3"/>
  <c r="L9" i="3"/>
  <c r="K9" i="3"/>
  <c r="H9" i="3"/>
  <c r="I8" i="3"/>
  <c r="H8" i="3"/>
  <c r="S7" i="3"/>
  <c r="R7" i="3"/>
  <c r="Q7" i="3"/>
  <c r="P7" i="3"/>
  <c r="M7" i="3"/>
  <c r="L7" i="3"/>
  <c r="K7" i="3"/>
  <c r="J7" i="3"/>
  <c r="L8" i="3" s="1"/>
  <c r="I7" i="3"/>
  <c r="H7" i="3"/>
  <c r="K6" i="3"/>
  <c r="I6" i="3"/>
  <c r="M5" i="3"/>
  <c r="I5" i="3"/>
  <c r="H5" i="3"/>
  <c r="S4" i="3"/>
  <c r="R4" i="3"/>
  <c r="M4" i="3"/>
  <c r="L4" i="3"/>
  <c r="J2" i="3"/>
  <c r="I2" i="3"/>
  <c r="V49" i="2"/>
  <c r="U49" i="2"/>
  <c r="M49" i="2"/>
  <c r="M49" i="2" a="1"/>
  <c r="J49" i="2" a="1"/>
  <c r="J49" i="2" s="1"/>
  <c r="W49" i="2" s="1"/>
  <c r="I49" i="2" a="1"/>
  <c r="I49" i="2" s="1"/>
  <c r="H49" i="2"/>
  <c r="H49" i="2" a="1"/>
  <c r="D49" i="2"/>
  <c r="E49" i="2" s="1"/>
  <c r="Y48" i="2"/>
  <c r="X48" i="2"/>
  <c r="V48" i="2"/>
  <c r="N48" i="2" a="1"/>
  <c r="N48" i="2" s="1"/>
  <c r="L48" i="2" a="1"/>
  <c r="L48" i="2" s="1"/>
  <c r="K48" i="2"/>
  <c r="K48" i="2" a="1"/>
  <c r="J48" i="2"/>
  <c r="J48" i="2" a="1"/>
  <c r="I48" i="2" a="1"/>
  <c r="I48" i="2" s="1"/>
  <c r="H48" i="2"/>
  <c r="W48" i="2" s="1"/>
  <c r="H48" i="2" a="1"/>
  <c r="E48" i="2"/>
  <c r="D48" i="2"/>
  <c r="K47" i="2"/>
  <c r="K47" i="2" a="1"/>
  <c r="J47" i="2" a="1"/>
  <c r="J47" i="2" s="1"/>
  <c r="I47" i="2" a="1"/>
  <c r="I47" i="2" s="1"/>
  <c r="H47" i="2"/>
  <c r="H47" i="2" a="1"/>
  <c r="E47" i="2"/>
  <c r="D47" i="2"/>
  <c r="L46" i="2" a="1"/>
  <c r="L46" i="2" s="1"/>
  <c r="K46" i="2"/>
  <c r="K46" i="2" a="1"/>
  <c r="J46" i="2" a="1"/>
  <c r="J46" i="2" s="1"/>
  <c r="I46" i="2"/>
  <c r="H46" i="2" a="1"/>
  <c r="H46" i="2" s="1"/>
  <c r="E46" i="2"/>
  <c r="D46" i="2"/>
  <c r="M45" i="2" a="1"/>
  <c r="M45" i="2" s="1"/>
  <c r="K45" i="2" a="1"/>
  <c r="K45" i="2" s="1"/>
  <c r="J45" i="2" a="1"/>
  <c r="J45" i="2" s="1"/>
  <c r="I45" i="2"/>
  <c r="I45" i="2" a="1"/>
  <c r="H45" i="2" a="1"/>
  <c r="H45" i="2" s="1"/>
  <c r="D45" i="2"/>
  <c r="E45" i="2" s="1"/>
  <c r="N44" i="2" a="1"/>
  <c r="N44" i="2" s="1"/>
  <c r="L44" i="2"/>
  <c r="L44" i="2" a="1"/>
  <c r="K44" i="2"/>
  <c r="I44" i="2" a="1"/>
  <c r="I44" i="2" s="1"/>
  <c r="H44" i="2" a="1"/>
  <c r="H44" i="2" s="1"/>
  <c r="E44" i="2"/>
  <c r="D44" i="2"/>
  <c r="X43" i="2"/>
  <c r="V43" i="2"/>
  <c r="L43" i="2" a="1"/>
  <c r="L43" i="2" s="1"/>
  <c r="K43" i="2"/>
  <c r="K43" i="2" a="1"/>
  <c r="J43" i="2" a="1"/>
  <c r="J43" i="2" s="1"/>
  <c r="I43" i="2" a="1"/>
  <c r="I43" i="2" s="1"/>
  <c r="H43" i="2"/>
  <c r="H43" i="2" a="1"/>
  <c r="D43" i="2"/>
  <c r="E43" i="2" s="1"/>
  <c r="N42" i="2" a="1"/>
  <c r="N42" i="2" s="1"/>
  <c r="M42" i="2" a="1"/>
  <c r="M42" i="2" s="1"/>
  <c r="L42" i="2"/>
  <c r="L42" i="2" a="1"/>
  <c r="K42" i="2" a="1"/>
  <c r="K42" i="2" s="1"/>
  <c r="J42" i="2" a="1"/>
  <c r="J42" i="2" s="1"/>
  <c r="I42" i="2"/>
  <c r="I42" i="2" a="1"/>
  <c r="H42" i="2" a="1"/>
  <c r="H42" i="2" s="1"/>
  <c r="E42" i="2"/>
  <c r="D42" i="2"/>
  <c r="U41" i="2"/>
  <c r="M41" i="2" a="1"/>
  <c r="M41" i="2" s="1"/>
  <c r="L41" i="2"/>
  <c r="L41" i="2" a="1"/>
  <c r="K41" i="2" a="1"/>
  <c r="K41" i="2" s="1"/>
  <c r="J41" i="2" a="1"/>
  <c r="J41" i="2" s="1"/>
  <c r="I41" i="2"/>
  <c r="I41" i="2" a="1"/>
  <c r="H41" i="2"/>
  <c r="H41" i="2" a="1"/>
  <c r="D41" i="2"/>
  <c r="E41" i="2" s="1"/>
  <c r="N40" i="2" a="1"/>
  <c r="N40" i="2" s="1"/>
  <c r="K40" i="2" a="1"/>
  <c r="K40" i="2" s="1"/>
  <c r="J40" i="2"/>
  <c r="J40" i="2" a="1"/>
  <c r="I40" i="2"/>
  <c r="I40" i="2" a="1"/>
  <c r="H40" i="2" a="1"/>
  <c r="H40" i="2" s="1"/>
  <c r="V40" i="2" s="1"/>
  <c r="E40" i="2"/>
  <c r="D40" i="2"/>
  <c r="O39" i="2" a="1"/>
  <c r="O39" i="2" s="1"/>
  <c r="N39" i="2" a="1"/>
  <c r="N39" i="2" s="1"/>
  <c r="L39" i="2"/>
  <c r="L39" i="2" a="1"/>
  <c r="K39" i="2" a="1"/>
  <c r="K39" i="2" s="1"/>
  <c r="I39" i="2" a="1"/>
  <c r="I39" i="2" s="1"/>
  <c r="H39" i="2" a="1"/>
  <c r="H39" i="2" s="1"/>
  <c r="E39" i="2"/>
  <c r="D39" i="2"/>
  <c r="U38" i="2"/>
  <c r="N38" i="2" a="1"/>
  <c r="N38" i="2" s="1"/>
  <c r="M38" i="2"/>
  <c r="M38" i="2" a="1"/>
  <c r="L38" i="2"/>
  <c r="L38" i="2" a="1"/>
  <c r="K38" i="2"/>
  <c r="K38" i="2" a="1"/>
  <c r="J38" i="2" a="1"/>
  <c r="J38" i="2" s="1"/>
  <c r="I38" i="2" a="1"/>
  <c r="I38" i="2" s="1"/>
  <c r="H38" i="2"/>
  <c r="H38" i="2" a="1"/>
  <c r="D38" i="2"/>
  <c r="E38" i="2" s="1"/>
  <c r="M37" i="2" a="1"/>
  <c r="M37" i="2" s="1"/>
  <c r="L37" i="2"/>
  <c r="L37" i="2" a="1"/>
  <c r="K37" i="2" a="1"/>
  <c r="K37" i="2" s="1"/>
  <c r="J37" i="2" a="1"/>
  <c r="J37" i="2" s="1"/>
  <c r="I37" i="2" a="1"/>
  <c r="I37" i="2" s="1"/>
  <c r="H37" i="2" a="1"/>
  <c r="H37" i="2" s="1"/>
  <c r="E37" i="2"/>
  <c r="D37" i="2"/>
  <c r="M36" i="2" a="1"/>
  <c r="M36" i="2" s="1"/>
  <c r="K36" i="2" a="1"/>
  <c r="K36" i="2" s="1"/>
  <c r="J36" i="2"/>
  <c r="J36" i="2" a="1"/>
  <c r="I36" i="2"/>
  <c r="I36" i="2" a="1"/>
  <c r="H36" i="2" a="1"/>
  <c r="H36" i="2" s="1"/>
  <c r="E36" i="2"/>
  <c r="D36" i="2"/>
  <c r="U35" i="2"/>
  <c r="K35" i="2" a="1"/>
  <c r="K35" i="2" s="1"/>
  <c r="J35" i="2" a="1"/>
  <c r="J35" i="2" s="1"/>
  <c r="I35" i="2" a="1"/>
  <c r="I35" i="2" s="1"/>
  <c r="H35" i="2" a="1"/>
  <c r="H35" i="2" s="1"/>
  <c r="E35" i="2"/>
  <c r="D35" i="2"/>
  <c r="U34" i="2"/>
  <c r="M34" i="2" a="1"/>
  <c r="M34" i="2" s="1"/>
  <c r="L34" i="2"/>
  <c r="L34" i="2" a="1"/>
  <c r="J34" i="2" a="1"/>
  <c r="J34" i="2" s="1"/>
  <c r="I34" i="2"/>
  <c r="I34" i="2" a="1"/>
  <c r="H34" i="2"/>
  <c r="H34" i="2" a="1"/>
  <c r="D34" i="2"/>
  <c r="E34" i="2" s="1"/>
  <c r="N33" i="2"/>
  <c r="N33" i="2" a="1"/>
  <c r="M33" i="2"/>
  <c r="M33" i="2" a="1"/>
  <c r="L33" i="2"/>
  <c r="L33" i="2" a="1"/>
  <c r="K33" i="2"/>
  <c r="K33" i="2" a="1"/>
  <c r="I33" i="2" a="1"/>
  <c r="I33" i="2" s="1"/>
  <c r="H33" i="2" a="1"/>
  <c r="H33" i="2" s="1"/>
  <c r="E33" i="2"/>
  <c r="D33" i="2"/>
  <c r="O6" i="2" s="1"/>
  <c r="U32" i="2"/>
  <c r="M32" i="2" a="1"/>
  <c r="M32" i="2" s="1"/>
  <c r="L32" i="2"/>
  <c r="L32" i="2" a="1"/>
  <c r="K32" i="2" a="1"/>
  <c r="K32" i="2" s="1"/>
  <c r="J32" i="2" a="1"/>
  <c r="J32" i="2" s="1"/>
  <c r="H32" i="2" a="1"/>
  <c r="H32" i="2" s="1"/>
  <c r="E32" i="2"/>
  <c r="D32" i="2"/>
  <c r="U31" i="2"/>
  <c r="M31" i="2"/>
  <c r="M31" i="2" a="1"/>
  <c r="K31" i="2" a="1"/>
  <c r="K31" i="2" s="1"/>
  <c r="J31" i="2"/>
  <c r="J31" i="2" a="1"/>
  <c r="I31" i="2" a="1"/>
  <c r="I31" i="2" s="1"/>
  <c r="H31" i="2"/>
  <c r="H31" i="2" a="1"/>
  <c r="D31" i="2"/>
  <c r="E31" i="2" s="1"/>
  <c r="N30" i="2" a="1"/>
  <c r="N30" i="2" s="1"/>
  <c r="L30" i="2" a="1"/>
  <c r="L30" i="2" s="1"/>
  <c r="K30" i="2" a="1"/>
  <c r="K30" i="2" s="1"/>
  <c r="J30" i="2" a="1"/>
  <c r="J30" i="2" s="1"/>
  <c r="I30" i="2"/>
  <c r="I30" i="2" a="1"/>
  <c r="H30" i="2"/>
  <c r="H30" i="2" a="1"/>
  <c r="E30" i="2"/>
  <c r="D30" i="2"/>
  <c r="N29" i="2" a="1"/>
  <c r="N29" i="2" s="1"/>
  <c r="M29" i="2" a="1"/>
  <c r="M29" i="2" s="1"/>
  <c r="L29" i="2" a="1"/>
  <c r="L29" i="2" s="1"/>
  <c r="K29" i="2" a="1"/>
  <c r="K29" i="2" s="1"/>
  <c r="J29" i="2"/>
  <c r="J29" i="2" a="1"/>
  <c r="I29" i="2"/>
  <c r="I29" i="2" a="1"/>
  <c r="H29" i="2"/>
  <c r="H29" i="2" a="1"/>
  <c r="D29" i="2"/>
  <c r="E29" i="2" s="1"/>
  <c r="N28" i="2" a="1"/>
  <c r="N28" i="2" s="1"/>
  <c r="M28" i="2" a="1"/>
  <c r="M28" i="2" s="1"/>
  <c r="K28" i="2"/>
  <c r="K28" i="2" a="1"/>
  <c r="J28" i="2" a="1"/>
  <c r="J28" i="2" s="1"/>
  <c r="I28" i="2" a="1"/>
  <c r="I28" i="2" s="1"/>
  <c r="H28" i="2" a="1"/>
  <c r="H28" i="2" s="1"/>
  <c r="V28" i="2" s="1"/>
  <c r="D28" i="2"/>
  <c r="E28" i="2" s="1"/>
  <c r="M27" i="2" a="1"/>
  <c r="M27" i="2" s="1"/>
  <c r="L27" i="2" a="1"/>
  <c r="L27" i="2" s="1"/>
  <c r="K27" i="2" a="1"/>
  <c r="K27" i="2" s="1"/>
  <c r="X27" i="2" s="1"/>
  <c r="J27" i="2" a="1"/>
  <c r="J27" i="2" s="1"/>
  <c r="I27" i="2"/>
  <c r="I27" i="2" a="1"/>
  <c r="H27" i="2"/>
  <c r="H27" i="2" a="1"/>
  <c r="D27" i="2"/>
  <c r="E27" i="2" s="1"/>
  <c r="U26" i="2"/>
  <c r="N26" i="2" a="1"/>
  <c r="N26" i="2" s="1"/>
  <c r="L26" i="2" a="1"/>
  <c r="L26" i="2" s="1"/>
  <c r="K26" i="2" a="1"/>
  <c r="K26" i="2" s="1"/>
  <c r="J26" i="2"/>
  <c r="J26" i="2" a="1"/>
  <c r="I26" i="2"/>
  <c r="I26" i="2" a="1"/>
  <c r="H26" i="2" a="1"/>
  <c r="H26" i="2" s="1"/>
  <c r="D26" i="2"/>
  <c r="E26" i="2" s="1"/>
  <c r="N25" i="2" a="1"/>
  <c r="N25" i="2" s="1"/>
  <c r="M25" i="2" a="1"/>
  <c r="M25" i="2" s="1"/>
  <c r="K25" i="2" a="1"/>
  <c r="K25" i="2" s="1"/>
  <c r="J25" i="2"/>
  <c r="J25" i="2" a="1"/>
  <c r="I25" i="2"/>
  <c r="I25" i="2" a="1"/>
  <c r="H25" i="2" a="1"/>
  <c r="H25" i="2" s="1"/>
  <c r="D25" i="2"/>
  <c r="O23" i="2"/>
  <c r="O38" i="2" s="1" a="1"/>
  <c r="O38" i="2" s="1"/>
  <c r="N23" i="2"/>
  <c r="M23" i="2"/>
  <c r="M40" i="2" s="1" a="1"/>
  <c r="M40" i="2" s="1"/>
  <c r="L23" i="2"/>
  <c r="L47" i="2" s="1" a="1"/>
  <c r="L47" i="2" s="1"/>
  <c r="K23" i="2"/>
  <c r="K44" i="2" s="1" a="1"/>
  <c r="J23" i="2"/>
  <c r="J44" i="2" s="1" a="1"/>
  <c r="J44" i="2" s="1"/>
  <c r="I23" i="2"/>
  <c r="I46" i="2" s="1" a="1"/>
  <c r="Q21" i="2"/>
  <c r="P21" i="2"/>
  <c r="O21" i="2"/>
  <c r="N21" i="2"/>
  <c r="M21" i="2"/>
  <c r="L21" i="2"/>
  <c r="K21" i="2"/>
  <c r="J21" i="2"/>
  <c r="I21" i="2"/>
  <c r="H21" i="2"/>
  <c r="Q20" i="2"/>
  <c r="P20" i="2"/>
  <c r="O20" i="2"/>
  <c r="N20" i="2"/>
  <c r="M20" i="2"/>
  <c r="L20" i="2"/>
  <c r="K20" i="2"/>
  <c r="J20" i="2"/>
  <c r="I20" i="2"/>
  <c r="H20" i="2"/>
  <c r="I19" i="2"/>
  <c r="H19" i="2"/>
  <c r="S18" i="2"/>
  <c r="R18" i="2"/>
  <c r="Q18" i="2"/>
  <c r="P18" i="2"/>
  <c r="O18" i="2"/>
  <c r="N18" i="2"/>
  <c r="M18" i="2"/>
  <c r="L18" i="2"/>
  <c r="K18" i="2"/>
  <c r="J18" i="2"/>
  <c r="N19" i="2" s="1"/>
  <c r="I18" i="2"/>
  <c r="S19" i="2" s="1"/>
  <c r="H18" i="2"/>
  <c r="R17" i="2"/>
  <c r="O17" i="2"/>
  <c r="R10" i="2"/>
  <c r="Q10" i="2"/>
  <c r="P10" i="2"/>
  <c r="O10" i="2"/>
  <c r="N10" i="2"/>
  <c r="M10" i="2"/>
  <c r="L10" i="2"/>
  <c r="K10" i="2"/>
  <c r="J10" i="2"/>
  <c r="I10" i="2"/>
  <c r="H10" i="2"/>
  <c r="S9" i="2"/>
  <c r="R9" i="2"/>
  <c r="Q9" i="2"/>
  <c r="P9" i="2"/>
  <c r="O9" i="2"/>
  <c r="N9" i="2"/>
  <c r="M9" i="2"/>
  <c r="L9" i="2"/>
  <c r="K9" i="2"/>
  <c r="J9" i="2"/>
  <c r="I9" i="2"/>
  <c r="H9" i="2"/>
  <c r="R8" i="2"/>
  <c r="Q8" i="2"/>
  <c r="P8" i="2"/>
  <c r="O8" i="2"/>
  <c r="N8" i="2"/>
  <c r="I8" i="2"/>
  <c r="S7" i="2"/>
  <c r="R7" i="2"/>
  <c r="Q7" i="2"/>
  <c r="P7" i="2"/>
  <c r="O7" i="2"/>
  <c r="N7" i="2"/>
  <c r="M7" i="2"/>
  <c r="L7" i="2"/>
  <c r="K7" i="2"/>
  <c r="J7" i="2"/>
  <c r="I7" i="2"/>
  <c r="H7" i="2"/>
  <c r="K8" i="2" s="1"/>
  <c r="S6" i="2"/>
  <c r="R6" i="2"/>
  <c r="M6" i="2"/>
  <c r="J6" i="2"/>
  <c r="T49" i="1"/>
  <c r="G49" i="1"/>
  <c r="G49" i="1" a="1"/>
  <c r="D49" i="1"/>
  <c r="G48" i="1"/>
  <c r="G48" i="1" a="1"/>
  <c r="D48" i="1"/>
  <c r="G47" i="1" a="1"/>
  <c r="G47" i="1" s="1"/>
  <c r="D47" i="1"/>
  <c r="G46" i="1" a="1"/>
  <c r="G46" i="1" s="1"/>
  <c r="D46" i="1"/>
  <c r="G45" i="1"/>
  <c r="G45" i="1" a="1"/>
  <c r="D45" i="1"/>
  <c r="G44" i="1"/>
  <c r="G44" i="1" a="1"/>
  <c r="D44" i="1"/>
  <c r="G43" i="1" a="1"/>
  <c r="G43" i="1" s="1"/>
  <c r="D43" i="1"/>
  <c r="G42" i="1" a="1"/>
  <c r="G42" i="1" s="1"/>
  <c r="D42" i="1"/>
  <c r="G41" i="1" a="1"/>
  <c r="G41" i="1" s="1"/>
  <c r="D41" i="1"/>
  <c r="T40" i="1"/>
  <c r="G40" i="1"/>
  <c r="G40" i="1" a="1"/>
  <c r="D40" i="1"/>
  <c r="H39" i="1" a="1"/>
  <c r="H39" i="1" s="1"/>
  <c r="G39" i="1"/>
  <c r="G39" i="1" a="1"/>
  <c r="D39" i="1"/>
  <c r="G38" i="1"/>
  <c r="G38" i="1" a="1"/>
  <c r="D38" i="1"/>
  <c r="T37" i="1"/>
  <c r="G37" i="1"/>
  <c r="G37" i="1" a="1"/>
  <c r="D37" i="1"/>
  <c r="G36" i="1"/>
  <c r="G36" i="1" a="1"/>
  <c r="D36" i="1"/>
  <c r="G35" i="1"/>
  <c r="G35" i="1" a="1"/>
  <c r="D35" i="1"/>
  <c r="T34" i="1"/>
  <c r="G34" i="1"/>
  <c r="G34" i="1" a="1"/>
  <c r="D34" i="1"/>
  <c r="T33" i="1"/>
  <c r="H33" i="1" a="1"/>
  <c r="H33" i="1" s="1"/>
  <c r="G33" i="1" a="1"/>
  <c r="G33" i="1" s="1"/>
  <c r="D33" i="1"/>
  <c r="H32" i="1" a="1"/>
  <c r="H32" i="1" s="1"/>
  <c r="G32" i="1"/>
  <c r="G32" i="1" a="1"/>
  <c r="D32" i="1"/>
  <c r="T31" i="1"/>
  <c r="G31" i="1" a="1"/>
  <c r="G31" i="1" s="1"/>
  <c r="D31" i="1"/>
  <c r="T30" i="1"/>
  <c r="H30" i="1"/>
  <c r="H30" i="1" a="1"/>
  <c r="G30" i="1"/>
  <c r="G30" i="1" a="1"/>
  <c r="D30" i="1"/>
  <c r="H29" i="1" a="1"/>
  <c r="H29" i="1" s="1"/>
  <c r="G29" i="1"/>
  <c r="G29" i="1" a="1"/>
  <c r="D29" i="1"/>
  <c r="G28" i="1" a="1"/>
  <c r="G28" i="1" s="1"/>
  <c r="D28" i="1"/>
  <c r="H27" i="1" a="1"/>
  <c r="H27" i="1" s="1"/>
  <c r="G27" i="1"/>
  <c r="G27" i="1" a="1"/>
  <c r="D27" i="1"/>
  <c r="H26" i="1" a="1"/>
  <c r="H26" i="1" s="1"/>
  <c r="G26" i="1" a="1"/>
  <c r="G26" i="1" s="1"/>
  <c r="D26" i="1"/>
  <c r="G25" i="1" a="1"/>
  <c r="G25" i="1" s="1"/>
  <c r="G4" i="1" s="1"/>
  <c r="D25" i="1"/>
  <c r="H23" i="1"/>
  <c r="R21" i="1"/>
  <c r="Q21" i="1"/>
  <c r="P21" i="1"/>
  <c r="O21" i="1"/>
  <c r="N21" i="1"/>
  <c r="M21" i="1"/>
  <c r="L21" i="1"/>
  <c r="K21" i="1"/>
  <c r="J21" i="1"/>
  <c r="I21" i="1"/>
  <c r="H21" i="1"/>
  <c r="G21" i="1"/>
  <c r="R20" i="1"/>
  <c r="P20" i="1"/>
  <c r="O20" i="1"/>
  <c r="N20" i="1"/>
  <c r="M20" i="1"/>
  <c r="L20" i="1"/>
  <c r="K20" i="1"/>
  <c r="J20" i="1"/>
  <c r="I20" i="1"/>
  <c r="H20" i="1"/>
  <c r="G20" i="1"/>
  <c r="Q19" i="1"/>
  <c r="P19" i="1"/>
  <c r="N19" i="1"/>
  <c r="R18" i="1"/>
  <c r="Q18" i="1"/>
  <c r="P18" i="1"/>
  <c r="O18" i="1"/>
  <c r="N18" i="1"/>
  <c r="M18" i="1"/>
  <c r="L18" i="1"/>
  <c r="K18" i="1"/>
  <c r="J18" i="1"/>
  <c r="I18" i="1"/>
  <c r="H18" i="1"/>
  <c r="G18" i="1"/>
  <c r="P10" i="1"/>
  <c r="O10" i="1"/>
  <c r="N10" i="1"/>
  <c r="M10" i="1"/>
  <c r="L10" i="1"/>
  <c r="K10" i="1"/>
  <c r="J10" i="1"/>
  <c r="I10" i="1"/>
  <c r="H10" i="1"/>
  <c r="G10" i="1"/>
  <c r="R9" i="1"/>
  <c r="P9" i="1"/>
  <c r="O9" i="1"/>
  <c r="N9" i="1"/>
  <c r="M9" i="1"/>
  <c r="L9" i="1"/>
  <c r="K9" i="1"/>
  <c r="J9" i="1"/>
  <c r="I9" i="1"/>
  <c r="H9" i="1"/>
  <c r="G9" i="1"/>
  <c r="P8" i="1"/>
  <c r="M8" i="1"/>
  <c r="L8" i="1"/>
  <c r="K8" i="1"/>
  <c r="I8" i="1"/>
  <c r="G8" i="1"/>
  <c r="R7" i="1"/>
  <c r="P7" i="1"/>
  <c r="O7" i="1"/>
  <c r="N7" i="1"/>
  <c r="M7" i="1"/>
  <c r="L7" i="1"/>
  <c r="K7" i="1"/>
  <c r="J7" i="1"/>
  <c r="I7" i="1"/>
  <c r="H7" i="1"/>
  <c r="G7" i="1"/>
  <c r="O8" i="1" s="1"/>
  <c r="S3" i="9" l="1"/>
  <c r="J3" i="9"/>
  <c r="T18" i="9"/>
  <c r="J18" i="9"/>
  <c r="Z18" i="9" s="1"/>
  <c r="AE18" i="9" s="1"/>
  <c r="AE23" i="9"/>
  <c r="AC22" i="9"/>
  <c r="AD22" i="9"/>
  <c r="AC6" i="9"/>
  <c r="AC11" i="9"/>
  <c r="AC20" i="9"/>
  <c r="AD6" i="9"/>
  <c r="T10" i="9"/>
  <c r="J10" i="9"/>
  <c r="Z10" i="9" s="1"/>
  <c r="AE10" i="9" s="1"/>
  <c r="AE6" i="10"/>
  <c r="AE5" i="11"/>
  <c r="AI19" i="7"/>
  <c r="AR19" i="7"/>
  <c r="AK19" i="7"/>
  <c r="AP19" i="7"/>
  <c r="AJ19" i="7"/>
  <c r="AL19" i="7"/>
  <c r="AM19" i="7"/>
  <c r="AO19" i="7"/>
  <c r="AQ19" i="7"/>
  <c r="T3" i="9"/>
  <c r="AL5" i="7"/>
  <c r="Y5" i="9"/>
  <c r="AR15" i="7"/>
  <c r="Y19" i="9"/>
  <c r="AD19" i="9" s="1"/>
  <c r="AQ11" i="7"/>
  <c r="V11" i="9"/>
  <c r="AQ15" i="7"/>
  <c r="AP15" i="7"/>
  <c r="AO5" i="7"/>
  <c r="AR11" i="7"/>
  <c r="Y11" i="9"/>
  <c r="AK7" i="7"/>
  <c r="V7" i="9"/>
  <c r="AJ7" i="7"/>
  <c r="W7" i="9"/>
  <c r="AO10" i="7"/>
  <c r="AI12" i="7"/>
  <c r="X12" i="9"/>
  <c r="AL12" i="7"/>
  <c r="Y12" i="9"/>
  <c r="AK3" i="7"/>
  <c r="V3" i="9"/>
  <c r="AK13" i="7"/>
  <c r="V17" i="9"/>
  <c r="AQ17" i="7"/>
  <c r="AJ13" i="7"/>
  <c r="W17" i="9"/>
  <c r="W27" i="9" s="1"/>
  <c r="AI13" i="7"/>
  <c r="X17" i="9"/>
  <c r="AL8" i="7"/>
  <c r="Y8" i="9"/>
  <c r="AM17" i="7"/>
  <c r="AQ4" i="7"/>
  <c r="V4" i="9"/>
  <c r="AM14" i="7"/>
  <c r="V18" i="9"/>
  <c r="AO12" i="7"/>
  <c r="AP7" i="7"/>
  <c r="AP9" i="7"/>
  <c r="W9" i="9"/>
  <c r="AJ14" i="7"/>
  <c r="W18" i="9"/>
  <c r="AJ17" i="7"/>
  <c r="AM12" i="7"/>
  <c r="AR6" i="7"/>
  <c r="X6" i="10"/>
  <c r="AC6" i="10" s="1"/>
  <c r="AR4" i="7"/>
  <c r="Y4" i="9"/>
  <c r="AD4" i="9" s="1"/>
  <c r="AR9" i="7"/>
  <c r="Y9" i="9"/>
  <c r="AD9" i="9" s="1"/>
  <c r="AL14" i="7"/>
  <c r="Y18" i="9"/>
  <c r="AK5" i="7"/>
  <c r="V5" i="9"/>
  <c r="AK10" i="7"/>
  <c r="V10" i="9"/>
  <c r="AJ5" i="7"/>
  <c r="W5" i="9"/>
  <c r="AJ10" i="7"/>
  <c r="W10" i="9"/>
  <c r="AL10" i="7"/>
  <c r="Y10" i="9"/>
  <c r="AK16" i="7"/>
  <c r="V20" i="9"/>
  <c r="S18" i="9"/>
  <c r="AO15" i="7"/>
  <c r="AL16" i="7"/>
  <c r="Y20" i="9"/>
  <c r="AD20" i="9" s="1"/>
  <c r="AM15" i="7"/>
  <c r="AQ10" i="7"/>
  <c r="AI5" i="7"/>
  <c r="AL15" i="7"/>
  <c r="AK15" i="7"/>
  <c r="AO7" i="7"/>
  <c r="X7" i="9"/>
  <c r="AJ15" i="7"/>
  <c r="AM10" i="7"/>
  <c r="AL7" i="7"/>
  <c r="Y7" i="9"/>
  <c r="AD7" i="9" s="1"/>
  <c r="AL17" i="7"/>
  <c r="Y21" i="9"/>
  <c r="AI15" i="7"/>
  <c r="AI10" i="7"/>
  <c r="AL4" i="7"/>
  <c r="AK8" i="7"/>
  <c r="V8" i="9"/>
  <c r="AJ8" i="7"/>
  <c r="W8" i="9"/>
  <c r="AO3" i="7"/>
  <c r="X3" i="9"/>
  <c r="AI8" i="7"/>
  <c r="X8" i="9"/>
  <c r="AO17" i="7"/>
  <c r="AQ12" i="7"/>
  <c r="AR13" i="7"/>
  <c r="Y17" i="9"/>
  <c r="AP12" i="7"/>
  <c r="AQ7" i="7"/>
  <c r="AM9" i="7"/>
  <c r="V9" i="9"/>
  <c r="AO9" i="7"/>
  <c r="X9" i="9"/>
  <c r="AC9" i="9" s="1"/>
  <c r="AI14" i="7"/>
  <c r="X18" i="9"/>
  <c r="AC18" i="9" s="1"/>
  <c r="AI17" i="7"/>
  <c r="AK12" i="7"/>
  <c r="AQ6" i="7"/>
  <c r="T5" i="11"/>
  <c r="Z17" i="7"/>
  <c r="P21" i="9"/>
  <c r="J21" i="9" s="1"/>
  <c r="Z21" i="9" s="1"/>
  <c r="AE21" i="9" s="1"/>
  <c r="T4" i="7"/>
  <c r="P4" i="9"/>
  <c r="J4" i="9" s="1"/>
  <c r="Z4" i="9" s="1"/>
  <c r="R7" i="7"/>
  <c r="P7" i="9"/>
  <c r="J7" i="9" s="1"/>
  <c r="Z7" i="9" s="1"/>
  <c r="AE7" i="9" s="1"/>
  <c r="Z5" i="7"/>
  <c r="Y8" i="7"/>
  <c r="P8" i="9"/>
  <c r="J8" i="9" s="1"/>
  <c r="Z8" i="9" s="1"/>
  <c r="AE8" i="9" s="1"/>
  <c r="Y5" i="7"/>
  <c r="R9" i="7"/>
  <c r="P9" i="9"/>
  <c r="J9" i="9" s="1"/>
  <c r="Z9" i="9" s="1"/>
  <c r="AE9" i="9" s="1"/>
  <c r="S10" i="9"/>
  <c r="U5" i="7"/>
  <c r="P5" i="9"/>
  <c r="J5" i="9" s="1"/>
  <c r="Z5" i="9" s="1"/>
  <c r="AE5" i="9" s="1"/>
  <c r="X10" i="7"/>
  <c r="V4" i="7"/>
  <c r="AA12" i="7"/>
  <c r="P12" i="9"/>
  <c r="J12" i="9" s="1"/>
  <c r="Z12" i="9" s="1"/>
  <c r="AE12" i="9" s="1"/>
  <c r="V10" i="7"/>
  <c r="U13" i="7"/>
  <c r="P17" i="9"/>
  <c r="J17" i="9" s="1"/>
  <c r="S17" i="7"/>
  <c r="U10" i="7"/>
  <c r="V6" i="7"/>
  <c r="P6" i="9"/>
  <c r="J6" i="9" s="1"/>
  <c r="Z6" i="9" s="1"/>
  <c r="AE6" i="9" s="1"/>
  <c r="R17" i="7"/>
  <c r="T10" i="7"/>
  <c r="R11" i="7"/>
  <c r="P11" i="9"/>
  <c r="J11" i="9" s="1"/>
  <c r="Z11" i="9" s="1"/>
  <c r="AE11" i="9" s="1"/>
  <c r="U15" i="7"/>
  <c r="P19" i="9"/>
  <c r="J19" i="9" s="1"/>
  <c r="Z19" i="9" s="1"/>
  <c r="AE19" i="9" s="1"/>
  <c r="R10" i="7"/>
  <c r="R6" i="7"/>
  <c r="R16" i="7"/>
  <c r="P20" i="9"/>
  <c r="J20" i="9" s="1"/>
  <c r="Z20" i="9" s="1"/>
  <c r="AE20" i="9" s="1"/>
  <c r="Y16" i="7"/>
  <c r="Z9" i="7"/>
  <c r="AC5" i="11"/>
  <c r="AD5" i="11"/>
  <c r="AD6" i="10"/>
  <c r="AE12" i="10"/>
  <c r="T12" i="10"/>
  <c r="S12" i="10"/>
  <c r="AD12" i="10"/>
  <c r="AC12" i="10"/>
  <c r="T6" i="10"/>
  <c r="S6" i="10"/>
  <c r="AE18" i="10"/>
  <c r="AP8" i="7"/>
  <c r="Y13" i="7"/>
  <c r="V17" i="7"/>
  <c r="T15" i="7"/>
  <c r="X8" i="7"/>
  <c r="U6" i="7"/>
  <c r="S4" i="7"/>
  <c r="AQ13" i="7"/>
  <c r="AL9" i="7"/>
  <c r="U17" i="7"/>
  <c r="S15" i="7"/>
  <c r="Y10" i="7"/>
  <c r="T6" i="7"/>
  <c r="R4" i="7"/>
  <c r="AP13" i="7"/>
  <c r="AM11" i="7"/>
  <c r="AK9" i="7"/>
  <c r="AI7" i="7"/>
  <c r="AR17" i="7"/>
  <c r="AM13" i="7"/>
  <c r="AQ8" i="7"/>
  <c r="Z16" i="7"/>
  <c r="X14" i="7"/>
  <c r="V14" i="7"/>
  <c r="AO8" i="7"/>
  <c r="V5" i="7"/>
  <c r="AR12" i="7"/>
  <c r="AM8" i="7"/>
  <c r="V16" i="7"/>
  <c r="Y9" i="7"/>
  <c r="V7" i="7"/>
  <c r="T5" i="7"/>
  <c r="AR14" i="7"/>
  <c r="Z11" i="7"/>
  <c r="U7" i="7"/>
  <c r="S5" i="7"/>
  <c r="AQ14" i="7"/>
  <c r="AR5" i="7"/>
  <c r="Y11" i="7"/>
  <c r="V9" i="7"/>
  <c r="T7" i="7"/>
  <c r="R5" i="7"/>
  <c r="AP14" i="7"/>
  <c r="AQ5" i="7"/>
  <c r="Z13" i="7"/>
  <c r="X11" i="7"/>
  <c r="U9" i="7"/>
  <c r="S7" i="7"/>
  <c r="AA4" i="7"/>
  <c r="AQ16" i="7"/>
  <c r="AO14" i="7"/>
  <c r="AR7" i="7"/>
  <c r="AP5" i="7"/>
  <c r="AA17" i="7"/>
  <c r="Y15" i="7"/>
  <c r="V13" i="7"/>
  <c r="T11" i="7"/>
  <c r="Z6" i="7"/>
  <c r="X4" i="7"/>
  <c r="AM16" i="7"/>
  <c r="AK14" i="7"/>
  <c r="AQ9" i="7"/>
  <c r="Z4" i="7"/>
  <c r="Z15" i="7"/>
  <c r="U11" i="7"/>
  <c r="AA6" i="7"/>
  <c r="Y4" i="7"/>
  <c r="AM5" i="7"/>
  <c r="X15" i="7"/>
  <c r="S11" i="7"/>
  <c r="AA8" i="7"/>
  <c r="Y6" i="7"/>
  <c r="AM7" i="7"/>
  <c r="Z8" i="7"/>
  <c r="X6" i="7"/>
  <c r="U4" i="7"/>
  <c r="S3" i="7"/>
  <c r="X3" i="7"/>
  <c r="T3" i="7"/>
  <c r="U3" i="7"/>
  <c r="AI3" i="7"/>
  <c r="AJ3" i="7"/>
  <c r="AA3" i="7"/>
  <c r="V3" i="7"/>
  <c r="Y3" i="7"/>
  <c r="AM3" i="7"/>
  <c r="R3" i="7"/>
  <c r="AQ3" i="7"/>
  <c r="Z3" i="7"/>
  <c r="Y30" i="2"/>
  <c r="X30" i="2"/>
  <c r="Y45" i="2"/>
  <c r="X45" i="2"/>
  <c r="W45" i="2"/>
  <c r="V45" i="2"/>
  <c r="U45" i="2"/>
  <c r="U33" i="1"/>
  <c r="U27" i="1"/>
  <c r="T42" i="1"/>
  <c r="U44" i="1"/>
  <c r="T44" i="1"/>
  <c r="U48" i="1"/>
  <c r="T48" i="1"/>
  <c r="AB31" i="2"/>
  <c r="W31" i="2"/>
  <c r="V31" i="2"/>
  <c r="AA31" i="2"/>
  <c r="Z31" i="2"/>
  <c r="I2" i="2"/>
  <c r="X31" i="2"/>
  <c r="J16" i="3"/>
  <c r="K17" i="1"/>
  <c r="I17" i="1"/>
  <c r="H17" i="1"/>
  <c r="O6" i="1"/>
  <c r="R17" i="1"/>
  <c r="U35" i="1"/>
  <c r="T35" i="1"/>
  <c r="U32" i="1"/>
  <c r="T32" i="1"/>
  <c r="J6" i="1"/>
  <c r="X25" i="2"/>
  <c r="AA25" i="2"/>
  <c r="H15" i="2"/>
  <c r="W25" i="2"/>
  <c r="V25" i="2"/>
  <c r="U25" i="2"/>
  <c r="K6" i="1"/>
  <c r="T27" i="1"/>
  <c r="N6" i="2"/>
  <c r="Z36" i="2"/>
  <c r="W36" i="2"/>
  <c r="V36" i="2"/>
  <c r="U36" i="2"/>
  <c r="H6" i="1"/>
  <c r="W46" i="2"/>
  <c r="V46" i="2"/>
  <c r="U46" i="2"/>
  <c r="Y46" i="2"/>
  <c r="X46" i="2"/>
  <c r="M16" i="3"/>
  <c r="M6" i="1"/>
  <c r="H38" i="1" a="1"/>
  <c r="H38" i="1" s="1"/>
  <c r="H31" i="1" a="1"/>
  <c r="H31" i="1" s="1"/>
  <c r="H42" i="1" a="1"/>
  <c r="H42" i="1" s="1"/>
  <c r="U42" i="1" s="1"/>
  <c r="H47" i="1" a="1"/>
  <c r="H47" i="1" s="1"/>
  <c r="H34" i="1" a="1"/>
  <c r="H34" i="1" s="1"/>
  <c r="U34" i="1" s="1"/>
  <c r="H40" i="1" a="1"/>
  <c r="H40" i="1" s="1"/>
  <c r="H36" i="1" a="1"/>
  <c r="H36" i="1" s="1"/>
  <c r="H44" i="1" a="1"/>
  <c r="H44" i="1" s="1"/>
  <c r="I23" i="1"/>
  <c r="H43" i="1" a="1"/>
  <c r="H43" i="1" s="1"/>
  <c r="H25" i="1" a="1"/>
  <c r="H25" i="1" s="1"/>
  <c r="H37" i="1" a="1"/>
  <c r="H37" i="1" s="1"/>
  <c r="H48" i="1" a="1"/>
  <c r="H48" i="1" s="1"/>
  <c r="H28" i="1" a="1"/>
  <c r="H28" i="1" s="1"/>
  <c r="H41" i="1" a="1"/>
  <c r="H41" i="1" s="1"/>
  <c r="H49" i="1" a="1"/>
  <c r="H49" i="1" s="1"/>
  <c r="H46" i="1" a="1"/>
  <c r="H46" i="1" s="1"/>
  <c r="H35" i="1" a="1"/>
  <c r="H35" i="1" s="1"/>
  <c r="T45" i="1"/>
  <c r="U45" i="1"/>
  <c r="AA41" i="2"/>
  <c r="Q6" i="1"/>
  <c r="Q17" i="1"/>
  <c r="T43" i="1"/>
  <c r="U43" i="1"/>
  <c r="H45" i="1" a="1"/>
  <c r="H45" i="1" s="1"/>
  <c r="M13" i="2"/>
  <c r="L13" i="2"/>
  <c r="Q17" i="2"/>
  <c r="K6" i="2"/>
  <c r="W37" i="2"/>
  <c r="Y42" i="2"/>
  <c r="O46" i="2" a="1"/>
  <c r="O46" i="2" s="1"/>
  <c r="O48" i="2" a="1"/>
  <c r="O48" i="2" s="1"/>
  <c r="O47" i="2" a="1"/>
  <c r="O47" i="2" s="1"/>
  <c r="O36" i="2" a="1"/>
  <c r="O36" i="2" s="1"/>
  <c r="O28" i="2" a="1"/>
  <c r="O28" i="2" s="1"/>
  <c r="O45" i="2" a="1"/>
  <c r="O45" i="2" s="1"/>
  <c r="O32" i="2" a="1"/>
  <c r="O32" i="2" s="1"/>
  <c r="O42" i="2" a="1"/>
  <c r="O42" i="2" s="1"/>
  <c r="O37" i="2" a="1"/>
  <c r="O37" i="2" s="1"/>
  <c r="O25" i="2" a="1"/>
  <c r="O25" i="2" s="1"/>
  <c r="O44" i="2" a="1"/>
  <c r="O44" i="2" s="1"/>
  <c r="O13" i="2" s="1"/>
  <c r="O43" i="2" a="1"/>
  <c r="O43" i="2" s="1"/>
  <c r="O35" i="2" a="1"/>
  <c r="O35" i="2" s="1"/>
  <c r="O30" i="2" a="1"/>
  <c r="O30" i="2" s="1"/>
  <c r="P23" i="2"/>
  <c r="O34" i="2" a="1"/>
  <c r="O34" i="2" s="1"/>
  <c r="O31" i="2" a="1"/>
  <c r="O31" i="2" s="1"/>
  <c r="O33" i="2" a="1"/>
  <c r="O33" i="2" s="1"/>
  <c r="O29" i="2" a="1"/>
  <c r="O29" i="2" s="1"/>
  <c r="AB29" i="2" s="1"/>
  <c r="O27" i="2" a="1"/>
  <c r="O27" i="2" s="1"/>
  <c r="O26" i="2" a="1"/>
  <c r="O26" i="2" s="1"/>
  <c r="W27" i="2"/>
  <c r="V27" i="2"/>
  <c r="Z27" i="2"/>
  <c r="Y27" i="2"/>
  <c r="AA27" i="2"/>
  <c r="I4" i="2"/>
  <c r="AA37" i="2"/>
  <c r="V37" i="2"/>
  <c r="U37" i="2"/>
  <c r="X37" i="2"/>
  <c r="T26" i="1"/>
  <c r="U26" i="1"/>
  <c r="H4" i="2"/>
  <c r="P6" i="1"/>
  <c r="K2" i="2"/>
  <c r="K4" i="2"/>
  <c r="O49" i="2" a="1"/>
  <c r="O49" i="2" s="1"/>
  <c r="U25" i="1"/>
  <c r="T25" i="1"/>
  <c r="G15" i="1"/>
  <c r="G2" i="1"/>
  <c r="T36" i="1"/>
  <c r="X36" i="2"/>
  <c r="Y43" i="2"/>
  <c r="AA43" i="2"/>
  <c r="U43" i="2"/>
  <c r="W43" i="2"/>
  <c r="O40" i="2" a="1"/>
  <c r="O40" i="2" s="1"/>
  <c r="Z41" i="2"/>
  <c r="Z47" i="2"/>
  <c r="AB28" i="2"/>
  <c r="W28" i="2"/>
  <c r="X28" i="2"/>
  <c r="Y28" i="2"/>
  <c r="AA28" i="2"/>
  <c r="U28" i="2"/>
  <c r="G6" i="1"/>
  <c r="U29" i="1"/>
  <c r="T29" i="1"/>
  <c r="R19" i="1"/>
  <c r="H19" i="1"/>
  <c r="M19" i="1"/>
  <c r="L19" i="1"/>
  <c r="I19" i="1"/>
  <c r="G19" i="1"/>
  <c r="K19" i="1"/>
  <c r="J19" i="1"/>
  <c r="O19" i="1"/>
  <c r="U39" i="1"/>
  <c r="T39" i="1"/>
  <c r="Y37" i="2"/>
  <c r="Z42" i="2"/>
  <c r="Z37" i="2"/>
  <c r="O41" i="2" a="1"/>
  <c r="O41" i="2" s="1"/>
  <c r="H13" i="6"/>
  <c r="S16" i="3"/>
  <c r="U41" i="1"/>
  <c r="X35" i="2"/>
  <c r="W35" i="2"/>
  <c r="V35" i="2"/>
  <c r="Y29" i="2"/>
  <c r="AA36" i="2"/>
  <c r="Y47" i="2"/>
  <c r="X47" i="2"/>
  <c r="J2" i="2"/>
  <c r="J4" i="2"/>
  <c r="R19" i="2"/>
  <c r="O19" i="2"/>
  <c r="L19" i="2"/>
  <c r="M19" i="2"/>
  <c r="K19" i="2"/>
  <c r="J19" i="2"/>
  <c r="R6" i="1"/>
  <c r="T41" i="1"/>
  <c r="R8" i="1"/>
  <c r="T46" i="1"/>
  <c r="X29" i="2"/>
  <c r="AA29" i="2"/>
  <c r="Z29" i="2"/>
  <c r="AB36" i="2"/>
  <c r="V42" i="2"/>
  <c r="M8" i="2"/>
  <c r="L8" i="2"/>
  <c r="J8" i="2"/>
  <c r="S8" i="2"/>
  <c r="V38" i="2"/>
  <c r="I16" i="3"/>
  <c r="N8" i="1"/>
  <c r="U40" i="1"/>
  <c r="W38" i="2"/>
  <c r="AB44" i="2"/>
  <c r="AA44" i="2"/>
  <c r="V44" i="2"/>
  <c r="Y44" i="2"/>
  <c r="X44" i="2"/>
  <c r="W44" i="2"/>
  <c r="T47" i="1"/>
  <c r="N45" i="2" a="1"/>
  <c r="N45" i="2" s="1"/>
  <c r="N13" i="2" s="1"/>
  <c r="N47" i="2" a="1"/>
  <c r="N47" i="2" s="1"/>
  <c r="N41" i="2" a="1"/>
  <c r="N41" i="2" s="1"/>
  <c r="N27" i="2" a="1"/>
  <c r="N27" i="2" s="1"/>
  <c r="N36" i="2" a="1"/>
  <c r="N36" i="2" s="1"/>
  <c r="N34" i="2" a="1"/>
  <c r="N34" i="2" s="1"/>
  <c r="N37" i="2" a="1"/>
  <c r="N37" i="2" s="1"/>
  <c r="N32" i="2" a="1"/>
  <c r="N32" i="2" s="1"/>
  <c r="N31" i="2" a="1"/>
  <c r="N31" i="2" s="1"/>
  <c r="N46" i="2" a="1"/>
  <c r="N46" i="2" s="1"/>
  <c r="N43" i="2" a="1"/>
  <c r="N43" i="2" s="1"/>
  <c r="N49" i="2" a="1"/>
  <c r="N49" i="2" s="1"/>
  <c r="N4" i="2" s="1"/>
  <c r="K8" i="3"/>
  <c r="J8" i="3"/>
  <c r="S8" i="3"/>
  <c r="R8" i="3"/>
  <c r="M8" i="3"/>
  <c r="X41" i="2"/>
  <c r="O2" i="3"/>
  <c r="V39" i="2"/>
  <c r="U39" i="2"/>
  <c r="AA40" i="2"/>
  <c r="Y40" i="2"/>
  <c r="X40" i="2"/>
  <c r="W40" i="2"/>
  <c r="U40" i="2"/>
  <c r="N7" i="3"/>
  <c r="P8" i="3" s="1"/>
  <c r="N9" i="3"/>
  <c r="E51" i="3"/>
  <c r="N20" i="3"/>
  <c r="N18" i="3"/>
  <c r="X42" i="2"/>
  <c r="W42" i="2"/>
  <c r="U42" i="2"/>
  <c r="AA42" i="2"/>
  <c r="L17" i="1"/>
  <c r="N6" i="1"/>
  <c r="J17" i="1"/>
  <c r="L6" i="1"/>
  <c r="G17" i="1"/>
  <c r="I6" i="1"/>
  <c r="W41" i="2"/>
  <c r="V41" i="2"/>
  <c r="T28" i="1"/>
  <c r="Q20" i="1"/>
  <c r="Q7" i="1"/>
  <c r="Q8" i="1" s="1"/>
  <c r="K17" i="2"/>
  <c r="U48" i="2"/>
  <c r="S10" i="3"/>
  <c r="O20" i="3"/>
  <c r="O9" i="3"/>
  <c r="O7" i="3"/>
  <c r="E48" i="3"/>
  <c r="J13" i="2"/>
  <c r="P17" i="2"/>
  <c r="G13" i="1"/>
  <c r="N17" i="1"/>
  <c r="L17" i="2"/>
  <c r="W29" i="2"/>
  <c r="V29" i="2"/>
  <c r="U29" i="2"/>
  <c r="N35" i="2" a="1"/>
  <c r="N35" i="2" s="1"/>
  <c r="H13" i="3"/>
  <c r="O18" i="3"/>
  <c r="N21" i="3"/>
  <c r="AA38" i="2"/>
  <c r="Z38" i="2"/>
  <c r="AB38" i="2"/>
  <c r="Y38" i="2"/>
  <c r="X38" i="2"/>
  <c r="K2" i="3"/>
  <c r="M17" i="1"/>
  <c r="H13" i="1"/>
  <c r="O17" i="1"/>
  <c r="H6" i="2"/>
  <c r="M17" i="2"/>
  <c r="Y26" i="2"/>
  <c r="X26" i="2"/>
  <c r="W26" i="2"/>
  <c r="V26" i="2"/>
  <c r="AA49" i="2"/>
  <c r="Y49" i="2"/>
  <c r="X49" i="2"/>
  <c r="Z49" i="2"/>
  <c r="K13" i="3"/>
  <c r="O17" i="3"/>
  <c r="Q4" i="3"/>
  <c r="N17" i="3"/>
  <c r="P4" i="3"/>
  <c r="M17" i="3"/>
  <c r="O4" i="3"/>
  <c r="I13" i="3"/>
  <c r="N6" i="3"/>
  <c r="R13" i="3"/>
  <c r="R6" i="3"/>
  <c r="S2" i="3"/>
  <c r="Q13" i="3"/>
  <c r="Q6" i="3"/>
  <c r="R2" i="3"/>
  <c r="M13" i="3"/>
  <c r="P6" i="3"/>
  <c r="Q2" i="3"/>
  <c r="H17" i="3"/>
  <c r="L13" i="3"/>
  <c r="O6" i="3"/>
  <c r="P2" i="3"/>
  <c r="R16" i="3"/>
  <c r="J13" i="3"/>
  <c r="J6" i="3"/>
  <c r="N2" i="3"/>
  <c r="I15" i="3"/>
  <c r="K4" i="3"/>
  <c r="J8" i="1"/>
  <c r="H8" i="1"/>
  <c r="P17" i="1"/>
  <c r="U38" i="1"/>
  <c r="T38" i="1"/>
  <c r="I6" i="2"/>
  <c r="H8" i="2"/>
  <c r="N17" i="2"/>
  <c r="U44" i="2"/>
  <c r="W47" i="2"/>
  <c r="V47" i="2"/>
  <c r="U47" i="2"/>
  <c r="N4" i="3"/>
  <c r="Q10" i="3"/>
  <c r="P10" i="3"/>
  <c r="L10" i="3"/>
  <c r="K10" i="3"/>
  <c r="Q21" i="3"/>
  <c r="P21" i="3"/>
  <c r="O21" i="3"/>
  <c r="S21" i="3"/>
  <c r="N10" i="3"/>
  <c r="R21" i="3"/>
  <c r="M10" i="3"/>
  <c r="K21" i="3"/>
  <c r="J21" i="3"/>
  <c r="J20" i="3"/>
  <c r="M21" i="3"/>
  <c r="I17" i="2"/>
  <c r="Q6" i="2"/>
  <c r="H17" i="2"/>
  <c r="P6" i="2"/>
  <c r="H13" i="2"/>
  <c r="H2" i="2"/>
  <c r="E25" i="2"/>
  <c r="J17" i="2"/>
  <c r="L6" i="2"/>
  <c r="Y34" i="2"/>
  <c r="H16" i="3"/>
  <c r="S8" i="5"/>
  <c r="N8" i="5"/>
  <c r="I17" i="5"/>
  <c r="I15" i="5"/>
  <c r="I16" i="5" s="1"/>
  <c r="N2" i="2"/>
  <c r="I13" i="2"/>
  <c r="S17" i="2"/>
  <c r="R19" i="3"/>
  <c r="K5" i="3"/>
  <c r="K16" i="3"/>
  <c r="W30" i="2"/>
  <c r="V30" i="2"/>
  <c r="U30" i="2"/>
  <c r="AA30" i="2"/>
  <c r="X34" i="2"/>
  <c r="W34" i="2"/>
  <c r="V34" i="2"/>
  <c r="K17" i="5"/>
  <c r="K16" i="5" s="1"/>
  <c r="K15" i="5"/>
  <c r="U30" i="1"/>
  <c r="K13" i="2"/>
  <c r="J9" i="3"/>
  <c r="J18" i="3"/>
  <c r="N19" i="3" s="1"/>
  <c r="L17" i="5"/>
  <c r="L16" i="5" s="1"/>
  <c r="L15" i="5"/>
  <c r="P19" i="2"/>
  <c r="Q19" i="2"/>
  <c r="L5" i="5"/>
  <c r="M15" i="5"/>
  <c r="M17" i="5"/>
  <c r="M16" i="5" s="1"/>
  <c r="M3" i="5"/>
  <c r="L3" i="5"/>
  <c r="K3" i="5"/>
  <c r="R3" i="5"/>
  <c r="Q3" i="5"/>
  <c r="N3" i="5"/>
  <c r="V33" i="2"/>
  <c r="U33" i="2"/>
  <c r="L45" i="2" a="1"/>
  <c r="L45" i="2" s="1"/>
  <c r="AB45" i="2" s="1"/>
  <c r="L49" i="2" a="1"/>
  <c r="L49" i="2" s="1"/>
  <c r="L40" i="2" a="1"/>
  <c r="L40" i="2" s="1"/>
  <c r="AB40" i="2" s="1"/>
  <c r="L25" i="2" a="1"/>
  <c r="L25" i="2" s="1"/>
  <c r="Z25" i="2" s="1"/>
  <c r="L35" i="2" a="1"/>
  <c r="L35" i="2" s="1"/>
  <c r="Y35" i="2" s="1"/>
  <c r="L36" i="2" a="1"/>
  <c r="L36" i="2" s="1"/>
  <c r="Y36" i="2" s="1"/>
  <c r="L31" i="2" a="1"/>
  <c r="L31" i="2" s="1"/>
  <c r="L28" i="2" a="1"/>
  <c r="L28" i="2" s="1"/>
  <c r="AB33" i="2"/>
  <c r="Q17" i="3"/>
  <c r="I4" i="3"/>
  <c r="M2" i="3"/>
  <c r="P17" i="3"/>
  <c r="H4" i="3"/>
  <c r="L2" i="3"/>
  <c r="L17" i="3"/>
  <c r="P15" i="3"/>
  <c r="H2" i="3"/>
  <c r="K17" i="3"/>
  <c r="O15" i="3"/>
  <c r="S13" i="3"/>
  <c r="S6" i="3"/>
  <c r="R15" i="3"/>
  <c r="P13" i="3"/>
  <c r="H6" i="3"/>
  <c r="S17" i="3"/>
  <c r="Q15" i="3"/>
  <c r="O13" i="3"/>
  <c r="S5" i="3"/>
  <c r="R17" i="3"/>
  <c r="N15" i="3"/>
  <c r="N13" i="3"/>
  <c r="R5" i="3"/>
  <c r="J17" i="3"/>
  <c r="M6" i="3"/>
  <c r="J4" i="3"/>
  <c r="I17" i="3"/>
  <c r="L6" i="3"/>
  <c r="Q16" i="3"/>
  <c r="O5" i="3"/>
  <c r="P16" i="3"/>
  <c r="N5" i="3"/>
  <c r="Q14" i="5"/>
  <c r="M44" i="2" a="1"/>
  <c r="M44" i="2" s="1"/>
  <c r="Z44" i="2" s="1"/>
  <c r="M46" i="2" a="1"/>
  <c r="M46" i="2" s="1"/>
  <c r="M35" i="2" a="1"/>
  <c r="M35" i="2" s="1"/>
  <c r="M26" i="2" a="1"/>
  <c r="M26" i="2" s="1"/>
  <c r="M15" i="2" s="1"/>
  <c r="M47" i="2" a="1"/>
  <c r="M47" i="2" s="1"/>
  <c r="M48" i="2" a="1"/>
  <c r="M48" i="2" s="1"/>
  <c r="AB48" i="2" s="1"/>
  <c r="M43" i="2" a="1"/>
  <c r="M43" i="2" s="1"/>
  <c r="AB43" i="2" s="1"/>
  <c r="M39" i="2" a="1"/>
  <c r="M39" i="2" s="1"/>
  <c r="M30" i="2" a="1"/>
  <c r="M30" i="2" s="1"/>
  <c r="AB41" i="2"/>
  <c r="Y41" i="2"/>
  <c r="N14" i="5"/>
  <c r="M14" i="5"/>
  <c r="L14" i="5"/>
  <c r="K14" i="5"/>
  <c r="J17" i="5"/>
  <c r="J16" i="5" s="1"/>
  <c r="J15" i="5"/>
  <c r="K5" i="5"/>
  <c r="L5" i="3"/>
  <c r="S10" i="2"/>
  <c r="Q5" i="3"/>
  <c r="H5" i="5"/>
  <c r="O5" i="5"/>
  <c r="AB27" i="2"/>
  <c r="U27" i="2"/>
  <c r="P3" i="5"/>
  <c r="H17" i="5"/>
  <c r="H15" i="5"/>
  <c r="H16" i="5" s="1"/>
  <c r="I5" i="5"/>
  <c r="I21" i="3"/>
  <c r="I9" i="3"/>
  <c r="O14" i="5"/>
  <c r="K49" i="2" a="1"/>
  <c r="K49" i="2" s="1"/>
  <c r="E50" i="3"/>
  <c r="P14" i="5"/>
  <c r="I32" i="2" a="1"/>
  <c r="I32" i="2" s="1"/>
  <c r="Z32" i="2" s="1"/>
  <c r="J33" i="2" a="1"/>
  <c r="J33" i="2" s="1"/>
  <c r="K34" i="2" a="1"/>
  <c r="K34" i="2" s="1"/>
  <c r="J39" i="2" a="1"/>
  <c r="J39" i="2" s="1"/>
  <c r="J15" i="2" s="1"/>
  <c r="P8" i="5"/>
  <c r="L19" i="3"/>
  <c r="H19" i="3"/>
  <c r="S19" i="3"/>
  <c r="P5" i="3"/>
  <c r="M8" i="5"/>
  <c r="L8" i="5"/>
  <c r="K8" i="5"/>
  <c r="R8" i="5"/>
  <c r="H14" i="5"/>
  <c r="J14" i="5"/>
  <c r="R14" i="5"/>
  <c r="J3" i="5"/>
  <c r="J8" i="5"/>
  <c r="O3" i="5"/>
  <c r="O8" i="5"/>
  <c r="AD10" i="9" l="1"/>
  <c r="AD5" i="9"/>
  <c r="AD21" i="9"/>
  <c r="AC12" i="9"/>
  <c r="AC10" i="9"/>
  <c r="J27" i="9"/>
  <c r="Z17" i="9"/>
  <c r="AC7" i="9"/>
  <c r="AC21" i="9"/>
  <c r="AC19" i="9"/>
  <c r="AD12" i="9"/>
  <c r="AC5" i="9"/>
  <c r="AC4" i="9"/>
  <c r="AE4" i="9"/>
  <c r="AC8" i="9"/>
  <c r="AD18" i="9"/>
  <c r="Z3" i="9"/>
  <c r="J13" i="9"/>
  <c r="AD8" i="9"/>
  <c r="AD11" i="9"/>
  <c r="X13" i="9"/>
  <c r="X27" i="9"/>
  <c r="W13" i="9"/>
  <c r="V27" i="9"/>
  <c r="Y13" i="9"/>
  <c r="Y27" i="9"/>
  <c r="AD17" i="9"/>
  <c r="S8" i="9"/>
  <c r="T8" i="9"/>
  <c r="S9" i="9"/>
  <c r="T9" i="9"/>
  <c r="T7" i="9"/>
  <c r="S7" i="9"/>
  <c r="T20" i="9"/>
  <c r="S20" i="9"/>
  <c r="S19" i="9"/>
  <c r="T19" i="9"/>
  <c r="P13" i="9"/>
  <c r="T4" i="9"/>
  <c r="S4" i="9"/>
  <c r="S11" i="9"/>
  <c r="T11" i="9"/>
  <c r="T5" i="9"/>
  <c r="S5" i="9"/>
  <c r="T6" i="9"/>
  <c r="S6" i="9"/>
  <c r="T17" i="9"/>
  <c r="S17" i="9"/>
  <c r="P27" i="9"/>
  <c r="T21" i="9"/>
  <c r="S21" i="9"/>
  <c r="S12" i="9"/>
  <c r="T12" i="9"/>
  <c r="AD17" i="11"/>
  <c r="AC17" i="11"/>
  <c r="AE17" i="11"/>
  <c r="AD18" i="10"/>
  <c r="AC18" i="10"/>
  <c r="AR3" i="7"/>
  <c r="AL3" i="7"/>
  <c r="AC31" i="2"/>
  <c r="U36" i="1"/>
  <c r="L2" i="2"/>
  <c r="N3" i="2" s="1"/>
  <c r="Z40" i="2"/>
  <c r="Z28" i="2"/>
  <c r="AB37" i="2"/>
  <c r="O2" i="2"/>
  <c r="O15" i="2"/>
  <c r="O4" i="2"/>
  <c r="AC25" i="2"/>
  <c r="Y31" i="2"/>
  <c r="Z45" i="2"/>
  <c r="H14" i="1"/>
  <c r="G14" i="1"/>
  <c r="Z48" i="2"/>
  <c r="AA48" i="2"/>
  <c r="H14" i="2"/>
  <c r="K14" i="2"/>
  <c r="J14" i="2"/>
  <c r="I14" i="2"/>
  <c r="M14" i="2"/>
  <c r="O14" i="2"/>
  <c r="L14" i="2"/>
  <c r="N14" i="2"/>
  <c r="AB49" i="2"/>
  <c r="AB25" i="2"/>
  <c r="AA47" i="2"/>
  <c r="AC49" i="2"/>
  <c r="W39" i="2"/>
  <c r="N15" i="2"/>
  <c r="AC28" i="2"/>
  <c r="M19" i="3"/>
  <c r="Q19" i="3"/>
  <c r="M14" i="3"/>
  <c r="L14" i="3"/>
  <c r="H14" i="3"/>
  <c r="S14" i="3"/>
  <c r="R14" i="3"/>
  <c r="N14" i="3"/>
  <c r="K14" i="3"/>
  <c r="P14" i="3"/>
  <c r="O14" i="3"/>
  <c r="J14" i="3"/>
  <c r="Q14" i="3"/>
  <c r="I14" i="3"/>
  <c r="U46" i="1"/>
  <c r="AC37" i="2"/>
  <c r="AA39" i="2"/>
  <c r="Y25" i="2"/>
  <c r="AC45" i="2"/>
  <c r="N5" i="2"/>
  <c r="N8" i="3"/>
  <c r="U49" i="1"/>
  <c r="Z30" i="2"/>
  <c r="AB46" i="2"/>
  <c r="G16" i="1"/>
  <c r="G5" i="1"/>
  <c r="O8" i="3"/>
  <c r="O19" i="3"/>
  <c r="V41" i="1"/>
  <c r="Z35" i="2"/>
  <c r="Q8" i="3"/>
  <c r="U47" i="1"/>
  <c r="AB30" i="2"/>
  <c r="Z26" i="2"/>
  <c r="M5" i="2" s="1"/>
  <c r="AA35" i="2"/>
  <c r="K15" i="2"/>
  <c r="V37" i="1"/>
  <c r="U37" i="1"/>
  <c r="H16" i="1" s="1"/>
  <c r="Z43" i="2"/>
  <c r="L15" i="2"/>
  <c r="L4" i="2"/>
  <c r="AA26" i="2"/>
  <c r="N16" i="2" s="1"/>
  <c r="AB35" i="2"/>
  <c r="P47" i="2" a="1"/>
  <c r="P47" i="2" s="1"/>
  <c r="P49" i="2" a="1"/>
  <c r="P49" i="2" s="1"/>
  <c r="P45" i="2" a="1"/>
  <c r="P45" i="2" s="1"/>
  <c r="P42" i="2" a="1"/>
  <c r="P42" i="2" s="1"/>
  <c r="P29" i="2" a="1"/>
  <c r="P29" i="2" s="1"/>
  <c r="P37" i="2" a="1"/>
  <c r="P37" i="2" s="1"/>
  <c r="P41" i="2" a="1"/>
  <c r="P41" i="2" s="1"/>
  <c r="P26" i="2" a="1"/>
  <c r="P26" i="2" s="1"/>
  <c r="AC26" i="2" s="1"/>
  <c r="P39" i="2" a="1"/>
  <c r="P39" i="2" s="1"/>
  <c r="AC39" i="2" s="1"/>
  <c r="P32" i="2" a="1"/>
  <c r="P32" i="2" s="1"/>
  <c r="P35" i="2" a="1"/>
  <c r="P35" i="2" s="1"/>
  <c r="P27" i="2" a="1"/>
  <c r="P27" i="2" s="1"/>
  <c r="P38" i="2" a="1"/>
  <c r="P38" i="2" s="1"/>
  <c r="P33" i="2" a="1"/>
  <c r="P33" i="2" s="1"/>
  <c r="AC33" i="2" s="1"/>
  <c r="P36" i="2" a="1"/>
  <c r="P36" i="2" s="1"/>
  <c r="P48" i="2" a="1"/>
  <c r="P48" i="2" s="1"/>
  <c r="P44" i="2" a="1"/>
  <c r="P44" i="2" s="1"/>
  <c r="P13" i="2" s="1"/>
  <c r="P43" i="2" a="1"/>
  <c r="P43" i="2" s="1"/>
  <c r="Q23" i="2"/>
  <c r="P30" i="2" a="1"/>
  <c r="P30" i="2" s="1"/>
  <c r="P31" i="2" a="1"/>
  <c r="P31" i="2" s="1"/>
  <c r="P46" i="2" a="1"/>
  <c r="P46" i="2" s="1"/>
  <c r="P40" i="2" a="1"/>
  <c r="P40" i="2" s="1"/>
  <c r="AC40" i="2" s="1"/>
  <c r="P25" i="2" a="1"/>
  <c r="P25" i="2" s="1"/>
  <c r="P28" i="2" a="1"/>
  <c r="P28" i="2" s="1"/>
  <c r="P34" i="2" a="1"/>
  <c r="P34" i="2" s="1"/>
  <c r="AC34" i="2" s="1"/>
  <c r="H15" i="1"/>
  <c r="H4" i="1"/>
  <c r="H2" i="1"/>
  <c r="AC46" i="2"/>
  <c r="AB42" i="2"/>
  <c r="AB34" i="2"/>
  <c r="Z34" i="2"/>
  <c r="Z33" i="2"/>
  <c r="W33" i="2"/>
  <c r="AB47" i="2"/>
  <c r="P3" i="3"/>
  <c r="O3" i="3"/>
  <c r="R3" i="3"/>
  <c r="Q3" i="3"/>
  <c r="N3" i="3"/>
  <c r="S3" i="3"/>
  <c r="J3" i="3"/>
  <c r="I3" i="3"/>
  <c r="H3" i="3"/>
  <c r="L3" i="3"/>
  <c r="M3" i="3"/>
  <c r="K3" i="3"/>
  <c r="X33" i="2"/>
  <c r="AA34" i="2"/>
  <c r="AB26" i="2"/>
  <c r="Z46" i="2"/>
  <c r="H5" i="2"/>
  <c r="H16" i="2"/>
  <c r="M4" i="2"/>
  <c r="G3" i="1"/>
  <c r="AC35" i="2"/>
  <c r="Z39" i="2"/>
  <c r="Y39" i="2"/>
  <c r="AB39" i="2"/>
  <c r="X39" i="2"/>
  <c r="U28" i="1"/>
  <c r="H5" i="1" s="1"/>
  <c r="AA32" i="2"/>
  <c r="Y32" i="2"/>
  <c r="X32" i="2"/>
  <c r="K16" i="2" s="1"/>
  <c r="V32" i="2"/>
  <c r="I16" i="2" s="1"/>
  <c r="W32" i="2"/>
  <c r="J16" i="2" s="1"/>
  <c r="AC32" i="2"/>
  <c r="AB32" i="2"/>
  <c r="AA33" i="2"/>
  <c r="Y33" i="2"/>
  <c r="I45" i="1" a="1"/>
  <c r="I45" i="1" s="1"/>
  <c r="I42" i="1" a="1"/>
  <c r="I42" i="1" s="1"/>
  <c r="I46" i="1" a="1"/>
  <c r="I46" i="1" s="1"/>
  <c r="I38" i="1" a="1"/>
  <c r="I38" i="1" s="1"/>
  <c r="I25" i="1" a="1"/>
  <c r="I25" i="1" s="1"/>
  <c r="I49" i="1" a="1"/>
  <c r="I49" i="1" s="1"/>
  <c r="I32" i="1" a="1"/>
  <c r="I32" i="1" s="1"/>
  <c r="I40" i="1" a="1"/>
  <c r="I40" i="1" s="1"/>
  <c r="I28" i="1" a="1"/>
  <c r="I28" i="1" s="1"/>
  <c r="I30" i="1" a="1"/>
  <c r="I30" i="1" s="1"/>
  <c r="I31" i="1" a="1"/>
  <c r="I31" i="1" s="1"/>
  <c r="I37" i="1" a="1"/>
  <c r="I37" i="1" s="1"/>
  <c r="I34" i="1" a="1"/>
  <c r="I34" i="1" s="1"/>
  <c r="I33" i="1" a="1"/>
  <c r="I33" i="1" s="1"/>
  <c r="I41" i="1" a="1"/>
  <c r="I41" i="1" s="1"/>
  <c r="I48" i="1" a="1"/>
  <c r="I48" i="1" s="1"/>
  <c r="I27" i="1" a="1"/>
  <c r="I27" i="1" s="1"/>
  <c r="J23" i="1"/>
  <c r="I39" i="1" a="1"/>
  <c r="I39" i="1" s="1"/>
  <c r="I36" i="1" a="1"/>
  <c r="I36" i="1" s="1"/>
  <c r="V36" i="1" s="1"/>
  <c r="I43" i="1" a="1"/>
  <c r="I43" i="1" s="1"/>
  <c r="I47" i="1" a="1"/>
  <c r="I47" i="1" s="1"/>
  <c r="I26" i="1" a="1"/>
  <c r="I26" i="1" s="1"/>
  <c r="I35" i="1" a="1"/>
  <c r="I35" i="1" s="1"/>
  <c r="I29" i="1" a="1"/>
  <c r="I29" i="1" s="1"/>
  <c r="I44" i="1" a="1"/>
  <c r="I44" i="1" s="1"/>
  <c r="AA46" i="2"/>
  <c r="AA45" i="2"/>
  <c r="M2" i="2"/>
  <c r="M3" i="2"/>
  <c r="L3" i="2"/>
  <c r="J3" i="2"/>
  <c r="I3" i="2"/>
  <c r="H3" i="2"/>
  <c r="K3" i="2"/>
  <c r="O3" i="2"/>
  <c r="U31" i="1"/>
  <c r="V31" i="1"/>
  <c r="J19" i="3"/>
  <c r="K19" i="3"/>
  <c r="P19" i="3"/>
  <c r="AC47" i="2"/>
  <c r="I15" i="2"/>
  <c r="AE3" i="9" l="1"/>
  <c r="Z13" i="9"/>
  <c r="AC13" i="9" s="1"/>
  <c r="AD3" i="9"/>
  <c r="Z27" i="9"/>
  <c r="AE27" i="9" s="1"/>
  <c r="AE17" i="9"/>
  <c r="AC3" i="9"/>
  <c r="AD13" i="9"/>
  <c r="AC17" i="9"/>
  <c r="S13" i="9"/>
  <c r="T13" i="9"/>
  <c r="T27" i="9"/>
  <c r="S27" i="9"/>
  <c r="AD30" i="2"/>
  <c r="V45" i="1"/>
  <c r="W44" i="1"/>
  <c r="I13" i="1"/>
  <c r="V44" i="1"/>
  <c r="V29" i="1"/>
  <c r="I15" i="1"/>
  <c r="I4" i="1"/>
  <c r="I2" i="1"/>
  <c r="V25" i="1"/>
  <c r="Q48" i="2" a="1"/>
  <c r="Q48" i="2" s="1"/>
  <c r="Q37" i="2" a="1"/>
  <c r="Q37" i="2" s="1"/>
  <c r="Q30" i="2" a="1"/>
  <c r="Q30" i="2" s="1"/>
  <c r="Q45" i="2" a="1"/>
  <c r="Q45" i="2" s="1"/>
  <c r="AD45" i="2" s="1"/>
  <c r="Q44" i="2" a="1"/>
  <c r="Q44" i="2" s="1"/>
  <c r="Q27" i="2" a="1"/>
  <c r="Q27" i="2" s="1"/>
  <c r="AD27" i="2" s="1"/>
  <c r="Q42" i="2" a="1"/>
  <c r="Q42" i="2" s="1"/>
  <c r="AD42" i="2" s="1"/>
  <c r="Q46" i="2" a="1"/>
  <c r="Q46" i="2" s="1"/>
  <c r="Q34" i="2" a="1"/>
  <c r="Q34" i="2" s="1"/>
  <c r="Q47" i="2" a="1"/>
  <c r="Q47" i="2" s="1"/>
  <c r="AD47" i="2" s="1"/>
  <c r="Q32" i="2" a="1"/>
  <c r="Q32" i="2" s="1"/>
  <c r="Q28" i="2" a="1"/>
  <c r="Q28" i="2" s="1"/>
  <c r="AD28" i="2" s="1"/>
  <c r="Q31" i="2" a="1"/>
  <c r="Q31" i="2" s="1"/>
  <c r="Q43" i="2" a="1"/>
  <c r="Q43" i="2" s="1"/>
  <c r="Q33" i="2" a="1"/>
  <c r="Q33" i="2" s="1"/>
  <c r="R23" i="2"/>
  <c r="Q26" i="2" a="1"/>
  <c r="Q26" i="2" s="1"/>
  <c r="AD26" i="2" s="1"/>
  <c r="Q29" i="2" a="1"/>
  <c r="Q29" i="2" s="1"/>
  <c r="Q25" i="2" a="1"/>
  <c r="Q25" i="2" s="1"/>
  <c r="Q39" i="2" a="1"/>
  <c r="Q39" i="2" s="1"/>
  <c r="Q49" i="2" a="1"/>
  <c r="Q49" i="2" s="1"/>
  <c r="Q36" i="2" a="1"/>
  <c r="Q36" i="2" s="1"/>
  <c r="AD36" i="2" s="1"/>
  <c r="Q41" i="2" a="1"/>
  <c r="Q41" i="2" s="1"/>
  <c r="Q38" i="2" a="1"/>
  <c r="Q38" i="2" s="1"/>
  <c r="Q35" i="2" a="1"/>
  <c r="Q35" i="2" s="1"/>
  <c r="Q40" i="2" a="1"/>
  <c r="Q40" i="2" s="1"/>
  <c r="O16" i="2"/>
  <c r="O5" i="2"/>
  <c r="AD33" i="2"/>
  <c r="AC38" i="2"/>
  <c r="V42" i="1"/>
  <c r="J46" i="1" a="1"/>
  <c r="J46" i="1" s="1"/>
  <c r="J49" i="1" a="1"/>
  <c r="J49" i="1" s="1"/>
  <c r="J32" i="1" a="1"/>
  <c r="J32" i="1" s="1"/>
  <c r="J26" i="1" a="1"/>
  <c r="J26" i="1" s="1"/>
  <c r="J42" i="1" a="1"/>
  <c r="J42" i="1" s="1"/>
  <c r="J47" i="1" a="1"/>
  <c r="J47" i="1" s="1"/>
  <c r="W47" i="1" s="1"/>
  <c r="J44" i="1" a="1"/>
  <c r="J44" i="1" s="1"/>
  <c r="J13" i="1" s="1"/>
  <c r="J39" i="1" a="1"/>
  <c r="J39" i="1" s="1"/>
  <c r="J25" i="1" a="1"/>
  <c r="J25" i="1" s="1"/>
  <c r="J27" i="1" a="1"/>
  <c r="J27" i="1" s="1"/>
  <c r="J34" i="1" a="1"/>
  <c r="J34" i="1" s="1"/>
  <c r="J37" i="1" a="1"/>
  <c r="J37" i="1" s="1"/>
  <c r="J48" i="1" a="1"/>
  <c r="J48" i="1" s="1"/>
  <c r="J30" i="1" a="1"/>
  <c r="J30" i="1" s="1"/>
  <c r="J40" i="1" a="1"/>
  <c r="J40" i="1" s="1"/>
  <c r="J41" i="1" a="1"/>
  <c r="J41" i="1" s="1"/>
  <c r="J33" i="1" a="1"/>
  <c r="J33" i="1" s="1"/>
  <c r="J36" i="1" a="1"/>
  <c r="J36" i="1" s="1"/>
  <c r="K23" i="1"/>
  <c r="J45" i="1" a="1"/>
  <c r="J45" i="1" s="1"/>
  <c r="W45" i="1" s="1"/>
  <c r="J28" i="1" a="1"/>
  <c r="J28" i="1" s="1"/>
  <c r="J43" i="1" a="1"/>
  <c r="J43" i="1" s="1"/>
  <c r="J31" i="1" a="1"/>
  <c r="J31" i="1" s="1"/>
  <c r="J29" i="1" a="1"/>
  <c r="J29" i="1" s="1"/>
  <c r="J35" i="1" a="1"/>
  <c r="J35" i="1" s="1"/>
  <c r="J38" i="1" a="1"/>
  <c r="J38" i="1" s="1"/>
  <c r="AC27" i="2"/>
  <c r="P16" i="2" s="1"/>
  <c r="W49" i="1"/>
  <c r="V27" i="1"/>
  <c r="W27" i="1"/>
  <c r="M16" i="2"/>
  <c r="AC48" i="2"/>
  <c r="AD48" i="2"/>
  <c r="I3" i="1"/>
  <c r="AC41" i="2"/>
  <c r="V49" i="1"/>
  <c r="K5" i="2"/>
  <c r="AC42" i="2"/>
  <c r="W33" i="1"/>
  <c r="V33" i="1"/>
  <c r="V34" i="1"/>
  <c r="H3" i="1"/>
  <c r="AD29" i="2"/>
  <c r="AC29" i="2"/>
  <c r="AC30" i="2"/>
  <c r="P14" i="2"/>
  <c r="V35" i="1"/>
  <c r="V38" i="1"/>
  <c r="V26" i="1"/>
  <c r="W26" i="1"/>
  <c r="V39" i="1"/>
  <c r="P15" i="2"/>
  <c r="P4" i="2"/>
  <c r="P2" i="2"/>
  <c r="P3" i="2" s="1"/>
  <c r="AD43" i="2"/>
  <c r="V48" i="1"/>
  <c r="J5" i="2"/>
  <c r="V43" i="1"/>
  <c r="AC44" i="2"/>
  <c r="V46" i="1"/>
  <c r="AD39" i="2"/>
  <c r="V30" i="1"/>
  <c r="V28" i="1"/>
  <c r="I5" i="2"/>
  <c r="V40" i="1"/>
  <c r="L5" i="2"/>
  <c r="L16" i="2"/>
  <c r="AC36" i="2"/>
  <c r="V47" i="1"/>
  <c r="AC43" i="2"/>
  <c r="W41" i="1"/>
  <c r="V32" i="1"/>
  <c r="W32" i="1"/>
  <c r="AD25" i="2"/>
  <c r="AE13" i="9" l="1"/>
  <c r="AD27" i="9"/>
  <c r="AC27" i="9"/>
  <c r="AE38" i="2"/>
  <c r="X46" i="1"/>
  <c r="W37" i="1"/>
  <c r="W46" i="1"/>
  <c r="J14" i="1"/>
  <c r="I14" i="1"/>
  <c r="AD35" i="2"/>
  <c r="Q16" i="2" s="1"/>
  <c r="AE35" i="2"/>
  <c r="W38" i="1"/>
  <c r="AE37" i="2"/>
  <c r="AD37" i="2"/>
  <c r="AD49" i="2"/>
  <c r="W31" i="1"/>
  <c r="W34" i="1"/>
  <c r="W29" i="1"/>
  <c r="Q15" i="2"/>
  <c r="Q2" i="2"/>
  <c r="Q4" i="2"/>
  <c r="AD32" i="2"/>
  <c r="J3" i="1"/>
  <c r="I5" i="1"/>
  <c r="I16" i="1"/>
  <c r="X44" i="1"/>
  <c r="AD34" i="2"/>
  <c r="W35" i="1"/>
  <c r="W30" i="1"/>
  <c r="AD41" i="2"/>
  <c r="K40" i="1" a="1"/>
  <c r="K40" i="1" s="1"/>
  <c r="K26" i="1" a="1"/>
  <c r="K26" i="1" s="1"/>
  <c r="K43" i="1" a="1"/>
  <c r="K43" i="1" s="1"/>
  <c r="K33" i="1" a="1"/>
  <c r="K33" i="1" s="1"/>
  <c r="K39" i="1" a="1"/>
  <c r="K39" i="1" s="1"/>
  <c r="K36" i="1" a="1"/>
  <c r="K36" i="1" s="1"/>
  <c r="K44" i="1" a="1"/>
  <c r="K44" i="1" s="1"/>
  <c r="K37" i="1" a="1"/>
  <c r="K37" i="1" s="1"/>
  <c r="L23" i="1"/>
  <c r="K29" i="1" a="1"/>
  <c r="K29" i="1" s="1"/>
  <c r="K47" i="1" a="1"/>
  <c r="K47" i="1" s="1"/>
  <c r="K49" i="1" a="1"/>
  <c r="K49" i="1" s="1"/>
  <c r="K42" i="1" a="1"/>
  <c r="K42" i="1" s="1"/>
  <c r="K41" i="1" a="1"/>
  <c r="K41" i="1" s="1"/>
  <c r="K27" i="1" a="1"/>
  <c r="K27" i="1" s="1"/>
  <c r="K48" i="1" a="1"/>
  <c r="K48" i="1" s="1"/>
  <c r="X48" i="1" s="1"/>
  <c r="K30" i="1" a="1"/>
  <c r="K30" i="1" s="1"/>
  <c r="K45" i="1" a="1"/>
  <c r="K45" i="1" s="1"/>
  <c r="X45" i="1" s="1"/>
  <c r="K31" i="1" a="1"/>
  <c r="K31" i="1" s="1"/>
  <c r="K25" i="1" a="1"/>
  <c r="K25" i="1" s="1"/>
  <c r="K34" i="1" a="1"/>
  <c r="K34" i="1" s="1"/>
  <c r="K28" i="1" a="1"/>
  <c r="K28" i="1" s="1"/>
  <c r="K32" i="1" a="1"/>
  <c r="K32" i="1" s="1"/>
  <c r="K35" i="1" a="1"/>
  <c r="K35" i="1" s="1"/>
  <c r="K38" i="1" a="1"/>
  <c r="K38" i="1" s="1"/>
  <c r="K46" i="1" a="1"/>
  <c r="K46" i="1" s="1"/>
  <c r="AD38" i="2"/>
  <c r="R49" i="2" a="1"/>
  <c r="R49" i="2" s="1"/>
  <c r="AE49" i="2" s="1"/>
  <c r="R43" i="2" a="1"/>
  <c r="R43" i="2" s="1"/>
  <c r="R31" i="2" a="1"/>
  <c r="R31" i="2" s="1"/>
  <c r="R38" i="2" a="1"/>
  <c r="R38" i="2" s="1"/>
  <c r="R29" i="2" a="1"/>
  <c r="R29" i="2" s="1"/>
  <c r="R47" i="2" a="1"/>
  <c r="R47" i="2" s="1"/>
  <c r="AE47" i="2" s="1"/>
  <c r="R42" i="2" a="1"/>
  <c r="R42" i="2" s="1"/>
  <c r="AE42" i="2" s="1"/>
  <c r="R30" i="2" a="1"/>
  <c r="R30" i="2" s="1"/>
  <c r="AE30" i="2" s="1"/>
  <c r="R39" i="2" a="1"/>
  <c r="R39" i="2" s="1"/>
  <c r="R37" i="2" a="1"/>
  <c r="R37" i="2" s="1"/>
  <c r="R36" i="2" a="1"/>
  <c r="R36" i="2" s="1"/>
  <c r="AE36" i="2" s="1"/>
  <c r="R41" i="2" a="1"/>
  <c r="R41" i="2" s="1"/>
  <c r="AE41" i="2" s="1"/>
  <c r="R45" i="2" a="1"/>
  <c r="R45" i="2" s="1"/>
  <c r="R44" i="2" a="1"/>
  <c r="R44" i="2" s="1"/>
  <c r="S23" i="2"/>
  <c r="R32" i="2" a="1"/>
  <c r="R32" i="2" s="1"/>
  <c r="AE32" i="2" s="1"/>
  <c r="R27" i="2" a="1"/>
  <c r="R27" i="2" s="1"/>
  <c r="R48" i="2" a="1"/>
  <c r="R48" i="2" s="1"/>
  <c r="R40" i="2" a="1"/>
  <c r="R40" i="2" s="1"/>
  <c r="AE40" i="2" s="1"/>
  <c r="R34" i="2" a="1"/>
  <c r="R34" i="2" s="1"/>
  <c r="R28" i="2" a="1"/>
  <c r="R28" i="2" s="1"/>
  <c r="R33" i="2" a="1"/>
  <c r="R33" i="2" s="1"/>
  <c r="R25" i="2" a="1"/>
  <c r="R25" i="2" s="1"/>
  <c r="R46" i="2" a="1"/>
  <c r="R46" i="2" s="1"/>
  <c r="R20" i="2" s="1"/>
  <c r="R35" i="2" a="1"/>
  <c r="R35" i="2" s="1"/>
  <c r="R26" i="2" a="1"/>
  <c r="R26" i="2" s="1"/>
  <c r="J15" i="1"/>
  <c r="J4" i="1"/>
  <c r="J2" i="1"/>
  <c r="W39" i="1"/>
  <c r="W28" i="1"/>
  <c r="W42" i="1"/>
  <c r="W36" i="1"/>
  <c r="P5" i="2"/>
  <c r="W48" i="1"/>
  <c r="X40" i="1"/>
  <c r="Q13" i="2"/>
  <c r="AD44" i="2"/>
  <c r="X47" i="1"/>
  <c r="X30" i="1"/>
  <c r="W43" i="1"/>
  <c r="W25" i="1"/>
  <c r="AE46" i="2"/>
  <c r="R21" i="2" s="1"/>
  <c r="AD46" i="2"/>
  <c r="AD40" i="2"/>
  <c r="W40" i="1"/>
  <c r="AE45" i="2"/>
  <c r="AE29" i="2"/>
  <c r="X41" i="1"/>
  <c r="AE31" i="2"/>
  <c r="AD31" i="2"/>
  <c r="Q5" i="2" s="1"/>
  <c r="AC33" i="9" l="1"/>
  <c r="AD33" i="9"/>
  <c r="AE33" i="9"/>
  <c r="AF34" i="2"/>
  <c r="G11" i="6" s="1"/>
  <c r="Y36" i="1"/>
  <c r="R3" i="2"/>
  <c r="AE33" i="2"/>
  <c r="AF33" i="2"/>
  <c r="G10" i="6" s="1"/>
  <c r="AE48" i="2"/>
  <c r="AE27" i="2"/>
  <c r="AE28" i="2"/>
  <c r="K15" i="1"/>
  <c r="K4" i="1"/>
  <c r="K2" i="1"/>
  <c r="AF40" i="2"/>
  <c r="G17" i="6" s="1"/>
  <c r="K3" i="1"/>
  <c r="X34" i="1"/>
  <c r="X37" i="1"/>
  <c r="AE34" i="2"/>
  <c r="X26" i="1"/>
  <c r="AF39" i="2"/>
  <c r="G16" i="6" s="1"/>
  <c r="AE39" i="2"/>
  <c r="AF43" i="2"/>
  <c r="G20" i="6" s="1"/>
  <c r="AE43" i="2"/>
  <c r="R13" i="2"/>
  <c r="X27" i="1"/>
  <c r="L47" i="1" a="1"/>
  <c r="L47" i="1" s="1"/>
  <c r="L39" i="1" a="1"/>
  <c r="L39" i="1" s="1"/>
  <c r="Y39" i="1" s="1"/>
  <c r="L27" i="1" a="1"/>
  <c r="L27" i="1" s="1"/>
  <c r="L34" i="1" a="1"/>
  <c r="L34" i="1" s="1"/>
  <c r="L45" i="1" a="1"/>
  <c r="L45" i="1" s="1"/>
  <c r="L30" i="1" a="1"/>
  <c r="L30" i="1" s="1"/>
  <c r="L37" i="1" a="1"/>
  <c r="L37" i="1" s="1"/>
  <c r="L35" i="1" a="1"/>
  <c r="L35" i="1" s="1"/>
  <c r="L31" i="1" a="1"/>
  <c r="L31" i="1" s="1"/>
  <c r="L49" i="1" a="1"/>
  <c r="L49" i="1" s="1"/>
  <c r="L41" i="1" a="1"/>
  <c r="L41" i="1" s="1"/>
  <c r="L48" i="1" a="1"/>
  <c r="L48" i="1" s="1"/>
  <c r="Y48" i="1" s="1"/>
  <c r="L40" i="1" a="1"/>
  <c r="L40" i="1" s="1"/>
  <c r="L46" i="1" a="1"/>
  <c r="L46" i="1" s="1"/>
  <c r="L36" i="1" a="1"/>
  <c r="L36" i="1" s="1"/>
  <c r="L33" i="1" a="1"/>
  <c r="L33" i="1" s="1"/>
  <c r="L29" i="1" a="1"/>
  <c r="L29" i="1" s="1"/>
  <c r="L32" i="1" a="1"/>
  <c r="L32" i="1" s="1"/>
  <c r="L26" i="1" a="1"/>
  <c r="L26" i="1" s="1"/>
  <c r="L44" i="1" a="1"/>
  <c r="L44" i="1" s="1"/>
  <c r="L25" i="1" a="1"/>
  <c r="L25" i="1" s="1"/>
  <c r="L38" i="1" a="1"/>
  <c r="L38" i="1" s="1"/>
  <c r="Y38" i="1" s="1"/>
  <c r="L28" i="1" a="1"/>
  <c r="L28" i="1" s="1"/>
  <c r="L43" i="1" a="1"/>
  <c r="L43" i="1" s="1"/>
  <c r="M23" i="1"/>
  <c r="L42" i="1" a="1"/>
  <c r="L42" i="1" s="1"/>
  <c r="X38" i="1"/>
  <c r="X39" i="1"/>
  <c r="S38" i="2" a="1"/>
  <c r="S38" i="2" s="1"/>
  <c r="AF38" i="2" s="1"/>
  <c r="G15" i="6" s="1"/>
  <c r="S32" i="2" a="1"/>
  <c r="S32" i="2" s="1"/>
  <c r="AF32" i="2" s="1"/>
  <c r="G9" i="6" s="1"/>
  <c r="S48" i="2" a="1"/>
  <c r="S48" i="2" s="1"/>
  <c r="AF48" i="2" s="1"/>
  <c r="G25" i="6" s="1"/>
  <c r="S37" i="2" a="1"/>
  <c r="S37" i="2" s="1"/>
  <c r="AF37" i="2" s="1"/>
  <c r="G14" i="6" s="1"/>
  <c r="S35" i="2" a="1"/>
  <c r="S35" i="2" s="1"/>
  <c r="AF35" i="2" s="1"/>
  <c r="G12" i="6" s="1"/>
  <c r="S44" i="2" a="1"/>
  <c r="S44" i="2" s="1"/>
  <c r="S49" i="2" a="1"/>
  <c r="S49" i="2" s="1"/>
  <c r="AF49" i="2" s="1"/>
  <c r="G26" i="6" s="1"/>
  <c r="S25" i="2" a="1"/>
  <c r="S25" i="2" s="1"/>
  <c r="S43" i="2" a="1"/>
  <c r="S43" i="2" s="1"/>
  <c r="S28" i="2" a="1"/>
  <c r="S28" i="2" s="1"/>
  <c r="AF28" i="2" s="1"/>
  <c r="G5" i="6" s="1"/>
  <c r="S31" i="2" a="1"/>
  <c r="S31" i="2" s="1"/>
  <c r="AF31" i="2" s="1"/>
  <c r="G8" i="6" s="1"/>
  <c r="S42" i="2" a="1"/>
  <c r="S42" i="2" s="1"/>
  <c r="AF42" i="2" s="1"/>
  <c r="G19" i="6" s="1"/>
  <c r="S27" i="2" a="1"/>
  <c r="S27" i="2" s="1"/>
  <c r="AF27" i="2" s="1"/>
  <c r="G4" i="6" s="1"/>
  <c r="S41" i="2" a="1"/>
  <c r="S41" i="2" s="1"/>
  <c r="AF41" i="2" s="1"/>
  <c r="G18" i="6" s="1"/>
  <c r="S26" i="2" a="1"/>
  <c r="S26" i="2" s="1"/>
  <c r="S45" i="2" a="1"/>
  <c r="S45" i="2" s="1"/>
  <c r="AF45" i="2" s="1"/>
  <c r="G22" i="6" s="1"/>
  <c r="S46" i="2" a="1"/>
  <c r="S46" i="2" s="1"/>
  <c r="AF46" i="2" s="1"/>
  <c r="G23" i="6" s="1"/>
  <c r="S30" i="2" a="1"/>
  <c r="S30" i="2" s="1"/>
  <c r="AF30" i="2" s="1"/>
  <c r="G7" i="6" s="1"/>
  <c r="S40" i="2" a="1"/>
  <c r="S40" i="2" s="1"/>
  <c r="S36" i="2" a="1"/>
  <c r="S36" i="2" s="1"/>
  <c r="S34" i="2" a="1"/>
  <c r="S34" i="2" s="1"/>
  <c r="S29" i="2" a="1"/>
  <c r="S29" i="2" s="1"/>
  <c r="AF29" i="2" s="1"/>
  <c r="G6" i="6" s="1"/>
  <c r="S33" i="2" a="1"/>
  <c r="S33" i="2" s="1"/>
  <c r="S39" i="2" a="1"/>
  <c r="S39" i="2" s="1"/>
  <c r="S47" i="2" a="1"/>
  <c r="S47" i="2" s="1"/>
  <c r="AF47" i="2" s="1"/>
  <c r="G24" i="6" s="1"/>
  <c r="Y45" i="1"/>
  <c r="X35" i="1"/>
  <c r="Y34" i="1"/>
  <c r="Q3" i="2"/>
  <c r="AF26" i="2"/>
  <c r="G3" i="6" s="1"/>
  <c r="AE26" i="2"/>
  <c r="X42" i="1"/>
  <c r="X28" i="1"/>
  <c r="Y37" i="1"/>
  <c r="Y41" i="1"/>
  <c r="X25" i="1"/>
  <c r="K13" i="1"/>
  <c r="X36" i="1"/>
  <c r="X33" i="1"/>
  <c r="Y33" i="1"/>
  <c r="X32" i="1"/>
  <c r="Y32" i="1"/>
  <c r="AF36" i="2"/>
  <c r="G13" i="6" s="1"/>
  <c r="J5" i="1"/>
  <c r="J16" i="1"/>
  <c r="X43" i="1"/>
  <c r="Y43" i="1"/>
  <c r="AE44" i="2"/>
  <c r="X31" i="1"/>
  <c r="Q14" i="2"/>
  <c r="Y27" i="1"/>
  <c r="R4" i="2"/>
  <c r="R2" i="2"/>
  <c r="R15" i="2"/>
  <c r="AE25" i="2"/>
  <c r="X29" i="1"/>
  <c r="X49" i="1"/>
  <c r="Y40" i="1" l="1"/>
  <c r="Z40" i="1"/>
  <c r="Y46" i="1"/>
  <c r="Y31" i="1"/>
  <c r="R14" i="2"/>
  <c r="L15" i="1"/>
  <c r="L4" i="1"/>
  <c r="L2" i="1"/>
  <c r="Z25" i="1"/>
  <c r="Y25" i="1"/>
  <c r="S4" i="2"/>
  <c r="S15" i="2"/>
  <c r="S2" i="2"/>
  <c r="S3" i="2" s="1"/>
  <c r="AF25" i="2"/>
  <c r="Y35" i="1"/>
  <c r="R16" i="2"/>
  <c r="R5" i="2"/>
  <c r="Z46" i="1"/>
  <c r="Z45" i="1"/>
  <c r="S20" i="2"/>
  <c r="S13" i="2"/>
  <c r="S14" i="2" s="1"/>
  <c r="AF44" i="2"/>
  <c r="Z27" i="1"/>
  <c r="L13" i="1"/>
  <c r="Y26" i="1"/>
  <c r="Y47" i="1"/>
  <c r="Z49" i="1"/>
  <c r="Y42" i="1"/>
  <c r="Y29" i="1"/>
  <c r="K14" i="1"/>
  <c r="M48" i="1" a="1"/>
  <c r="M48" i="1" s="1"/>
  <c r="Z48" i="1" s="1"/>
  <c r="M34" i="1" a="1"/>
  <c r="M34" i="1" s="1"/>
  <c r="M44" i="1" a="1"/>
  <c r="M44" i="1" s="1"/>
  <c r="M47" i="1" a="1"/>
  <c r="M47" i="1" s="1"/>
  <c r="M28" i="1" a="1"/>
  <c r="M28" i="1" s="1"/>
  <c r="M35" i="1" a="1"/>
  <c r="M35" i="1" s="1"/>
  <c r="M31" i="1" a="1"/>
  <c r="M31" i="1" s="1"/>
  <c r="N23" i="1"/>
  <c r="M39" i="1" a="1"/>
  <c r="M39" i="1" s="1"/>
  <c r="M46" i="1" a="1"/>
  <c r="M46" i="1" s="1"/>
  <c r="M25" i="1" a="1"/>
  <c r="M25" i="1" s="1"/>
  <c r="M41" i="1" a="1"/>
  <c r="M41" i="1" s="1"/>
  <c r="Z41" i="1" s="1"/>
  <c r="M30" i="1" a="1"/>
  <c r="M30" i="1" s="1"/>
  <c r="M27" i="1" a="1"/>
  <c r="M27" i="1" s="1"/>
  <c r="M36" i="1" a="1"/>
  <c r="M36" i="1" s="1"/>
  <c r="M40" i="1" a="1"/>
  <c r="M40" i="1" s="1"/>
  <c r="M33" i="1" a="1"/>
  <c r="M33" i="1" s="1"/>
  <c r="M45" i="1" a="1"/>
  <c r="M45" i="1" s="1"/>
  <c r="M49" i="1" a="1"/>
  <c r="M49" i="1" s="1"/>
  <c r="M32" i="1" a="1"/>
  <c r="M32" i="1" s="1"/>
  <c r="M42" i="1" a="1"/>
  <c r="M42" i="1" s="1"/>
  <c r="Z42" i="1" s="1"/>
  <c r="M29" i="1" a="1"/>
  <c r="M29" i="1" s="1"/>
  <c r="M43" i="1" a="1"/>
  <c r="M43" i="1" s="1"/>
  <c r="M37" i="1" a="1"/>
  <c r="M37" i="1" s="1"/>
  <c r="M26" i="1" a="1"/>
  <c r="M26" i="1" s="1"/>
  <c r="M38" i="1" a="1"/>
  <c r="M38" i="1" s="1"/>
  <c r="K5" i="1"/>
  <c r="K16" i="1"/>
  <c r="Z39" i="1"/>
  <c r="Y44" i="1"/>
  <c r="Y30" i="1"/>
  <c r="Y28" i="1"/>
  <c r="Y49" i="1"/>
  <c r="Z37" i="1" l="1"/>
  <c r="N42" i="1" a="1"/>
  <c r="N42" i="1" s="1"/>
  <c r="AA42" i="1" s="1"/>
  <c r="N47" i="1" a="1"/>
  <c r="N47" i="1" s="1"/>
  <c r="AA47" i="1" s="1"/>
  <c r="N28" i="1" a="1"/>
  <c r="N28" i="1" s="1"/>
  <c r="N40" i="1" a="1"/>
  <c r="N40" i="1" s="1"/>
  <c r="N35" i="1" a="1"/>
  <c r="N35" i="1" s="1"/>
  <c r="AA35" i="1" s="1"/>
  <c r="N39" i="1" a="1"/>
  <c r="N39" i="1" s="1"/>
  <c r="AA39" i="1" s="1"/>
  <c r="N49" i="1" a="1"/>
  <c r="N49" i="1" s="1"/>
  <c r="AA49" i="1" s="1"/>
  <c r="N41" i="1" a="1"/>
  <c r="N41" i="1" s="1"/>
  <c r="AA41" i="1" s="1"/>
  <c r="N43" i="1" a="1"/>
  <c r="N43" i="1" s="1"/>
  <c r="N46" i="1" a="1"/>
  <c r="N46" i="1" s="1"/>
  <c r="N32" i="1" a="1"/>
  <c r="N32" i="1" s="1"/>
  <c r="N27" i="1" a="1"/>
  <c r="N27" i="1" s="1"/>
  <c r="AA27" i="1" s="1"/>
  <c r="N36" i="1" a="1"/>
  <c r="N36" i="1" s="1"/>
  <c r="N33" i="1" a="1"/>
  <c r="N33" i="1" s="1"/>
  <c r="AA33" i="1" s="1"/>
  <c r="N26" i="1" a="1"/>
  <c r="N26" i="1" s="1"/>
  <c r="N45" i="1" a="1"/>
  <c r="N45" i="1" s="1"/>
  <c r="AA45" i="1" s="1"/>
  <c r="N44" i="1" a="1"/>
  <c r="N44" i="1" s="1"/>
  <c r="N38" i="1" a="1"/>
  <c r="N38" i="1" s="1"/>
  <c r="AA38" i="1" s="1"/>
  <c r="N30" i="1" a="1"/>
  <c r="N30" i="1" s="1"/>
  <c r="N34" i="1" a="1"/>
  <c r="N34" i="1" s="1"/>
  <c r="AA34" i="1" s="1"/>
  <c r="N25" i="1" a="1"/>
  <c r="N25" i="1" s="1"/>
  <c r="AA25" i="1" s="1"/>
  <c r="N29" i="1" a="1"/>
  <c r="N29" i="1" s="1"/>
  <c r="N37" i="1" a="1"/>
  <c r="N37" i="1" s="1"/>
  <c r="AA37" i="1" s="1"/>
  <c r="O23" i="1"/>
  <c r="N31" i="1" a="1"/>
  <c r="N31" i="1" s="1"/>
  <c r="AA31" i="1" s="1"/>
  <c r="N48" i="1" a="1"/>
  <c r="N48" i="1" s="1"/>
  <c r="AA48" i="1" s="1"/>
  <c r="G2" i="6"/>
  <c r="S16" i="2"/>
  <c r="S5" i="2"/>
  <c r="Z34" i="1"/>
  <c r="Z26" i="1"/>
  <c r="L3" i="1"/>
  <c r="Z28" i="1"/>
  <c r="S21" i="2"/>
  <c r="G21" i="6"/>
  <c r="Z31" i="1"/>
  <c r="Z33" i="1"/>
  <c r="M4" i="1"/>
  <c r="M15" i="1"/>
  <c r="M2" i="1"/>
  <c r="Z38" i="1"/>
  <c r="M13" i="1"/>
  <c r="Z44" i="1"/>
  <c r="M5" i="1" s="1"/>
  <c r="AA32" i="1"/>
  <c r="Z32" i="1"/>
  <c r="L5" i="1"/>
  <c r="L16" i="1"/>
  <c r="AA36" i="1"/>
  <c r="Z36" i="1"/>
  <c r="M16" i="1"/>
  <c r="AA30" i="1"/>
  <c r="Z30" i="1"/>
  <c r="Z35" i="1"/>
  <c r="Z47" i="1"/>
  <c r="L14" i="1"/>
  <c r="Z43" i="1"/>
  <c r="Z29" i="1"/>
  <c r="AA40" i="1" l="1"/>
  <c r="AA43" i="1"/>
  <c r="M3" i="1"/>
  <c r="AA26" i="1"/>
  <c r="N16" i="1" s="1"/>
  <c r="O49" i="1" a="1"/>
  <c r="O49" i="1" s="1"/>
  <c r="AB49" i="1" s="1"/>
  <c r="O29" i="1" a="1"/>
  <c r="O29" i="1" s="1"/>
  <c r="AB29" i="1" s="1"/>
  <c r="O36" i="1" a="1"/>
  <c r="O36" i="1" s="1"/>
  <c r="O32" i="1" a="1"/>
  <c r="O32" i="1" s="1"/>
  <c r="O41" i="1" a="1"/>
  <c r="O41" i="1" s="1"/>
  <c r="AB41" i="1" s="1"/>
  <c r="O46" i="1" a="1"/>
  <c r="O46" i="1" s="1"/>
  <c r="AB46" i="1" s="1"/>
  <c r="O27" i="1" a="1"/>
  <c r="O27" i="1" s="1"/>
  <c r="AB27" i="1" s="1"/>
  <c r="O33" i="1" a="1"/>
  <c r="O33" i="1" s="1"/>
  <c r="O26" i="1" a="1"/>
  <c r="O26" i="1" s="1"/>
  <c r="O39" i="1" a="1"/>
  <c r="O39" i="1" s="1"/>
  <c r="AB39" i="1" s="1"/>
  <c r="P23" i="1"/>
  <c r="O40" i="1" a="1"/>
  <c r="O40" i="1" s="1"/>
  <c r="AB40" i="1" s="1"/>
  <c r="O45" i="1" a="1"/>
  <c r="O45" i="1" s="1"/>
  <c r="AB45" i="1" s="1"/>
  <c r="O47" i="1" a="1"/>
  <c r="O47" i="1" s="1"/>
  <c r="AB47" i="1" s="1"/>
  <c r="O43" i="1" a="1"/>
  <c r="O43" i="1" s="1"/>
  <c r="AB43" i="1" s="1"/>
  <c r="O38" i="1" a="1"/>
  <c r="O38" i="1" s="1"/>
  <c r="AB38" i="1" s="1"/>
  <c r="O35" i="1" a="1"/>
  <c r="O35" i="1" s="1"/>
  <c r="AB35" i="1" s="1"/>
  <c r="O31" i="1" a="1"/>
  <c r="O31" i="1" s="1"/>
  <c r="AB31" i="1" s="1"/>
  <c r="O28" i="1" a="1"/>
  <c r="O28" i="1" s="1"/>
  <c r="AB28" i="1" s="1"/>
  <c r="O25" i="1" a="1"/>
  <c r="O25" i="1" s="1"/>
  <c r="O37" i="1" a="1"/>
  <c r="O37" i="1" s="1"/>
  <c r="AB37" i="1" s="1"/>
  <c r="O44" i="1" a="1"/>
  <c r="O44" i="1" s="1"/>
  <c r="O34" i="1" a="1"/>
  <c r="O34" i="1" s="1"/>
  <c r="AB34" i="1" s="1"/>
  <c r="O48" i="1" a="1"/>
  <c r="O48" i="1" s="1"/>
  <c r="AB48" i="1" s="1"/>
  <c r="O30" i="1" a="1"/>
  <c r="O30" i="1" s="1"/>
  <c r="O42" i="1" a="1"/>
  <c r="O42" i="1" s="1"/>
  <c r="AB42" i="1" s="1"/>
  <c r="N13" i="1"/>
  <c r="N14" i="1" s="1"/>
  <c r="AA44" i="1"/>
  <c r="AA28" i="1"/>
  <c r="N15" i="1"/>
  <c r="N4" i="1"/>
  <c r="N2" i="1"/>
  <c r="N3" i="1" s="1"/>
  <c r="AA29" i="1"/>
  <c r="AB30" i="1"/>
  <c r="M14" i="1"/>
  <c r="AA46" i="1"/>
  <c r="AB26" i="1" l="1"/>
  <c r="AC33" i="1"/>
  <c r="AB32" i="1"/>
  <c r="AB33" i="1"/>
  <c r="AC46" i="1"/>
  <c r="N5" i="1"/>
  <c r="AB36" i="1"/>
  <c r="P36" i="1" a="1"/>
  <c r="P36" i="1" s="1"/>
  <c r="AC36" i="1" s="1"/>
  <c r="P45" i="1" a="1"/>
  <c r="P45" i="1" s="1"/>
  <c r="AC45" i="1" s="1"/>
  <c r="P41" i="1" a="1"/>
  <c r="P41" i="1" s="1"/>
  <c r="AC41" i="1" s="1"/>
  <c r="P30" i="1" a="1"/>
  <c r="P30" i="1" s="1"/>
  <c r="AC30" i="1" s="1"/>
  <c r="P49" i="1" a="1"/>
  <c r="P49" i="1" s="1"/>
  <c r="AC49" i="1" s="1"/>
  <c r="P46" i="1" a="1"/>
  <c r="P46" i="1" s="1"/>
  <c r="P43" i="1" a="1"/>
  <c r="P43" i="1" s="1"/>
  <c r="AC43" i="1" s="1"/>
  <c r="P48" i="1" a="1"/>
  <c r="P48" i="1" s="1"/>
  <c r="AC48" i="1" s="1"/>
  <c r="P38" i="1" a="1"/>
  <c r="P38" i="1" s="1"/>
  <c r="AC38" i="1" s="1"/>
  <c r="P40" i="1" a="1"/>
  <c r="P40" i="1" s="1"/>
  <c r="AC40" i="1" s="1"/>
  <c r="P44" i="1" a="1"/>
  <c r="P44" i="1" s="1"/>
  <c r="P32" i="1" a="1"/>
  <c r="P32" i="1" s="1"/>
  <c r="AC32" i="1" s="1"/>
  <c r="P47" i="1" a="1"/>
  <c r="P47" i="1" s="1"/>
  <c r="AC47" i="1" s="1"/>
  <c r="P39" i="1" a="1"/>
  <c r="P39" i="1" s="1"/>
  <c r="AC39" i="1" s="1"/>
  <c r="P26" i="1" a="1"/>
  <c r="P26" i="1" s="1"/>
  <c r="AC26" i="1" s="1"/>
  <c r="P29" i="1" a="1"/>
  <c r="P29" i="1" s="1"/>
  <c r="AC29" i="1" s="1"/>
  <c r="Q23" i="1"/>
  <c r="P28" i="1" a="1"/>
  <c r="P28" i="1" s="1"/>
  <c r="AC28" i="1" s="1"/>
  <c r="P31" i="1" a="1"/>
  <c r="P31" i="1" s="1"/>
  <c r="AC31" i="1" s="1"/>
  <c r="P25" i="1" a="1"/>
  <c r="P25" i="1" s="1"/>
  <c r="P34" i="1" a="1"/>
  <c r="P34" i="1" s="1"/>
  <c r="AC34" i="1" s="1"/>
  <c r="P27" i="1" a="1"/>
  <c r="P27" i="1" s="1"/>
  <c r="AC27" i="1" s="1"/>
  <c r="P37" i="1" a="1"/>
  <c r="P37" i="1" s="1"/>
  <c r="AC37" i="1" s="1"/>
  <c r="P35" i="1" a="1"/>
  <c r="P35" i="1" s="1"/>
  <c r="AC35" i="1" s="1"/>
  <c r="P33" i="1" a="1"/>
  <c r="P33" i="1" s="1"/>
  <c r="P42" i="1" a="1"/>
  <c r="P42" i="1" s="1"/>
  <c r="AC42" i="1" s="1"/>
  <c r="O13" i="1"/>
  <c r="O14" i="1" s="1"/>
  <c r="AB44" i="1"/>
  <c r="O15" i="1"/>
  <c r="O4" i="1"/>
  <c r="O2" i="1"/>
  <c r="O3" i="1" s="1"/>
  <c r="AB25" i="1"/>
  <c r="O5" i="1" l="1"/>
  <c r="O16" i="1"/>
  <c r="P13" i="1"/>
  <c r="P14" i="1" s="1"/>
  <c r="P4" i="1"/>
  <c r="P2" i="1"/>
  <c r="P3" i="1" s="1"/>
  <c r="P15" i="1"/>
  <c r="AC25" i="1"/>
  <c r="Q44" i="1" a="1"/>
  <c r="Q44" i="1" s="1"/>
  <c r="Q45" i="1" a="1"/>
  <c r="Q45" i="1" s="1"/>
  <c r="AD45" i="1" s="1"/>
  <c r="Q41" i="1" a="1"/>
  <c r="Q41" i="1" s="1"/>
  <c r="AD41" i="1" s="1"/>
  <c r="Q30" i="1" a="1"/>
  <c r="Q30" i="1" s="1"/>
  <c r="AD30" i="1" s="1"/>
  <c r="Q48" i="1" a="1"/>
  <c r="Q48" i="1" s="1"/>
  <c r="AD48" i="1" s="1"/>
  <c r="Q37" i="1" a="1"/>
  <c r="Q37" i="1" s="1"/>
  <c r="AD37" i="1" s="1"/>
  <c r="Q43" i="1" a="1"/>
  <c r="Q43" i="1" s="1"/>
  <c r="AD43" i="1" s="1"/>
  <c r="Q39" i="1" a="1"/>
  <c r="Q39" i="1" s="1"/>
  <c r="AD39" i="1" s="1"/>
  <c r="Q28" i="1" a="1"/>
  <c r="Q28" i="1" s="1"/>
  <c r="AD28" i="1" s="1"/>
  <c r="Q47" i="1" a="1"/>
  <c r="Q47" i="1" s="1"/>
  <c r="AD47" i="1" s="1"/>
  <c r="Q36" i="1" a="1"/>
  <c r="Q36" i="1" s="1"/>
  <c r="AD36" i="1" s="1"/>
  <c r="Q29" i="1" a="1"/>
  <c r="Q29" i="1" s="1"/>
  <c r="AD29" i="1" s="1"/>
  <c r="Q35" i="1" a="1"/>
  <c r="Q35" i="1" s="1"/>
  <c r="AD35" i="1" s="1"/>
  <c r="Q26" i="1" a="1"/>
  <c r="Q26" i="1" s="1"/>
  <c r="AD26" i="1" s="1"/>
  <c r="Q46" i="1" a="1"/>
  <c r="Q46" i="1" s="1"/>
  <c r="AD46" i="1" s="1"/>
  <c r="R23" i="1"/>
  <c r="Q32" i="1" a="1"/>
  <c r="Q32" i="1" s="1"/>
  <c r="AD32" i="1" s="1"/>
  <c r="Q38" i="1" a="1"/>
  <c r="Q38" i="1" s="1"/>
  <c r="AD38" i="1" s="1"/>
  <c r="Q42" i="1" a="1"/>
  <c r="Q42" i="1" s="1"/>
  <c r="AD42" i="1" s="1"/>
  <c r="Q34" i="1" a="1"/>
  <c r="Q34" i="1" s="1"/>
  <c r="AD34" i="1" s="1"/>
  <c r="Q40" i="1" a="1"/>
  <c r="Q40" i="1" s="1"/>
  <c r="AD40" i="1" s="1"/>
  <c r="Q33" i="1" a="1"/>
  <c r="Q33" i="1" s="1"/>
  <c r="AD33" i="1" s="1"/>
  <c r="Q49" i="1" a="1"/>
  <c r="Q49" i="1" s="1"/>
  <c r="AD49" i="1" s="1"/>
  <c r="Q27" i="1" a="1"/>
  <c r="Q27" i="1" s="1"/>
  <c r="AD27" i="1" s="1"/>
  <c r="Q31" i="1" a="1"/>
  <c r="Q31" i="1" s="1"/>
  <c r="Q25" i="1" a="1"/>
  <c r="Q25" i="1" s="1"/>
  <c r="AC44" i="1"/>
  <c r="Q15" i="1" l="1"/>
  <c r="Q4" i="1"/>
  <c r="Q2" i="1"/>
  <c r="Q3" i="1" s="1"/>
  <c r="AD25" i="1"/>
  <c r="P16" i="1"/>
  <c r="P5" i="1"/>
  <c r="R38" i="1" a="1"/>
  <c r="R38" i="1" s="1"/>
  <c r="AE38" i="1" s="1"/>
  <c r="F15" i="6" s="1"/>
  <c r="R31" i="1" a="1"/>
  <c r="R31" i="1" s="1"/>
  <c r="AE31" i="1" s="1"/>
  <c r="R34" i="1" a="1"/>
  <c r="R34" i="1" s="1"/>
  <c r="AE34" i="1" s="1"/>
  <c r="F11" i="6" s="1"/>
  <c r="R32" i="1" a="1"/>
  <c r="R32" i="1" s="1"/>
  <c r="AE32" i="1" s="1"/>
  <c r="F9" i="6" s="1"/>
  <c r="R40" i="1" a="1"/>
  <c r="R40" i="1" s="1"/>
  <c r="AE40" i="1" s="1"/>
  <c r="F17" i="6" s="1"/>
  <c r="R46" i="1" a="1"/>
  <c r="R46" i="1" s="1"/>
  <c r="AE46" i="1" s="1"/>
  <c r="F23" i="6" s="1"/>
  <c r="R26" i="1" a="1"/>
  <c r="R26" i="1" s="1"/>
  <c r="AE26" i="1" s="1"/>
  <c r="F3" i="6" s="1"/>
  <c r="R25" i="1" a="1"/>
  <c r="R25" i="1" s="1"/>
  <c r="R45" i="1" a="1"/>
  <c r="R45" i="1" s="1"/>
  <c r="AE45" i="1" s="1"/>
  <c r="F22" i="6" s="1"/>
  <c r="R35" i="1" a="1"/>
  <c r="R35" i="1" s="1"/>
  <c r="AE35" i="1" s="1"/>
  <c r="F12" i="6" s="1"/>
  <c r="R39" i="1" a="1"/>
  <c r="R39" i="1" s="1"/>
  <c r="AE39" i="1" s="1"/>
  <c r="F16" i="6" s="1"/>
  <c r="R28" i="1" a="1"/>
  <c r="R28" i="1" s="1"/>
  <c r="AE28" i="1" s="1"/>
  <c r="F5" i="6" s="1"/>
  <c r="R29" i="1" a="1"/>
  <c r="R29" i="1" s="1"/>
  <c r="AE29" i="1" s="1"/>
  <c r="F6" i="6" s="1"/>
  <c r="R44" i="1" a="1"/>
  <c r="R44" i="1" s="1"/>
  <c r="R37" i="1" a="1"/>
  <c r="R37" i="1" s="1"/>
  <c r="AE37" i="1" s="1"/>
  <c r="F14" i="6" s="1"/>
  <c r="R47" i="1" a="1"/>
  <c r="R47" i="1" s="1"/>
  <c r="AE47" i="1" s="1"/>
  <c r="F24" i="6" s="1"/>
  <c r="R36" i="1" a="1"/>
  <c r="R36" i="1" s="1"/>
  <c r="AE36" i="1" s="1"/>
  <c r="F13" i="6" s="1"/>
  <c r="R41" i="1" a="1"/>
  <c r="R41" i="1" s="1"/>
  <c r="AE41" i="1" s="1"/>
  <c r="F18" i="6" s="1"/>
  <c r="R43" i="1" a="1"/>
  <c r="R43" i="1" s="1"/>
  <c r="AE43" i="1" s="1"/>
  <c r="F20" i="6" s="1"/>
  <c r="R49" i="1" a="1"/>
  <c r="R49" i="1" s="1"/>
  <c r="AE49" i="1" s="1"/>
  <c r="F26" i="6" s="1"/>
  <c r="R33" i="1" a="1"/>
  <c r="R33" i="1" s="1"/>
  <c r="AE33" i="1" s="1"/>
  <c r="F10" i="6" s="1"/>
  <c r="R30" i="1" a="1"/>
  <c r="R30" i="1" s="1"/>
  <c r="AE30" i="1" s="1"/>
  <c r="F7" i="6" s="1"/>
  <c r="R42" i="1" a="1"/>
  <c r="R42" i="1" s="1"/>
  <c r="AE42" i="1" s="1"/>
  <c r="F19" i="6" s="1"/>
  <c r="R27" i="1" a="1"/>
  <c r="R27" i="1" s="1"/>
  <c r="AE27" i="1" s="1"/>
  <c r="F4" i="6" s="1"/>
  <c r="R48" i="1" a="1"/>
  <c r="R48" i="1" s="1"/>
  <c r="AE48" i="1" s="1"/>
  <c r="F25" i="6" s="1"/>
  <c r="Q13" i="1"/>
  <c r="Q14" i="1" s="1"/>
  <c r="AD44" i="1"/>
  <c r="Q9" i="1"/>
  <c r="AD31" i="1"/>
  <c r="Q10" i="1" s="1"/>
  <c r="R13" i="1" l="1"/>
  <c r="R14" i="1" s="1"/>
  <c r="AE44" i="1"/>
  <c r="F21" i="6" s="1"/>
  <c r="R4" i="1"/>
  <c r="R2" i="1"/>
  <c r="R3" i="1" s="1"/>
  <c r="R15" i="1"/>
  <c r="AE25" i="1"/>
  <c r="Q5" i="1"/>
  <c r="Q16" i="1"/>
  <c r="F8" i="6"/>
  <c r="R10" i="1"/>
  <c r="F2" i="6" l="1"/>
  <c r="R16" i="1"/>
  <c r="R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tc={E87489DD-3D56-4D2B-AF65-70F44E48B0E2}</author>
    <author>tc={BB614550-DC72-4E20-9210-EE2B757BEC10}</author>
  </authors>
  <commentList>
    <comment ref="H31" authorId="0" shapeId="0" xr:uid="{E87489DD-3D56-4D2B-AF65-70F44E48B0E2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31" authorId="1" shapeId="0" xr:uid="{BB614550-DC72-4E20-9210-EE2B757BEC1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tc={93B586A3-F3C8-45C3-8969-70BFDC63C9AF}</author>
    <author>tc={8B78CF59-8F9A-4516-A218-A302C86D11FF}</author>
    <author>tc={12D73FB7-9EF5-4D6A-B1D2-BB3DAC17F97B}</author>
    <author>tc={245E6538-D61B-4B92-A068-517D0F84D96E}</author>
    <author>tc={6B7C3575-4303-4422-AE31-93BF1B75EAFB}</author>
  </authors>
  <commentList>
    <comment ref="H10" authorId="0" shapeId="0" xr:uid="{93B586A3-F3C8-45C3-8969-70BFDC63C9AF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from Aug-Dec</t>
      </text>
    </comment>
    <comment ref="J10" authorId="1" shapeId="0" xr:uid="{8B78CF59-8F9A-4516-A218-A302C86D11FF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2025</t>
      </text>
    </comment>
    <comment ref="K10" authorId="2" shapeId="0" xr:uid="{12D73FB7-9EF5-4D6A-B1D2-BB3DAC17F97B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2026</t>
      </text>
    </comment>
    <comment ref="H16" authorId="3" shapeId="0" xr:uid="{245E6538-D61B-4B92-A068-517D0F84D96E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16" authorId="4" shapeId="0" xr:uid="{6B7C3575-4303-4422-AE31-93BF1B75EAFB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tc={A2D29B01-0B89-421F-82C0-4C52457CF22E}</author>
    <author>tc={83625152-F113-4A94-91AE-AD8686045B79}</author>
    <author>tc={1AD835A8-A436-4491-96CD-3AB828B50737}</author>
    <author>tc={E5C12C74-5C5E-40A2-9790-C850EB12F394}</author>
    <author>tc={0C6591F7-60A6-416C-819C-D79906E63637}</author>
  </authors>
  <commentList>
    <comment ref="H9" authorId="0" shapeId="0" xr:uid="{A2D29B01-0B89-421F-82C0-4C52457CF22E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from Aug-Dec</t>
      </text>
    </comment>
    <comment ref="J9" authorId="1" shapeId="0" xr:uid="{83625152-F113-4A94-91AE-AD8686045B79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2025</t>
      </text>
    </comment>
    <comment ref="K9" authorId="2" shapeId="0" xr:uid="{1AD835A8-A436-4491-96CD-3AB828B50737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Aug-Dec in 2026</t>
      </text>
    </comment>
    <comment ref="H15" authorId="3" shapeId="0" xr:uid="{E5C12C74-5C5E-40A2-9790-C850EB12F394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no. new doors to be won in 2026</t>
      </text>
    </comment>
    <comment ref="K15" authorId="4" shapeId="0" xr:uid="{0C6591F7-60A6-416C-819C-D79906E63637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sales from new doors won in in 2026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<sst xmlns="http://schemas.openxmlformats.org/spreadsheetml/2006/main" count="1197" uniqueCount="193">
  <si>
    <t>GBP</t>
  </si>
  <si>
    <t>Full Year</t>
  </si>
  <si>
    <t>Total sales</t>
  </si>
  <si>
    <t>25A</t>
  </si>
  <si>
    <t>25B</t>
  </si>
  <si>
    <t>25F vs 25B</t>
  </si>
  <si>
    <t>24A</t>
  </si>
  <si>
    <t>25F vs 24A</t>
  </si>
  <si>
    <t>26B</t>
  </si>
  <si>
    <t>26B vs 25F</t>
  </si>
  <si>
    <t>Spa</t>
  </si>
  <si>
    <t>Retail</t>
  </si>
  <si>
    <t>Global eTailer</t>
  </si>
  <si>
    <t>Total UK</t>
  </si>
  <si>
    <t>EUR</t>
  </si>
  <si>
    <t>Year to date</t>
  </si>
  <si>
    <t>Full year</t>
  </si>
  <si>
    <t>Customer Code</t>
  </si>
  <si>
    <t>Customer Name</t>
  </si>
  <si>
    <t>Country</t>
  </si>
  <si>
    <t>Region</t>
  </si>
  <si>
    <t>Customer Map</t>
  </si>
  <si>
    <t>New door year</t>
  </si>
  <si>
    <t>Active?</t>
  </si>
  <si>
    <t>2025 Cluster</t>
  </si>
  <si>
    <t>2025A</t>
  </si>
  <si>
    <t>2026B</t>
  </si>
  <si>
    <t>Size indicator</t>
  </si>
  <si>
    <t>Customer Growth Class</t>
  </si>
  <si>
    <t>2024 YTD</t>
  </si>
  <si>
    <t>2025 YTD</t>
  </si>
  <si>
    <t>2025B YTD</t>
  </si>
  <si>
    <t>25 vs 24 %</t>
  </si>
  <si>
    <t>25 vs 25B %</t>
  </si>
  <si>
    <t>2025B</t>
  </si>
  <si>
    <t>2025F</t>
  </si>
  <si>
    <t>26B vs 25F %</t>
  </si>
  <si>
    <t>The Connaught Hotel</t>
  </si>
  <si>
    <t>Four Seasons Hotel London</t>
  </si>
  <si>
    <t>hope street hotel; Liverpool</t>
  </si>
  <si>
    <t>Julia Knight; Sale</t>
  </si>
  <si>
    <t>RTL Limited; The Grove Hotel</t>
  </si>
  <si>
    <t>IzzyJ Aesthetics</t>
  </si>
  <si>
    <t>Oblique house of aesthetics; London</t>
  </si>
  <si>
    <t>Hilton Bankside; Ken Tui Management Ltd.; London</t>
  </si>
  <si>
    <t>Royal London House; Ken Tui Managem. Ltd</t>
  </si>
  <si>
    <t>Piccadilly Town House; Ken Tui Managem. Ltd</t>
  </si>
  <si>
    <t>Total Active Existing Doors</t>
  </si>
  <si>
    <t>M Alexander London</t>
  </si>
  <si>
    <t>The Goodwood Hotel, Chichester</t>
  </si>
  <si>
    <t>Guendalina The Skin Sculpter LTD</t>
  </si>
  <si>
    <t>Rachel Staggs Ltd.</t>
  </si>
  <si>
    <t>Louise Godsil; Tranquil Escape</t>
  </si>
  <si>
    <t>Ayadi Ltd.</t>
  </si>
  <si>
    <t>Artfarm Limited; The Fife Arms Braemar</t>
  </si>
  <si>
    <t>CHAPEL BEAUTY</t>
  </si>
  <si>
    <t>NKD25</t>
  </si>
  <si>
    <t>New doors 2025</t>
  </si>
  <si>
    <t>UK</t>
  </si>
  <si>
    <t>Total New Doors 2025</t>
  </si>
  <si>
    <t>NKD26</t>
  </si>
  <si>
    <t>New doors 2026</t>
  </si>
  <si>
    <t>Total New Doors 2026</t>
  </si>
  <si>
    <t>Liberty</t>
  </si>
  <si>
    <t>Harrods (UK) Ltd.</t>
  </si>
  <si>
    <t>John Bell &amp; Croyden, London</t>
  </si>
  <si>
    <t>The Hut.com Ltd; Poland</t>
  </si>
  <si>
    <t>The Hut.com Ltd; GB</t>
  </si>
  <si>
    <t>eTailers</t>
  </si>
  <si>
    <t>Mapping 2</t>
  </si>
  <si>
    <t>Mapping 3</t>
  </si>
  <si>
    <t>Active</t>
  </si>
  <si>
    <t>New door month</t>
  </si>
  <si>
    <t>2022 YTD</t>
  </si>
  <si>
    <t>2023 YTD</t>
  </si>
  <si>
    <t>25 vs 23 %</t>
  </si>
  <si>
    <t>25 vs 22 %</t>
  </si>
  <si>
    <t>25 vs 22 CAGR %</t>
  </si>
  <si>
    <t>25 vs 24 sales</t>
  </si>
  <si>
    <t>25 vs 23 sales</t>
  </si>
  <si>
    <t>25 vs 22 sales</t>
  </si>
  <si>
    <t>25 vs 25B sales</t>
  </si>
  <si>
    <t>BB</t>
  </si>
  <si>
    <t>Yes</t>
  </si>
  <si>
    <t>NKD24</t>
  </si>
  <si>
    <t>CC</t>
  </si>
  <si>
    <t>Pre-2022</t>
  </si>
  <si>
    <t>BC</t>
  </si>
  <si>
    <t>New customers 2025</t>
  </si>
  <si>
    <t>in month sales</t>
  </si>
  <si>
    <t>YTD sales</t>
  </si>
  <si>
    <t>ordering in month</t>
  </si>
  <si>
    <t>ordering YTD</t>
  </si>
  <si>
    <t>Active doors</t>
  </si>
  <si>
    <t>New doors in month</t>
  </si>
  <si>
    <t>New doors YTD</t>
  </si>
  <si>
    <t>New door sales in month</t>
  </si>
  <si>
    <t>New door sales YTD</t>
  </si>
  <si>
    <t>Mapping</t>
  </si>
  <si>
    <t>Active in PY?</t>
  </si>
  <si>
    <t>New in year</t>
  </si>
  <si>
    <t>No</t>
  </si>
  <si>
    <t>Net-A-Porter; London GB</t>
  </si>
  <si>
    <t>Net-A-Porter; Hong Kong</t>
  </si>
  <si>
    <t>DESCOMED GB, London (Personal BlueGem)</t>
  </si>
  <si>
    <t>Saintly Skin;Frederika Van Hagan</t>
  </si>
  <si>
    <t>Liliana Fernandes</t>
  </si>
  <si>
    <t>Virginie Alvarez</t>
  </si>
  <si>
    <t>Shopify UK</t>
  </si>
  <si>
    <t>Shopify ROW</t>
  </si>
  <si>
    <t>DESCOMED GB, London ( PR + Other )</t>
  </si>
  <si>
    <t>Net-A-Porter; Italy</t>
  </si>
  <si>
    <t>DESCOMED GB (Karen Reddy-Medeiros)</t>
  </si>
  <si>
    <t>UP PR; Olivia Wears-Harding</t>
  </si>
  <si>
    <t>Net-A-Porter; USA</t>
  </si>
  <si>
    <t>Liberty Press</t>
  </si>
  <si>
    <t>Other</t>
  </si>
  <si>
    <t>Spas / Hotels</t>
  </si>
  <si>
    <t>Institutes / Clinics</t>
  </si>
  <si>
    <t>New Customers - UK</t>
  </si>
  <si>
    <t>2024B</t>
  </si>
  <si>
    <t>2023F</t>
  </si>
  <si>
    <t>24B vs 23F</t>
  </si>
  <si>
    <t>2022A</t>
  </si>
  <si>
    <t>24B vs 22A</t>
  </si>
  <si>
    <t>Spa - 2023 doors</t>
  </si>
  <si>
    <t>N/A</t>
  </si>
  <si>
    <t>Spa - 2024 doors</t>
  </si>
  <si>
    <t>Total Spa</t>
  </si>
  <si>
    <t>Planned openings 2023</t>
  </si>
  <si>
    <t>Opening date</t>
  </si>
  <si>
    <t>Opening order value</t>
  </si>
  <si>
    <t>2024 Budget</t>
  </si>
  <si>
    <t>Four Seasons Trinity</t>
  </si>
  <si>
    <t>Connaught</t>
  </si>
  <si>
    <t>Hope Street Liverpool</t>
  </si>
  <si>
    <t>ADD NAMED LOCATIONS THAT ARE 95% CERTAIN TO COMPLETE IN 2023</t>
  </si>
  <si>
    <t>Total</t>
  </si>
  <si>
    <t>New doors 2024</t>
  </si>
  <si>
    <t>Sales</t>
  </si>
  <si>
    <t>Check</t>
  </si>
  <si>
    <t>Expected new doors 2024</t>
  </si>
  <si>
    <t>Phasing</t>
  </si>
  <si>
    <t>Input</t>
  </si>
  <si>
    <t>Opening orders</t>
  </si>
  <si>
    <t>Replen orders</t>
  </si>
  <si>
    <t>Average opening order</t>
  </si>
  <si>
    <t>Average replen order</t>
  </si>
  <si>
    <t>Potential doors:</t>
  </si>
  <si>
    <t>Four Season Park Lane</t>
  </si>
  <si>
    <t>The Savoy</t>
  </si>
  <si>
    <t>Fairmont St Andrews</t>
  </si>
  <si>
    <t>Foxill Spa</t>
  </si>
  <si>
    <t>David Lloyd Cheslea Harbour</t>
  </si>
  <si>
    <t>Café Royal</t>
  </si>
  <si>
    <t>Fairmont Carton House</t>
  </si>
  <si>
    <t>Pennyhill Park</t>
  </si>
  <si>
    <t>South Lodge Hotel</t>
  </si>
  <si>
    <t>Ockenden Manor</t>
  </si>
  <si>
    <t>Alexander House</t>
  </si>
  <si>
    <t>The Grove Hotel</t>
  </si>
  <si>
    <t>Sopwell House</t>
  </si>
  <si>
    <t>Limewood Hotel</t>
  </si>
  <si>
    <t>Chewton Glen</t>
  </si>
  <si>
    <t>Cliveden House</t>
  </si>
  <si>
    <t>Lygon Arms</t>
  </si>
  <si>
    <t>Kohler Water Spa</t>
  </si>
  <si>
    <t>The Retreat at Elcot Park</t>
  </si>
  <si>
    <t>The Langley</t>
  </si>
  <si>
    <t>Coworth Park</t>
  </si>
  <si>
    <t>Destination by Hyatt Schloss</t>
  </si>
  <si>
    <t>Grantly Hall Hotel</t>
  </si>
  <si>
    <t>Seaham Hall</t>
  </si>
  <si>
    <t>Armathwaite Hall</t>
  </si>
  <si>
    <t>Ragdale Hall</t>
  </si>
  <si>
    <t>Trump Turnberry</t>
  </si>
  <si>
    <t>The Langham</t>
  </si>
  <si>
    <t>Sofitel Terminal 5</t>
  </si>
  <si>
    <t>Wentworth Club</t>
  </si>
  <si>
    <t>Saunton Sands Hotel</t>
  </si>
  <si>
    <t>Sales 2022</t>
  </si>
  <si>
    <t>Sales 2023</t>
  </si>
  <si>
    <t>Sales 2024</t>
  </si>
  <si>
    <t>Retail / Dept Stores (incl. Perfumeries)</t>
  </si>
  <si>
    <t>Other EU</t>
  </si>
  <si>
    <t>Asia</t>
  </si>
  <si>
    <t>Other sales</t>
  </si>
  <si>
    <t>Own eCommerce</t>
  </si>
  <si>
    <t>RoW</t>
  </si>
  <si>
    <t>USA</t>
  </si>
  <si>
    <t>Grow</t>
  </si>
  <si>
    <t>Maintain</t>
  </si>
  <si>
    <t>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</si>
</sst>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-* #,##0_-;\-* #,##0_-;_-* &quot;-&quot;??_-;_-@_-"/>
    <numFmt numFmtId="166" formatCode="_-* #,##0_-;\-* #,##0_-;_-* &quot;-&quot;?_-;_-@_-"/>
    <numFmt numFmtId="167" formatCode="_-* #,##0.0_-;\-* #,##0.0_-;_-* &quot;-&quot;??_-;_-@_-"/>
    <numFmt numFmtId="168" formatCode="_-[$£-809]* #,##0_-;\-[$£-809]* #,##0_-;_-[$£-809]* &quot;-&quot;??_-;_-@_-"/>
    <numFmt numFmtId="169" formatCode="0.0%"/>
  </numFmts>
  <fonts count="10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charset val="238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59">
    <xf numFmtId="0" fontId="0" fillId="0" borderId="0" xfId="0"/>
    <xf numFmtId="0" fontId="5" fillId="0" borderId="0" xfId="0" applyFont="1"/>
    <xf numFmtId="17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0" fontId="6" fillId="2" borderId="0" xfId="0" applyFont="1" applyFill="1"/>
    <xf numFmtId="166" fontId="0" fillId="0" borderId="0" xfId="0" applyNumberFormat="1"/>
    <xf numFmtId="0" fontId="3" fillId="0" borderId="1" xfId="3" applyFont="1" applyBorder="1"/>
    <xf numFmtId="17" fontId="3" fillId="0" borderId="1" xfId="3" applyNumberFormat="1" applyFont="1" applyBorder="1" applyAlignment="1">
      <alignment wrapText="1"/>
    </xf>
    <xf numFmtId="0" fontId="1" fillId="0" borderId="0" xfId="3"/>
    <xf numFmtId="165" fontId="0" fillId="0" borderId="0" xfId="4" applyNumberFormat="1" applyFont="1"/>
    <xf numFmtId="9" fontId="0" fillId="0" borderId="0" xfId="5" applyFont="1" applyAlignment="1">
      <alignment horizontal="right"/>
    </xf>
    <xf numFmtId="167" fontId="0" fillId="0" borderId="0" xfId="4" applyNumberFormat="1" applyFont="1"/>
    <xf numFmtId="0" fontId="1" fillId="0" borderId="0" xfId="3" applyAlignment="1">
      <alignment horizontal="right"/>
    </xf>
    <xf numFmtId="165" fontId="1" fillId="0" borderId="0" xfId="3" applyNumberFormat="1"/>
    <xf numFmtId="0" fontId="3" fillId="0" borderId="2" xfId="3" applyFont="1" applyBorder="1"/>
    <xf numFmtId="165" fontId="3" fillId="0" borderId="2" xfId="4" applyNumberFormat="1" applyFont="1" applyBorder="1"/>
    <xf numFmtId="9" fontId="3" fillId="0" borderId="2" xfId="5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0" fontId="5" fillId="0" borderId="0" xfId="3" applyFont="1"/>
    <xf numFmtId="9" fontId="1" fillId="3" borderId="0" xfId="3" applyNumberFormat="1" applyFill="1"/>
    <xf numFmtId="0" fontId="1" fillId="0" borderId="0" xfId="3" applyAlignment="1">
      <alignment wrapText="1"/>
    </xf>
    <xf numFmtId="0" fontId="3" fillId="0" borderId="1" xfId="3" applyFont="1" applyBorder="1" applyAlignment="1">
      <alignment wrapText="1"/>
    </xf>
    <xf numFmtId="0" fontId="1" fillId="0" borderId="1" xfId="3" applyBorder="1" applyAlignment="1">
      <alignment wrapText="1"/>
    </xf>
    <xf numFmtId="17" fontId="1" fillId="3" borderId="0" xfId="3" applyNumberFormat="1" applyFill="1"/>
    <xf numFmtId="165" fontId="0" fillId="3" borderId="0" xfId="4" applyNumberFormat="1" applyFont="1" applyFill="1"/>
    <xf numFmtId="0" fontId="1" fillId="3" borderId="0" xfId="3" applyFill="1"/>
    <xf numFmtId="0" fontId="3" fillId="0" borderId="3" xfId="3" applyFont="1" applyBorder="1"/>
    <xf numFmtId="165" fontId="3" fillId="0" borderId="3" xfId="3" applyNumberFormat="1" applyFont="1" applyBorder="1"/>
    <xf numFmtId="0" fontId="1" fillId="0" borderId="3" xfId="3" applyBorder="1"/>
    <xf numFmtId="0" fontId="7" fillId="0" borderId="0" xfId="3" applyFont="1"/>
    <xf numFmtId="168" fontId="1" fillId="3" borderId="0" xfId="3" applyNumberFormat="1" applyFill="1"/>
    <xf numFmtId="0" fontId="8" fillId="0" borderId="0" xfId="3" applyFont="1"/>
    <xf numFmtId="0" fontId="3" fillId="0" borderId="1" xfId="0" applyFont="1" applyBorder="1" applyAlignment="1">
      <alignment wrapText="1"/>
    </xf>
    <xf numFmtId="0" fontId="3" fillId="4" borderId="1" xfId="3" applyFont="1" applyFill="1" applyBorder="1" applyAlignment="1">
      <alignment wrapText="1"/>
    </xf>
    <xf numFmtId="9" fontId="0" fillId="0" borderId="0" xfId="2" applyFont="1" applyAlignment="1">
      <alignment horizontal="right"/>
    </xf>
    <xf numFmtId="17" fontId="4" fillId="0" borderId="0" xfId="6" applyNumberFormat="1"/>
    <xf numFmtId="0" fontId="4" fillId="0" borderId="0" xfId="6"/>
    <xf numFmtId="0" fontId="3" fillId="0" borderId="1" xfId="3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4" borderId="0" xfId="0" applyFill="1"/>
    <xf numFmtId="9" fontId="0" fillId="0" borderId="0" xfId="2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9" fontId="3" fillId="0" borderId="2" xfId="2" applyFont="1" applyBorder="1"/>
    <xf numFmtId="165" fontId="3" fillId="0" borderId="2" xfId="4" applyNumberFormat="1" applyFont="1" applyFill="1" applyBorder="1"/>
    <xf numFmtId="165" fontId="0" fillId="4" borderId="0" xfId="4" applyNumberFormat="1" applyFont="1" applyFill="1"/>
    <xf numFmtId="0" fontId="0" fillId="0" borderId="0" xfId="0" applyAlignment="1">
      <alignment horizontal="right"/>
    </xf>
    <xf numFmtId="165" fontId="0" fillId="4" borderId="0" xfId="1" applyNumberFormat="1" applyFont="1" applyFill="1"/>
    <xf numFmtId="165" fontId="0" fillId="0" borderId="0" xfId="1" applyNumberFormat="1" applyFont="1" applyFill="1"/>
    <xf numFmtId="169" fontId="0" fillId="0" borderId="0" xfId="0" applyNumberFormat="1"/>
    <xf numFmtId="0" fontId="7" fillId="0" borderId="0" xfId="0" applyFont="1"/>
    <xf numFmtId="0" fontId="3" fillId="0" borderId="0" xfId="0" applyFont="1"/>
    <xf numFmtId="0" fontId="3" fillId="0" borderId="1" xfId="0" applyFont="1" applyBorder="1"/>
    <xf numFmtId="17" fontId="3" fillId="0" borderId="1" xfId="0" applyNumberFormat="1" applyFont="1" applyBorder="1"/>
    <xf numFmtId="165" fontId="0" fillId="0" borderId="0" xfId="1" applyNumberFormat="1" applyFont="1" applyAlignment="1">
      <alignment horizontal="right"/>
    </xf>
    <xf numFmtId="165" fontId="3" fillId="0" borderId="2" xfId="0" applyNumberFormat="1" applyFont="1" applyBorder="1"/>
    <xf numFmtId="9" fontId="3" fillId="0" borderId="2" xfId="2" applyFont="1" applyBorder="1" applyAlignment="1">
      <alignment horizontal="right"/>
    </xf>
    <xf numFmtId="0" fontId="3" fillId="0" borderId="0" xfId="0" applyFont="1" applyAlignment="1">
      <alignment horizontal="center"/>
    </xf>
  </cellXfs>
  <cellStyles count="7">
    <cellStyle name="Comma" xfId="1" builtinId="3"/>
    <cellStyle name="Comma 2" xfId="4" xr:uid="{384CD875-D2AB-464C-BD6C-FC2403606CD0}"/>
    <cellStyle name="Normal" xfId="0" builtinId="0"/>
    <cellStyle name="Normal 2" xfId="3" xr:uid="{E4826409-6166-4714-B487-CECDBE26EA69}"/>
    <cellStyle name="Normal 3" xfId="6" xr:uid="{89D76530-C360-4056-BF73-28B0270F7995}"/>
    <cellStyle name="Percent" xfId="2" builtinId="5"/>
    <cellStyle name="Percent 2" xfId="5" xr:uid="{5779A61A-9052-49F7-AE7A-70AF67E89637}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qmsmedicosmetics.sharepoint.com/sites/DATAANDREPORTING/Shared%20Documents/Sales%20Prep/2025.08.19%20Sales%20Prep%20UK%202025.xlsx" TargetMode="External"/><Relationship Id="rId1" Type="http://schemas.openxmlformats.org/officeDocument/2006/relationships/externalLinkPath" Target="/sites/DATAANDREPORTING/Shared%20Documents/Sales%20Prep/2025.08.19%20Sales%20Prep%20UK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qmsmedicosmetics.sharepoint.com/sites/DATAANDREPORTING/Shared%20Documents/KPIs/2025.07.07%20UK%20KPIs%20Jul25.xlsx" TargetMode="External"/><Relationship Id="rId1" Type="http://schemas.openxmlformats.org/officeDocument/2006/relationships/externalLinkPath" Target="/sites/DATAANDREPORTING/Shared%20Documents/KPIs/2025.07.07%20UK%20KPIs%20Jul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a"/>
      <sheetName val="Retail_eTail"/>
      <sheetName val="Summary"/>
      <sheetName val="Combined Budget"/>
      <sheetName val="INPUT"/>
      <sheetName val="Data &gt;&gt;"/>
      <sheetName val="Budget"/>
      <sheetName val="2024 by month for B"/>
      <sheetName val="2022"/>
      <sheetName val="2023"/>
      <sheetName val="2024"/>
      <sheetName val="2024 by item"/>
      <sheetName val="2025 by item"/>
      <sheetName val="2025 by month"/>
      <sheetName val="Mapping"/>
      <sheetName val="ITEM LIST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 t="str">
            <v>Customer Code</v>
          </cell>
          <cell r="B2" t="str">
            <v>Customer Name</v>
          </cell>
          <cell r="C2" t="str">
            <v>Country</v>
          </cell>
          <cell r="D2" t="str">
            <v>Mapping</v>
          </cell>
          <cell r="E2" t="str">
            <v>Mapping 2</v>
          </cell>
          <cell r="F2" t="str">
            <v>Sales 2022</v>
          </cell>
          <cell r="G2" t="str">
            <v>Sales 2023</v>
          </cell>
          <cell r="H2" t="str">
            <v>Sales 2024</v>
          </cell>
          <cell r="I2" t="str">
            <v>Month of NKD</v>
          </cell>
          <cell r="J2" t="str">
            <v>Year of NKD</v>
          </cell>
          <cell r="Q2" t="str">
            <v>Sales</v>
          </cell>
          <cell r="R2" t="str">
            <v>Sales Cluster</v>
          </cell>
          <cell r="S2" t="str">
            <v>% top SKUs purchased</v>
          </cell>
          <cell r="T2" t="str">
            <v>Product Cluster</v>
          </cell>
          <cell r="U2" t="str">
            <v>Total Cluster</v>
          </cell>
        </row>
        <row r="3">
          <cell r="A3">
            <v>51101</v>
          </cell>
          <cell r="B3" t="str">
            <v>Liberty</v>
          </cell>
          <cell r="C3" t="str">
            <v>UK</v>
          </cell>
          <cell r="D3" t="str">
            <v>Retail / Dept Stores (incl. Perfumeries)</v>
          </cell>
          <cell r="E3" t="str">
            <v>Retail</v>
          </cell>
          <cell r="F3">
            <v>170276.4</v>
          </cell>
          <cell r="G3">
            <v>108670.27999999998</v>
          </cell>
          <cell r="H3">
            <v>106390.93</v>
          </cell>
          <cell r="I3" t="str">
            <v>No</v>
          </cell>
          <cell r="Q3">
            <v>92178.43</v>
          </cell>
          <cell r="R3" t="str">
            <v>A</v>
          </cell>
          <cell r="S3">
            <v>1</v>
          </cell>
          <cell r="T3" t="str">
            <v>A</v>
          </cell>
          <cell r="U3" t="str">
            <v>AA</v>
          </cell>
        </row>
        <row r="4">
          <cell r="A4">
            <v>51172</v>
          </cell>
          <cell r="B4" t="str">
            <v>Harrods (UK) Ltd.</v>
          </cell>
          <cell r="C4" t="str">
            <v>UK</v>
          </cell>
          <cell r="D4" t="str">
            <v>Retail / Dept Stores (incl. Perfumeries)</v>
          </cell>
          <cell r="E4" t="str">
            <v>Retail</v>
          </cell>
          <cell r="F4">
            <v>25706.86</v>
          </cell>
          <cell r="G4">
            <v>24702.52</v>
          </cell>
          <cell r="H4">
            <v>39567.380000000005</v>
          </cell>
          <cell r="I4" t="str">
            <v>No</v>
          </cell>
          <cell r="Q4">
            <v>30693.34</v>
          </cell>
          <cell r="R4" t="str">
            <v>A</v>
          </cell>
          <cell r="S4">
            <v>0.8571428571428571</v>
          </cell>
          <cell r="T4" t="str">
            <v>A</v>
          </cell>
          <cell r="U4" t="str">
            <v>AA</v>
          </cell>
        </row>
        <row r="5">
          <cell r="A5">
            <v>51175</v>
          </cell>
          <cell r="B5" t="str">
            <v>The Hut.com Ltd; Poland</v>
          </cell>
          <cell r="C5" t="str">
            <v>Other EU</v>
          </cell>
          <cell r="D5" t="str">
            <v>eTailers</v>
          </cell>
          <cell r="E5" t="str">
            <v>eTailers</v>
          </cell>
          <cell r="F5">
            <v>11439.24</v>
          </cell>
          <cell r="G5">
            <v>45672.350000000006</v>
          </cell>
          <cell r="H5">
            <v>-6663.15</v>
          </cell>
          <cell r="I5" t="str">
            <v>No</v>
          </cell>
          <cell r="Q5">
            <v>-6663.15</v>
          </cell>
          <cell r="R5" t="str">
            <v>C</v>
          </cell>
          <cell r="S5">
            <v>0</v>
          </cell>
          <cell r="T5" t="str">
            <v>C</v>
          </cell>
          <cell r="U5" t="str">
            <v>CC</v>
          </cell>
        </row>
        <row r="6">
          <cell r="A6">
            <v>51176</v>
          </cell>
          <cell r="B6" t="str">
            <v>The Hut.com Ltd; GB</v>
          </cell>
          <cell r="C6" t="str">
            <v>UK</v>
          </cell>
          <cell r="D6" t="str">
            <v>eTailers</v>
          </cell>
          <cell r="E6" t="str">
            <v>eTailers</v>
          </cell>
          <cell r="F6">
            <v>12922.93</v>
          </cell>
          <cell r="G6">
            <v>31366.93</v>
          </cell>
          <cell r="H6">
            <v>15312.810000000001</v>
          </cell>
          <cell r="I6" t="str">
            <v>No</v>
          </cell>
          <cell r="Q6">
            <v>10325.1</v>
          </cell>
          <cell r="R6" t="str">
            <v>B</v>
          </cell>
          <cell r="S6">
            <v>0.35714285714285715</v>
          </cell>
          <cell r="T6" t="str">
            <v>C</v>
          </cell>
          <cell r="U6" t="str">
            <v>BC</v>
          </cell>
        </row>
        <row r="7">
          <cell r="A7">
            <v>51177</v>
          </cell>
          <cell r="B7" t="str">
            <v>Net-A-Porter; London GB</v>
          </cell>
          <cell r="C7" t="str">
            <v>UK</v>
          </cell>
          <cell r="D7" t="str">
            <v>eTailers</v>
          </cell>
          <cell r="E7" t="str">
            <v>eTailers</v>
          </cell>
          <cell r="F7">
            <v>11226</v>
          </cell>
          <cell r="G7">
            <v>6665.8499999999995</v>
          </cell>
          <cell r="H7">
            <v>0</v>
          </cell>
          <cell r="I7" t="str">
            <v>No</v>
          </cell>
          <cell r="Q7">
            <v>0</v>
          </cell>
          <cell r="R7" t="str">
            <v>C</v>
          </cell>
          <cell r="S7">
            <v>0</v>
          </cell>
          <cell r="T7" t="str">
            <v>C</v>
          </cell>
          <cell r="U7" t="str">
            <v>CC</v>
          </cell>
        </row>
        <row r="8">
          <cell r="A8">
            <v>51179</v>
          </cell>
          <cell r="B8" t="str">
            <v>Net-A-Porter; Hong Kong</v>
          </cell>
          <cell r="C8" t="str">
            <v>Asia</v>
          </cell>
          <cell r="D8" t="str">
            <v>eTailers</v>
          </cell>
          <cell r="E8" t="str">
            <v>eTailers</v>
          </cell>
          <cell r="F8">
            <v>2632.51</v>
          </cell>
          <cell r="G8">
            <v>3600.05</v>
          </cell>
          <cell r="H8">
            <v>0</v>
          </cell>
          <cell r="I8" t="str">
            <v>No</v>
          </cell>
          <cell r="Q8">
            <v>0</v>
          </cell>
          <cell r="R8" t="str">
            <v>C</v>
          </cell>
          <cell r="S8">
            <v>0</v>
          </cell>
          <cell r="T8" t="str">
            <v>C</v>
          </cell>
          <cell r="U8" t="str">
            <v>CC</v>
          </cell>
        </row>
        <row r="9">
          <cell r="A9">
            <v>51183</v>
          </cell>
          <cell r="B9" t="str">
            <v>John Bell &amp; Croyden, London</v>
          </cell>
          <cell r="C9" t="str">
            <v>UK</v>
          </cell>
          <cell r="D9" t="str">
            <v>Retail / Dept Stores (incl. Perfumeries)</v>
          </cell>
          <cell r="E9" t="str">
            <v>Retail</v>
          </cell>
          <cell r="F9">
            <v>5062.5600000000004</v>
          </cell>
          <cell r="G9">
            <v>3526.98</v>
          </cell>
          <cell r="H9">
            <v>1708.9499999999998</v>
          </cell>
          <cell r="I9" t="str">
            <v>No</v>
          </cell>
          <cell r="Q9">
            <v>1566.47</v>
          </cell>
          <cell r="R9" t="str">
            <v>C</v>
          </cell>
          <cell r="S9">
            <v>0.42857142857142855</v>
          </cell>
          <cell r="T9" t="str">
            <v>C</v>
          </cell>
          <cell r="U9" t="str">
            <v>CC</v>
          </cell>
        </row>
        <row r="10">
          <cell r="A10">
            <v>51206</v>
          </cell>
          <cell r="B10" t="str">
            <v>DESCOMED GB, London (Personal BlueGem)</v>
          </cell>
          <cell r="C10" t="str">
            <v>UK</v>
          </cell>
          <cell r="D10" t="str">
            <v>Other sales</v>
          </cell>
          <cell r="E10" t="str">
            <v>Other</v>
          </cell>
          <cell r="F10">
            <v>1418.9299999999998</v>
          </cell>
          <cell r="G10">
            <v>1604.2399999999998</v>
          </cell>
          <cell r="H10">
            <v>1410.41</v>
          </cell>
          <cell r="I10" t="str">
            <v>No</v>
          </cell>
          <cell r="Q10">
            <v>1410.41</v>
          </cell>
          <cell r="R10" t="str">
            <v>C</v>
          </cell>
          <cell r="S10">
            <v>0.7857142857142857</v>
          </cell>
          <cell r="T10" t="str">
            <v>A</v>
          </cell>
          <cell r="U10" t="str">
            <v>CA</v>
          </cell>
        </row>
        <row r="11">
          <cell r="A11">
            <v>53008</v>
          </cell>
          <cell r="B11" t="str">
            <v>Saintly Skin;Frederika Van Hagan</v>
          </cell>
          <cell r="C11" t="str">
            <v>UK</v>
          </cell>
          <cell r="D11" t="str">
            <v>Institutes / Clinics</v>
          </cell>
          <cell r="E11" t="str">
            <v>Other</v>
          </cell>
          <cell r="F11">
            <v>1491.06</v>
          </cell>
          <cell r="G11">
            <v>1871.08</v>
          </cell>
          <cell r="H11">
            <v>1066.8</v>
          </cell>
          <cell r="I11" t="str">
            <v>No</v>
          </cell>
          <cell r="Q11">
            <v>1066.8</v>
          </cell>
          <cell r="R11" t="str">
            <v>C</v>
          </cell>
          <cell r="S11">
            <v>0.35714285714285715</v>
          </cell>
          <cell r="T11" t="str">
            <v>C</v>
          </cell>
          <cell r="U11" t="str">
            <v>CC</v>
          </cell>
        </row>
        <row r="12">
          <cell r="A12">
            <v>53011</v>
          </cell>
          <cell r="B12" t="str">
            <v>Liliana Fernandes</v>
          </cell>
          <cell r="C12" t="str">
            <v>UK</v>
          </cell>
          <cell r="D12" t="str">
            <v>Institutes / Clinics</v>
          </cell>
          <cell r="E12" t="str">
            <v>Other</v>
          </cell>
          <cell r="F12">
            <v>0</v>
          </cell>
          <cell r="G12">
            <v>1341.82</v>
          </cell>
          <cell r="H12">
            <v>0</v>
          </cell>
          <cell r="I12" t="str">
            <v>No</v>
          </cell>
          <cell r="Q12">
            <v>0</v>
          </cell>
          <cell r="R12" t="str">
            <v>C</v>
          </cell>
          <cell r="S12">
            <v>0</v>
          </cell>
          <cell r="T12" t="str">
            <v>C</v>
          </cell>
          <cell r="U12" t="str">
            <v>CC</v>
          </cell>
        </row>
        <row r="13">
          <cell r="A13">
            <v>53012</v>
          </cell>
          <cell r="B13" t="str">
            <v>Virginie Alvarez</v>
          </cell>
          <cell r="C13" t="str">
            <v>UK</v>
          </cell>
          <cell r="D13" t="str">
            <v>Other sales</v>
          </cell>
          <cell r="E13" t="str">
            <v>Other</v>
          </cell>
          <cell r="F13">
            <v>0</v>
          </cell>
          <cell r="G13">
            <v>0</v>
          </cell>
          <cell r="H13">
            <v>0</v>
          </cell>
          <cell r="I13" t="str">
            <v>No</v>
          </cell>
          <cell r="Q13">
            <v>0</v>
          </cell>
          <cell r="R13" t="str">
            <v>C</v>
          </cell>
          <cell r="S13">
            <v>0</v>
          </cell>
          <cell r="T13" t="str">
            <v>C</v>
          </cell>
          <cell r="U13" t="str">
            <v>CC</v>
          </cell>
        </row>
        <row r="14">
          <cell r="A14">
            <v>59100</v>
          </cell>
          <cell r="B14" t="str">
            <v>Shopify UK</v>
          </cell>
          <cell r="C14" t="str">
            <v>UK</v>
          </cell>
          <cell r="D14" t="str">
            <v>Own eCommerce</v>
          </cell>
          <cell r="E14" t="str">
            <v>Other</v>
          </cell>
          <cell r="F14">
            <v>77357.320000000007</v>
          </cell>
          <cell r="G14">
            <v>65709.489999999991</v>
          </cell>
          <cell r="H14">
            <v>60297.430000000008</v>
          </cell>
          <cell r="I14" t="str">
            <v>No</v>
          </cell>
          <cell r="Q14">
            <v>62338.68</v>
          </cell>
          <cell r="R14" t="str">
            <v>A</v>
          </cell>
          <cell r="S14">
            <v>0.8571428571428571</v>
          </cell>
          <cell r="T14" t="str">
            <v>A</v>
          </cell>
          <cell r="U14" t="str">
            <v>AA</v>
          </cell>
        </row>
        <row r="15">
          <cell r="A15">
            <v>59200</v>
          </cell>
          <cell r="B15" t="str">
            <v>Shopify ROW</v>
          </cell>
          <cell r="C15" t="str">
            <v>RoW</v>
          </cell>
          <cell r="D15" t="str">
            <v>Own eCommerce</v>
          </cell>
          <cell r="E15" t="str">
            <v>Other</v>
          </cell>
          <cell r="F15">
            <v>18540.75</v>
          </cell>
          <cell r="G15">
            <v>14906.25</v>
          </cell>
          <cell r="H15">
            <v>9580</v>
          </cell>
          <cell r="I15" t="str">
            <v>No</v>
          </cell>
          <cell r="Q15">
            <v>9665</v>
          </cell>
          <cell r="R15" t="str">
            <v>B</v>
          </cell>
          <cell r="S15">
            <v>0.7857142857142857</v>
          </cell>
          <cell r="T15" t="str">
            <v>A</v>
          </cell>
          <cell r="U15" t="str">
            <v>BA</v>
          </cell>
        </row>
        <row r="16">
          <cell r="A16">
            <v>51202</v>
          </cell>
          <cell r="B16" t="str">
            <v>DESCOMED GB, London ( PR + Other )</v>
          </cell>
          <cell r="C16" t="str">
            <v>UK</v>
          </cell>
          <cell r="D16" t="str">
            <v>Other sales</v>
          </cell>
          <cell r="E16" t="str">
            <v>Other</v>
          </cell>
          <cell r="F16">
            <v>0</v>
          </cell>
          <cell r="G16">
            <v>2632.83</v>
          </cell>
          <cell r="H16">
            <v>2190.42</v>
          </cell>
          <cell r="I16" t="str">
            <v>No</v>
          </cell>
          <cell r="Q16">
            <v>2190.42</v>
          </cell>
          <cell r="R16" t="str">
            <v>C</v>
          </cell>
          <cell r="S16">
            <v>1</v>
          </cell>
          <cell r="T16" t="str">
            <v>A</v>
          </cell>
          <cell r="U16" t="str">
            <v>CA</v>
          </cell>
        </row>
        <row r="17">
          <cell r="A17">
            <v>51180</v>
          </cell>
          <cell r="B17" t="str">
            <v>Net-A-Porter; Italy</v>
          </cell>
          <cell r="C17" t="str">
            <v>Other EU</v>
          </cell>
          <cell r="D17" t="str">
            <v>eTailers</v>
          </cell>
          <cell r="E17" t="str">
            <v>eTailers</v>
          </cell>
          <cell r="F17">
            <v>9440.5</v>
          </cell>
          <cell r="G17">
            <v>6095.01</v>
          </cell>
          <cell r="H17">
            <v>-1862.58</v>
          </cell>
          <cell r="I17" t="str">
            <v>No</v>
          </cell>
          <cell r="Q17">
            <v>-1862.58</v>
          </cell>
          <cell r="R17" t="str">
            <v>C</v>
          </cell>
          <cell r="S17">
            <v>0</v>
          </cell>
          <cell r="T17" t="str">
            <v>C</v>
          </cell>
          <cell r="U17" t="str">
            <v>CC</v>
          </cell>
        </row>
        <row r="18">
          <cell r="A18">
            <v>51207</v>
          </cell>
          <cell r="B18" t="str">
            <v>DESCOMED GB (Karen Reddy-Medeiros)</v>
          </cell>
          <cell r="C18" t="str">
            <v>UK</v>
          </cell>
          <cell r="D18" t="str">
            <v>Other sales</v>
          </cell>
          <cell r="E18" t="str">
            <v>Other</v>
          </cell>
          <cell r="F18">
            <v>0</v>
          </cell>
          <cell r="G18">
            <v>0</v>
          </cell>
          <cell r="H18">
            <v>375</v>
          </cell>
          <cell r="I18" t="str">
            <v>No</v>
          </cell>
          <cell r="Q18">
            <v>375</v>
          </cell>
          <cell r="R18" t="str">
            <v>C</v>
          </cell>
          <cell r="S18">
            <v>0.8571428571428571</v>
          </cell>
          <cell r="T18" t="str">
            <v>A</v>
          </cell>
          <cell r="U18" t="str">
            <v>CA</v>
          </cell>
        </row>
        <row r="19">
          <cell r="A19">
            <v>51209</v>
          </cell>
          <cell r="B19" t="str">
            <v>UP PR; Olivia Wears-Harding</v>
          </cell>
          <cell r="C19" t="str">
            <v>UK</v>
          </cell>
          <cell r="D19" t="str">
            <v>Other sales</v>
          </cell>
          <cell r="E19" t="str">
            <v>Other</v>
          </cell>
          <cell r="F19">
            <v>0</v>
          </cell>
          <cell r="G19">
            <v>0</v>
          </cell>
          <cell r="H19">
            <v>0</v>
          </cell>
          <cell r="I19" t="str">
            <v>No</v>
          </cell>
          <cell r="Q19">
            <v>0</v>
          </cell>
          <cell r="R19" t="str">
            <v>C</v>
          </cell>
          <cell r="S19">
            <v>0</v>
          </cell>
          <cell r="T19" t="str">
            <v>C</v>
          </cell>
          <cell r="U19" t="str">
            <v>CC</v>
          </cell>
        </row>
        <row r="20">
          <cell r="A20">
            <v>51178</v>
          </cell>
          <cell r="B20" t="str">
            <v>Net-A-Porter; USA</v>
          </cell>
          <cell r="C20" t="str">
            <v>USA</v>
          </cell>
          <cell r="D20" t="str">
            <v>eTailers</v>
          </cell>
          <cell r="E20" t="str">
            <v>eTailers</v>
          </cell>
          <cell r="F20">
            <v>8003.3</v>
          </cell>
          <cell r="G20">
            <v>1982.74</v>
          </cell>
          <cell r="H20">
            <v>0</v>
          </cell>
          <cell r="I20" t="str">
            <v>No</v>
          </cell>
          <cell r="Q20">
            <v>0</v>
          </cell>
          <cell r="R20" t="str">
            <v>C</v>
          </cell>
          <cell r="S20">
            <v>0</v>
          </cell>
          <cell r="T20" t="str">
            <v>C</v>
          </cell>
          <cell r="U20" t="str">
            <v>CC</v>
          </cell>
        </row>
        <row r="21">
          <cell r="A21">
            <v>51158</v>
          </cell>
          <cell r="B21" t="str">
            <v>Liberty Press</v>
          </cell>
          <cell r="C21" t="str">
            <v>UK</v>
          </cell>
          <cell r="D21" t="str">
            <v>Retail / Dept Stores (incl. Perfumeries)</v>
          </cell>
          <cell r="E21" t="str">
            <v>Other</v>
          </cell>
          <cell r="F21">
            <v>0</v>
          </cell>
          <cell r="G21">
            <v>0</v>
          </cell>
          <cell r="H21">
            <v>0</v>
          </cell>
          <cell r="I21" t="str">
            <v>No</v>
          </cell>
          <cell r="Q21">
            <v>0</v>
          </cell>
          <cell r="R21" t="str">
            <v>C</v>
          </cell>
          <cell r="S21">
            <v>0.21428571428571427</v>
          </cell>
          <cell r="T21" t="str">
            <v>C</v>
          </cell>
          <cell r="U21" t="str">
            <v>CC</v>
          </cell>
        </row>
        <row r="22">
          <cell r="A22">
            <v>51184</v>
          </cell>
          <cell r="B22" t="str">
            <v>The Connaught Hotel</v>
          </cell>
          <cell r="C22" t="str">
            <v>UK</v>
          </cell>
          <cell r="D22" t="str">
            <v>Spas / Hotels</v>
          </cell>
          <cell r="E22" t="str">
            <v>Spa</v>
          </cell>
          <cell r="F22">
            <v>0</v>
          </cell>
          <cell r="G22">
            <v>6655.7</v>
          </cell>
          <cell r="H22">
            <v>26665.909999999996</v>
          </cell>
          <cell r="I22">
            <v>45261</v>
          </cell>
          <cell r="Q22">
            <v>18597.09</v>
          </cell>
          <cell r="R22" t="str">
            <v>B</v>
          </cell>
          <cell r="S22">
            <v>0.7142857142857143</v>
          </cell>
          <cell r="T22" t="str">
            <v>B</v>
          </cell>
          <cell r="U22" t="str">
            <v>BB</v>
          </cell>
        </row>
        <row r="23">
          <cell r="A23">
            <v>51185</v>
          </cell>
          <cell r="B23" t="str">
            <v>Four Seasons Hotel London</v>
          </cell>
          <cell r="C23" t="str">
            <v>UK</v>
          </cell>
          <cell r="D23" t="str">
            <v>Spas / Hotels</v>
          </cell>
          <cell r="E23" t="str">
            <v>Spa</v>
          </cell>
          <cell r="F23">
            <v>0</v>
          </cell>
          <cell r="G23">
            <v>0</v>
          </cell>
          <cell r="H23">
            <v>4761.01</v>
          </cell>
          <cell r="I23">
            <v>45352</v>
          </cell>
          <cell r="J23">
            <v>2024</v>
          </cell>
          <cell r="Q23">
            <v>3305.09</v>
          </cell>
          <cell r="R23" t="str">
            <v>NKD24</v>
          </cell>
          <cell r="S23">
            <v>0.42857142857142855</v>
          </cell>
          <cell r="T23" t="str">
            <v/>
          </cell>
          <cell r="U23" t="str">
            <v>NKD24</v>
          </cell>
        </row>
        <row r="24">
          <cell r="A24">
            <v>51186</v>
          </cell>
          <cell r="B24" t="str">
            <v>hope street hotel; Liverpool</v>
          </cell>
          <cell r="C24" t="str">
            <v>UK</v>
          </cell>
          <cell r="D24" t="str">
            <v>Spas / Hotels</v>
          </cell>
          <cell r="E24" t="str">
            <v>Spa</v>
          </cell>
          <cell r="F24">
            <v>0</v>
          </cell>
          <cell r="G24">
            <v>2266.7800000000002</v>
          </cell>
          <cell r="H24">
            <v>8045.51</v>
          </cell>
          <cell r="I24">
            <v>45231</v>
          </cell>
          <cell r="Q24">
            <v>8840.64</v>
          </cell>
          <cell r="R24" t="str">
            <v>B</v>
          </cell>
          <cell r="S24">
            <v>0.5714285714285714</v>
          </cell>
          <cell r="T24" t="str">
            <v>B</v>
          </cell>
          <cell r="U24" t="str">
            <v>BB</v>
          </cell>
        </row>
        <row r="25">
          <cell r="A25">
            <v>51187</v>
          </cell>
          <cell r="B25" t="str">
            <v>Julia Knight; Sale</v>
          </cell>
          <cell r="C25" t="str">
            <v>UK</v>
          </cell>
          <cell r="D25" t="str">
            <v>Institutes / Clinics</v>
          </cell>
          <cell r="E25" t="str">
            <v>Spa</v>
          </cell>
          <cell r="F25">
            <v>0</v>
          </cell>
          <cell r="G25">
            <v>1173.99</v>
          </cell>
          <cell r="H25">
            <v>2526.58</v>
          </cell>
          <cell r="I25">
            <v>45261</v>
          </cell>
          <cell r="Q25">
            <v>2282.58</v>
          </cell>
          <cell r="R25" t="str">
            <v>C</v>
          </cell>
          <cell r="S25">
            <v>0.2857142857142857</v>
          </cell>
          <cell r="T25" t="str">
            <v>C</v>
          </cell>
          <cell r="U25" t="str">
            <v>CC</v>
          </cell>
        </row>
        <row r="26">
          <cell r="A26">
            <v>53000</v>
          </cell>
          <cell r="B26" t="str">
            <v>IzzyJ Aesthetics</v>
          </cell>
          <cell r="C26" t="str">
            <v>UK</v>
          </cell>
          <cell r="D26" t="str">
            <v>Institutes / Clinics</v>
          </cell>
          <cell r="E26" t="str">
            <v>Other</v>
          </cell>
          <cell r="F26">
            <v>7647.7999999999993</v>
          </cell>
          <cell r="G26">
            <v>610.55999999999995</v>
          </cell>
          <cell r="H26">
            <v>2165.3199999999997</v>
          </cell>
          <cell r="I26" t="str">
            <v>Pre-2022</v>
          </cell>
          <cell r="Q26">
            <v>2165.3200000000002</v>
          </cell>
          <cell r="R26" t="str">
            <v>C</v>
          </cell>
          <cell r="S26">
            <v>0.35714285714285715</v>
          </cell>
          <cell r="T26" t="str">
            <v>C</v>
          </cell>
          <cell r="U26" t="str">
            <v>CC</v>
          </cell>
        </row>
        <row r="27">
          <cell r="A27">
            <v>53014</v>
          </cell>
          <cell r="B27" t="str">
            <v>Oblique house of aesthetics; London</v>
          </cell>
          <cell r="C27" t="str">
            <v>UK</v>
          </cell>
          <cell r="D27" t="str">
            <v>Institutes / Clinics</v>
          </cell>
          <cell r="E27" t="str">
            <v>Spa</v>
          </cell>
          <cell r="F27">
            <v>0</v>
          </cell>
          <cell r="G27">
            <v>0</v>
          </cell>
          <cell r="H27">
            <v>15824.73</v>
          </cell>
          <cell r="I27">
            <v>45323</v>
          </cell>
          <cell r="J27">
            <v>2024</v>
          </cell>
          <cell r="Q27">
            <v>10155.31</v>
          </cell>
          <cell r="R27" t="str">
            <v>NKD24</v>
          </cell>
          <cell r="S27">
            <v>1</v>
          </cell>
          <cell r="T27" t="str">
            <v/>
          </cell>
          <cell r="U27" t="str">
            <v>NKD24</v>
          </cell>
        </row>
        <row r="28">
          <cell r="A28">
            <v>53015</v>
          </cell>
          <cell r="B28" t="str">
            <v>Hilton Bankside; Ken Tui Management Ltd.; London</v>
          </cell>
          <cell r="C28" t="str">
            <v>UK</v>
          </cell>
          <cell r="D28" t="str">
            <v>Spas / Hotels</v>
          </cell>
          <cell r="E28" t="str">
            <v>Spa</v>
          </cell>
          <cell r="F28">
            <v>0</v>
          </cell>
          <cell r="G28">
            <v>0</v>
          </cell>
          <cell r="H28">
            <v>3678.79</v>
          </cell>
          <cell r="I28">
            <v>45474</v>
          </cell>
          <cell r="J28">
            <v>2024</v>
          </cell>
          <cell r="Q28">
            <v>2531.02</v>
          </cell>
          <cell r="R28" t="str">
            <v>NKD24</v>
          </cell>
          <cell r="S28">
            <v>0.35714285714285715</v>
          </cell>
          <cell r="T28" t="str">
            <v/>
          </cell>
          <cell r="U28" t="str">
            <v>NKD24</v>
          </cell>
        </row>
        <row r="29">
          <cell r="A29">
            <v>53016</v>
          </cell>
          <cell r="B29" t="str">
            <v>Royal London House; Ken Tui Managem. Ltd</v>
          </cell>
          <cell r="C29" t="str">
            <v>UK</v>
          </cell>
          <cell r="D29" t="str">
            <v>Spas / Hotels</v>
          </cell>
          <cell r="E29" t="str">
            <v>Spa</v>
          </cell>
          <cell r="F29">
            <v>0</v>
          </cell>
          <cell r="G29">
            <v>0</v>
          </cell>
          <cell r="H29">
            <v>2148.84</v>
          </cell>
          <cell r="I29">
            <v>45597</v>
          </cell>
          <cell r="J29">
            <v>2024</v>
          </cell>
          <cell r="Q29">
            <v>3010.12</v>
          </cell>
          <cell r="R29" t="str">
            <v>NKD24</v>
          </cell>
          <cell r="S29">
            <v>0.35714285714285715</v>
          </cell>
          <cell r="T29" t="str">
            <v/>
          </cell>
          <cell r="U29" t="str">
            <v>NKD24</v>
          </cell>
        </row>
        <row r="30">
          <cell r="A30">
            <v>51189</v>
          </cell>
          <cell r="B30" t="str">
            <v>RTL Limited; The Grove Hotel</v>
          </cell>
          <cell r="C30" t="str">
            <v>UK</v>
          </cell>
          <cell r="D30" t="str">
            <v>Spas / Hotels</v>
          </cell>
          <cell r="E30" t="str">
            <v>Spa</v>
          </cell>
          <cell r="F30">
            <v>0</v>
          </cell>
          <cell r="G30">
            <v>0</v>
          </cell>
          <cell r="H30">
            <v>28806.05</v>
          </cell>
          <cell r="I30">
            <v>45505</v>
          </cell>
          <cell r="J30">
            <v>2024</v>
          </cell>
          <cell r="Q30">
            <v>15934.38</v>
          </cell>
          <cell r="R30" t="str">
            <v>NKD24</v>
          </cell>
          <cell r="S30">
            <v>0.7857142857142857</v>
          </cell>
          <cell r="T30" t="str">
            <v/>
          </cell>
          <cell r="U30" t="str">
            <v>NKD24</v>
          </cell>
        </row>
        <row r="31">
          <cell r="A31">
            <v>53017</v>
          </cell>
          <cell r="B31" t="str">
            <v>Piccadilly Town House; Ken Tui Managem. Ltd</v>
          </cell>
          <cell r="C31" t="str">
            <v>UK</v>
          </cell>
          <cell r="D31" t="str">
            <v>Spas / Hotels</v>
          </cell>
          <cell r="E31" t="str">
            <v>Spa</v>
          </cell>
          <cell r="F31">
            <v>0</v>
          </cell>
          <cell r="G31">
            <v>0</v>
          </cell>
          <cell r="H31">
            <v>8698.4700000000012</v>
          </cell>
          <cell r="I31">
            <v>45566</v>
          </cell>
          <cell r="J31">
            <v>2024</v>
          </cell>
          <cell r="Q31">
            <v>2706.13</v>
          </cell>
          <cell r="R31" t="str">
            <v>NKD24</v>
          </cell>
          <cell r="S31">
            <v>0.35714285714285715</v>
          </cell>
          <cell r="T31" t="str">
            <v/>
          </cell>
          <cell r="U31" t="str">
            <v>NKD24</v>
          </cell>
        </row>
      </sheetData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PIs"/>
      <sheetName val="2022"/>
      <sheetName val="2023"/>
      <sheetName val="2024"/>
      <sheetName val="2025"/>
      <sheetName val="2025B"/>
      <sheetName val="Data &gt;&gt;"/>
      <sheetName val="Data 2022 to Oct24"/>
      <sheetName val="Nov24"/>
      <sheetName val="Dec24"/>
      <sheetName val="Jan25"/>
      <sheetName val="Feb25"/>
      <sheetName val="Mar25"/>
      <sheetName val="Apr25"/>
      <sheetName val="May25"/>
      <sheetName val="Jun25"/>
      <sheetName val="Jul25"/>
      <sheetName val="Mapping"/>
      <sheetName val="UK Retail"/>
      <sheetName val="Sp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B2">
            <v>30300</v>
          </cell>
          <cell r="AI2">
            <v>30.26</v>
          </cell>
          <cell r="AJ2">
            <v>-7.13</v>
          </cell>
          <cell r="AK2">
            <v>-19.069299999999998</v>
          </cell>
        </row>
        <row r="3">
          <cell r="B3">
            <v>31043</v>
          </cell>
          <cell r="AC3">
            <v>0</v>
          </cell>
          <cell r="AD3">
            <v>-184.7</v>
          </cell>
          <cell r="AE3">
            <v>-100</v>
          </cell>
        </row>
        <row r="4">
          <cell r="B4">
            <v>51101</v>
          </cell>
          <cell r="H4">
            <v>2844.98</v>
          </cell>
          <cell r="I4">
            <v>2543.65</v>
          </cell>
          <cell r="J4">
            <v>844.14099999999996</v>
          </cell>
          <cell r="K4">
            <v>3567.25</v>
          </cell>
          <cell r="L4">
            <v>3183.23</v>
          </cell>
          <cell r="M4">
            <v>828.923</v>
          </cell>
          <cell r="N4">
            <v>7397.26</v>
          </cell>
          <cell r="O4">
            <v>6457.15</v>
          </cell>
          <cell r="P4">
            <v>686.85050000000001</v>
          </cell>
          <cell r="Q4">
            <v>20460.12</v>
          </cell>
          <cell r="R4">
            <v>18768.91</v>
          </cell>
          <cell r="S4">
            <v>1109.7919999999999</v>
          </cell>
          <cell r="T4">
            <v>47334</v>
          </cell>
          <cell r="U4">
            <v>8938.69</v>
          </cell>
          <cell r="V4">
            <v>23.2807</v>
          </cell>
          <cell r="W4">
            <v>48291.01</v>
          </cell>
          <cell r="X4">
            <v>-4032.11</v>
          </cell>
          <cell r="Y4">
            <v>-7.7061999999999999</v>
          </cell>
          <cell r="Z4">
            <v>6950.91</v>
          </cell>
          <cell r="AA4">
            <v>6204.05</v>
          </cell>
          <cell r="AB4">
            <v>830.68449999999996</v>
          </cell>
          <cell r="AC4">
            <v>32447.63</v>
          </cell>
          <cell r="AD4">
            <v>27174.52</v>
          </cell>
          <cell r="AE4">
            <v>515.34140000000002</v>
          </cell>
          <cell r="AF4">
            <v>1227.24</v>
          </cell>
          <cell r="AG4">
            <v>887.66</v>
          </cell>
          <cell r="AH4">
            <v>261.39940000000001</v>
          </cell>
          <cell r="AI4">
            <v>-244</v>
          </cell>
          <cell r="AJ4">
            <v>-40.67</v>
          </cell>
          <cell r="AK4">
            <v>-20.001999999999999</v>
          </cell>
          <cell r="AR4">
            <v>11174.34</v>
          </cell>
          <cell r="AS4">
            <v>-16630.8</v>
          </cell>
          <cell r="AT4">
            <v>-59.811999999999998</v>
          </cell>
          <cell r="AU4">
            <v>6360.22</v>
          </cell>
          <cell r="AV4">
            <v>-17149.099999999999</v>
          </cell>
          <cell r="AW4">
            <v>-72.945999999999998</v>
          </cell>
          <cell r="AX4">
            <v>8054.93</v>
          </cell>
          <cell r="AY4">
            <v>-3491.15</v>
          </cell>
          <cell r="AZ4">
            <v>-30.236699999999999</v>
          </cell>
          <cell r="BA4">
            <v>23429.8</v>
          </cell>
          <cell r="BB4">
            <v>12724.48</v>
          </cell>
          <cell r="BC4">
            <v>118.8613</v>
          </cell>
          <cell r="BD4">
            <v>4147.08</v>
          </cell>
          <cell r="BE4">
            <v>3604.71</v>
          </cell>
          <cell r="BF4">
            <v>664.62189999999998</v>
          </cell>
          <cell r="BG4">
            <v>4586.91</v>
          </cell>
          <cell r="BH4">
            <v>1887.11</v>
          </cell>
          <cell r="BI4">
            <v>69.898099999999999</v>
          </cell>
          <cell r="BJ4">
            <v>18599.96</v>
          </cell>
          <cell r="BK4">
            <v>16344.92</v>
          </cell>
          <cell r="BL4">
            <v>724.81730000000005</v>
          </cell>
          <cell r="BM4">
            <v>15707.34</v>
          </cell>
          <cell r="BN4">
            <v>8038.01</v>
          </cell>
          <cell r="BO4">
            <v>104.80719999999999</v>
          </cell>
          <cell r="BP4">
            <v>12675.39</v>
          </cell>
          <cell r="BQ4">
            <v>9268.5</v>
          </cell>
          <cell r="BR4">
            <v>272.05160000000001</v>
          </cell>
          <cell r="BV4">
            <v>3934.31</v>
          </cell>
          <cell r="BW4">
            <v>3629.42</v>
          </cell>
          <cell r="BX4">
            <v>1190.403</v>
          </cell>
          <cell r="BY4">
            <v>4000</v>
          </cell>
          <cell r="BZ4">
            <v>-6499.87</v>
          </cell>
          <cell r="CA4">
            <v>-61.904299999999999</v>
          </cell>
          <cell r="CB4">
            <v>11872.82</v>
          </cell>
          <cell r="CC4">
            <v>6939.61</v>
          </cell>
          <cell r="CD4">
            <v>140.6713</v>
          </cell>
          <cell r="CE4">
            <v>5331.17</v>
          </cell>
          <cell r="CF4">
            <v>4967.54</v>
          </cell>
          <cell r="CG4">
            <v>1366.097</v>
          </cell>
          <cell r="CH4">
            <v>11392.17</v>
          </cell>
          <cell r="CI4">
            <v>9482.34</v>
          </cell>
          <cell r="CJ4">
            <v>496.5018</v>
          </cell>
        </row>
        <row r="5">
          <cell r="B5">
            <v>51157</v>
          </cell>
          <cell r="AO5">
            <v>0</v>
          </cell>
          <cell r="AP5">
            <v>-385.56</v>
          </cell>
          <cell r="AQ5">
            <v>-100</v>
          </cell>
          <cell r="AU5">
            <v>0</v>
          </cell>
          <cell r="AV5">
            <v>-367.23</v>
          </cell>
          <cell r="AW5">
            <v>-100</v>
          </cell>
          <cell r="BA5">
            <v>0</v>
          </cell>
          <cell r="BB5">
            <v>-311.64999999999998</v>
          </cell>
          <cell r="BC5">
            <v>-100</v>
          </cell>
          <cell r="BJ5">
            <v>0</v>
          </cell>
          <cell r="BK5">
            <v>-388.91</v>
          </cell>
          <cell r="BL5">
            <v>-100</v>
          </cell>
          <cell r="BV5">
            <v>0</v>
          </cell>
          <cell r="BW5">
            <v>-810.63</v>
          </cell>
          <cell r="BX5">
            <v>-100</v>
          </cell>
          <cell r="CB5">
            <v>0</v>
          </cell>
          <cell r="CC5">
            <v>-980.53</v>
          </cell>
          <cell r="CD5">
            <v>-100</v>
          </cell>
        </row>
        <row r="6">
          <cell r="B6">
            <v>51158</v>
          </cell>
          <cell r="AR6">
            <v>0</v>
          </cell>
          <cell r="AS6">
            <v>-20.79</v>
          </cell>
          <cell r="AT6">
            <v>-100</v>
          </cell>
          <cell r="AU6">
            <v>0</v>
          </cell>
          <cell r="AV6">
            <v>-20.79</v>
          </cell>
          <cell r="AW6">
            <v>-100</v>
          </cell>
          <cell r="AX6">
            <v>0</v>
          </cell>
          <cell r="AY6">
            <v>-375.6</v>
          </cell>
          <cell r="AZ6">
            <v>-100</v>
          </cell>
          <cell r="BA6">
            <v>0</v>
          </cell>
          <cell r="BB6">
            <v>-76.319999999999993</v>
          </cell>
          <cell r="BC6">
            <v>-100</v>
          </cell>
          <cell r="BD6">
            <v>0</v>
          </cell>
          <cell r="BE6">
            <v>-94.79</v>
          </cell>
          <cell r="BF6">
            <v>-100</v>
          </cell>
          <cell r="BG6">
            <v>0</v>
          </cell>
          <cell r="BH6">
            <v>-165.92</v>
          </cell>
          <cell r="BI6">
            <v>-100</v>
          </cell>
          <cell r="BV6">
            <v>0</v>
          </cell>
          <cell r="BW6">
            <v>-2793.51</v>
          </cell>
          <cell r="BX6">
            <v>-100</v>
          </cell>
          <cell r="CH6">
            <v>0</v>
          </cell>
          <cell r="CI6">
            <v>-46.38</v>
          </cell>
          <cell r="CJ6">
            <v>-100</v>
          </cell>
        </row>
        <row r="7">
          <cell r="B7">
            <v>51172</v>
          </cell>
          <cell r="E7">
            <v>633.04</v>
          </cell>
          <cell r="F7">
            <v>481.05</v>
          </cell>
          <cell r="G7">
            <v>316.50110000000001</v>
          </cell>
          <cell r="H7">
            <v>663.33</v>
          </cell>
          <cell r="I7">
            <v>-22039.4</v>
          </cell>
          <cell r="J7">
            <v>-97.078199999999995</v>
          </cell>
          <cell r="K7">
            <v>1383.37</v>
          </cell>
          <cell r="L7">
            <v>881.07</v>
          </cell>
          <cell r="M7">
            <v>175.40710000000001</v>
          </cell>
          <cell r="N7">
            <v>3781.07</v>
          </cell>
          <cell r="O7">
            <v>2383.75</v>
          </cell>
          <cell r="P7">
            <v>170.59440000000001</v>
          </cell>
          <cell r="Q7">
            <v>792.87</v>
          </cell>
          <cell r="R7">
            <v>-3990.9</v>
          </cell>
          <cell r="S7">
            <v>-83.425799999999995</v>
          </cell>
          <cell r="T7">
            <v>392.82</v>
          </cell>
          <cell r="U7">
            <v>0</v>
          </cell>
          <cell r="V7">
            <v>0</v>
          </cell>
          <cell r="W7">
            <v>1221.46</v>
          </cell>
          <cell r="X7">
            <v>0</v>
          </cell>
          <cell r="Y7">
            <v>0</v>
          </cell>
          <cell r="Z7">
            <v>1446.19</v>
          </cell>
          <cell r="AA7">
            <v>-4065.17</v>
          </cell>
          <cell r="AB7">
            <v>-73.759799999999998</v>
          </cell>
          <cell r="AC7">
            <v>-450.99</v>
          </cell>
          <cell r="AD7">
            <v>-6534.22</v>
          </cell>
          <cell r="AE7">
            <v>-107.414</v>
          </cell>
          <cell r="AF7">
            <v>8032.09</v>
          </cell>
          <cell r="AG7">
            <v>-11274.6</v>
          </cell>
          <cell r="AH7">
            <v>-58.397500000000001</v>
          </cell>
          <cell r="AI7">
            <v>6439.28</v>
          </cell>
          <cell r="AJ7">
            <v>-18602.900000000001</v>
          </cell>
          <cell r="AK7">
            <v>-74.286299999999997</v>
          </cell>
          <cell r="AL7">
            <v>1372.33</v>
          </cell>
          <cell r="AM7">
            <v>712.73</v>
          </cell>
          <cell r="AN7">
            <v>108.0549</v>
          </cell>
          <cell r="AO7">
            <v>3456.36</v>
          </cell>
          <cell r="AP7">
            <v>-54292.800000000003</v>
          </cell>
          <cell r="AQ7">
            <v>-94.014899999999997</v>
          </cell>
          <cell r="AR7">
            <v>2799.14</v>
          </cell>
          <cell r="AS7">
            <v>1209.04</v>
          </cell>
          <cell r="AT7">
            <v>76.035499999999999</v>
          </cell>
          <cell r="AU7">
            <v>4979.75</v>
          </cell>
          <cell r="AV7">
            <v>-1742.91</v>
          </cell>
          <cell r="AW7">
            <v>-25.925899999999999</v>
          </cell>
          <cell r="AX7">
            <v>1321.18</v>
          </cell>
          <cell r="AY7">
            <v>-274.51</v>
          </cell>
          <cell r="AZ7">
            <v>-17.203199999999999</v>
          </cell>
          <cell r="BA7">
            <v>2480.21</v>
          </cell>
          <cell r="BB7">
            <v>1209.02</v>
          </cell>
          <cell r="BC7">
            <v>95.109300000000005</v>
          </cell>
          <cell r="BD7">
            <v>1281.3499999999999</v>
          </cell>
          <cell r="BE7">
            <v>99.77</v>
          </cell>
          <cell r="BF7">
            <v>8.4437999999999995</v>
          </cell>
          <cell r="BG7">
            <v>1067.95</v>
          </cell>
          <cell r="BH7">
            <v>199.67</v>
          </cell>
          <cell r="BI7">
            <v>22.995999999999999</v>
          </cell>
          <cell r="BJ7">
            <v>2914.31</v>
          </cell>
          <cell r="BK7">
            <v>1305.44</v>
          </cell>
          <cell r="BL7">
            <v>81.140199999999993</v>
          </cell>
          <cell r="BM7">
            <v>900.83</v>
          </cell>
          <cell r="BN7">
            <v>838.74</v>
          </cell>
          <cell r="BO7">
            <v>1350.846</v>
          </cell>
          <cell r="BP7">
            <v>2704.48</v>
          </cell>
          <cell r="BQ7">
            <v>2684.52</v>
          </cell>
          <cell r="BR7">
            <v>13449.5</v>
          </cell>
          <cell r="BS7">
            <v>1864.53</v>
          </cell>
          <cell r="BT7">
            <v>1527.27</v>
          </cell>
          <cell r="BU7">
            <v>452.84649999999999</v>
          </cell>
          <cell r="BV7">
            <v>-1067.57</v>
          </cell>
          <cell r="BW7">
            <v>511.84</v>
          </cell>
          <cell r="BX7">
            <v>32.406999999999996</v>
          </cell>
          <cell r="BY7">
            <v>4085.59</v>
          </cell>
          <cell r="BZ7">
            <v>3419.42</v>
          </cell>
          <cell r="CA7">
            <v>513.29539999999997</v>
          </cell>
          <cell r="CB7">
            <v>120.02</v>
          </cell>
          <cell r="CC7">
            <v>0</v>
          </cell>
          <cell r="CD7">
            <v>0</v>
          </cell>
          <cell r="CE7">
            <v>10774.05</v>
          </cell>
          <cell r="CF7">
            <v>8130.7</v>
          </cell>
          <cell r="CG7">
            <v>307.59070000000003</v>
          </cell>
          <cell r="CH7">
            <v>587.92999999999995</v>
          </cell>
          <cell r="CI7">
            <v>454.99</v>
          </cell>
          <cell r="CJ7">
            <v>342.25209999999998</v>
          </cell>
        </row>
        <row r="8">
          <cell r="B8">
            <v>51173</v>
          </cell>
          <cell r="E8">
            <v>0</v>
          </cell>
          <cell r="F8">
            <v>-17792.400000000001</v>
          </cell>
          <cell r="G8">
            <v>-100</v>
          </cell>
        </row>
        <row r="9">
          <cell r="B9">
            <v>51174</v>
          </cell>
          <cell r="K9">
            <v>3446.36</v>
          </cell>
          <cell r="L9">
            <v>2839.53</v>
          </cell>
          <cell r="M9">
            <v>467.92840000000001</v>
          </cell>
          <cell r="N9">
            <v>2677.59</v>
          </cell>
          <cell r="O9">
            <v>2251.62</v>
          </cell>
          <cell r="P9">
            <v>528.5865</v>
          </cell>
          <cell r="Q9">
            <v>2553.73</v>
          </cell>
          <cell r="R9">
            <v>2174.15</v>
          </cell>
          <cell r="S9">
            <v>572.77779999999996</v>
          </cell>
          <cell r="T9">
            <v>1115.1199999999999</v>
          </cell>
          <cell r="U9">
            <v>853.73</v>
          </cell>
          <cell r="V9">
            <v>326.61160000000001</v>
          </cell>
          <cell r="Z9">
            <v>0</v>
          </cell>
          <cell r="AA9">
            <v>-604.86</v>
          </cell>
          <cell r="AB9">
            <v>-100</v>
          </cell>
          <cell r="AC9">
            <v>1829.49</v>
          </cell>
          <cell r="AD9">
            <v>-6781.96</v>
          </cell>
          <cell r="AE9">
            <v>-78.755099999999999</v>
          </cell>
          <cell r="AI9">
            <v>1397.91</v>
          </cell>
          <cell r="AJ9">
            <v>-4744.51</v>
          </cell>
          <cell r="AK9">
            <v>-77.241699999999994</v>
          </cell>
          <cell r="AL9">
            <v>750.1</v>
          </cell>
          <cell r="AM9">
            <v>-4280.08</v>
          </cell>
          <cell r="AN9">
            <v>-85.087999999999994</v>
          </cell>
        </row>
        <row r="10">
          <cell r="B10">
            <v>51175</v>
          </cell>
          <cell r="N10">
            <v>9652.92</v>
          </cell>
          <cell r="O10">
            <v>8325.66</v>
          </cell>
          <cell r="P10">
            <v>627.28179999999998</v>
          </cell>
          <cell r="W10">
            <v>768.75</v>
          </cell>
          <cell r="X10">
            <v>684.77</v>
          </cell>
          <cell r="Y10">
            <v>815.39649999999995</v>
          </cell>
          <cell r="Z10">
            <v>1120.05</v>
          </cell>
          <cell r="AA10">
            <v>917.12</v>
          </cell>
          <cell r="AB10">
            <v>451.9391</v>
          </cell>
          <cell r="AF10">
            <v>-102.48</v>
          </cell>
          <cell r="AG10">
            <v>-102.48</v>
          </cell>
          <cell r="AO10">
            <v>19307.61</v>
          </cell>
          <cell r="AP10">
            <v>16194.29</v>
          </cell>
          <cell r="AQ10">
            <v>520.16139999999996</v>
          </cell>
          <cell r="AU10">
            <v>19307.61</v>
          </cell>
          <cell r="AV10">
            <v>16287.7</v>
          </cell>
          <cell r="AW10">
            <v>539.34389999999996</v>
          </cell>
          <cell r="AX10">
            <v>7865.55</v>
          </cell>
          <cell r="AY10">
            <v>6904</v>
          </cell>
          <cell r="AZ10">
            <v>718.00739999999996</v>
          </cell>
          <cell r="BA10">
            <v>-853.15</v>
          </cell>
          <cell r="BB10">
            <v>0</v>
          </cell>
          <cell r="BC10">
            <v>0</v>
          </cell>
          <cell r="BJ10">
            <v>1379.28</v>
          </cell>
          <cell r="BK10">
            <v>1140.6500000000001</v>
          </cell>
          <cell r="BL10">
            <v>477.99939999999998</v>
          </cell>
          <cell r="BM10">
            <v>-1180.2</v>
          </cell>
          <cell r="BN10">
            <v>0</v>
          </cell>
          <cell r="BO10">
            <v>0</v>
          </cell>
          <cell r="BV10">
            <v>-154.35</v>
          </cell>
          <cell r="BW10">
            <v>0</v>
          </cell>
          <cell r="BX10">
            <v>0</v>
          </cell>
          <cell r="CH10">
            <v>-6663.15</v>
          </cell>
          <cell r="CI10">
            <v>0</v>
          </cell>
          <cell r="CJ10">
            <v>0</v>
          </cell>
        </row>
        <row r="11">
          <cell r="B11">
            <v>51176</v>
          </cell>
          <cell r="N11">
            <v>9207.9</v>
          </cell>
          <cell r="O11">
            <v>7925.34</v>
          </cell>
          <cell r="P11">
            <v>617.93129999999996</v>
          </cell>
          <cell r="W11">
            <v>3715.03</v>
          </cell>
          <cell r="X11">
            <v>3276.01</v>
          </cell>
          <cell r="Y11">
            <v>746.2097</v>
          </cell>
          <cell r="AO11">
            <v>1820.07</v>
          </cell>
          <cell r="AP11">
            <v>1503.84</v>
          </cell>
          <cell r="AQ11">
            <v>475.55259999999998</v>
          </cell>
          <cell r="AR11">
            <v>13190.11</v>
          </cell>
          <cell r="AS11">
            <v>11347.13</v>
          </cell>
          <cell r="AT11">
            <v>615.69470000000001</v>
          </cell>
          <cell r="AU11">
            <v>7708.89</v>
          </cell>
          <cell r="AV11">
            <v>6583.77</v>
          </cell>
          <cell r="AW11">
            <v>585.16160000000002</v>
          </cell>
          <cell r="BA11">
            <v>496.86</v>
          </cell>
          <cell r="BB11">
            <v>636.89</v>
          </cell>
          <cell r="BC11">
            <v>454.82400000000001</v>
          </cell>
          <cell r="BD11">
            <v>1231.02</v>
          </cell>
          <cell r="BE11">
            <v>1028.6500000000001</v>
          </cell>
          <cell r="BF11">
            <v>508.30160000000001</v>
          </cell>
          <cell r="BG11">
            <v>0</v>
          </cell>
          <cell r="BH11">
            <v>0</v>
          </cell>
          <cell r="BJ11">
            <v>2157.1799999999998</v>
          </cell>
          <cell r="BK11">
            <v>1939.51</v>
          </cell>
          <cell r="BL11">
            <v>891.03229999999996</v>
          </cell>
          <cell r="BP11">
            <v>6018.68</v>
          </cell>
          <cell r="BQ11">
            <v>5188.34</v>
          </cell>
          <cell r="BR11">
            <v>624.84519999999998</v>
          </cell>
          <cell r="BV11">
            <v>-1255.8800000000001</v>
          </cell>
          <cell r="BW11">
            <v>0</v>
          </cell>
          <cell r="BX11">
            <v>0</v>
          </cell>
        </row>
        <row r="12">
          <cell r="B12">
            <v>51177</v>
          </cell>
          <cell r="K12">
            <v>9618.43</v>
          </cell>
          <cell r="L12">
            <v>7966.9</v>
          </cell>
          <cell r="M12">
            <v>482.39510000000001</v>
          </cell>
          <cell r="N12">
            <v>992.57</v>
          </cell>
          <cell r="O12">
            <v>727.57</v>
          </cell>
          <cell r="P12">
            <v>274.55470000000003</v>
          </cell>
          <cell r="Z12">
            <v>615</v>
          </cell>
          <cell r="AA12">
            <v>-51.3</v>
          </cell>
          <cell r="AB12">
            <v>-7.6992000000000003</v>
          </cell>
          <cell r="AR12">
            <v>7490.94</v>
          </cell>
          <cell r="AS12">
            <v>5458.91</v>
          </cell>
          <cell r="AT12">
            <v>268.64319999999998</v>
          </cell>
          <cell r="BA12">
            <v>0</v>
          </cell>
          <cell r="BB12">
            <v>-8.85</v>
          </cell>
          <cell r="BC12">
            <v>-100</v>
          </cell>
          <cell r="BD12">
            <v>3220.55</v>
          </cell>
          <cell r="BE12">
            <v>2852.44</v>
          </cell>
          <cell r="BF12">
            <v>774.88789999999995</v>
          </cell>
          <cell r="BM12">
            <v>2960.41</v>
          </cell>
          <cell r="BN12">
            <v>2244.9899999999998</v>
          </cell>
          <cell r="BO12">
            <v>313.80029999999999</v>
          </cell>
          <cell r="BV12">
            <v>-7006.05</v>
          </cell>
          <cell r="BW12">
            <v>-4954.2299999999996</v>
          </cell>
          <cell r="BX12">
            <v>-241.45500000000001</v>
          </cell>
        </row>
        <row r="13">
          <cell r="B13">
            <v>51178</v>
          </cell>
          <cell r="K13">
            <v>6863.93</v>
          </cell>
          <cell r="L13">
            <v>5812.61</v>
          </cell>
          <cell r="M13">
            <v>552.88679999999999</v>
          </cell>
          <cell r="N13">
            <v>914.37</v>
          </cell>
          <cell r="O13">
            <v>662.62</v>
          </cell>
          <cell r="P13">
            <v>263.2056</v>
          </cell>
          <cell r="Z13">
            <v>225</v>
          </cell>
          <cell r="AA13">
            <v>-18.77</v>
          </cell>
          <cell r="AB13">
            <v>-7.6999000000000004</v>
          </cell>
          <cell r="BD13">
            <v>1982.74</v>
          </cell>
          <cell r="BE13">
            <v>1688.76</v>
          </cell>
          <cell r="BF13">
            <v>574.44719999999995</v>
          </cell>
        </row>
        <row r="14">
          <cell r="B14">
            <v>51179</v>
          </cell>
          <cell r="N14">
            <v>2422.5100000000002</v>
          </cell>
          <cell r="O14">
            <v>1942.42</v>
          </cell>
          <cell r="P14">
            <v>404.59500000000003</v>
          </cell>
          <cell r="W14">
            <v>210</v>
          </cell>
          <cell r="X14">
            <v>-15.12</v>
          </cell>
          <cell r="Y14">
            <v>-6.7164000000000001</v>
          </cell>
          <cell r="AR14">
            <v>-415.08</v>
          </cell>
          <cell r="AS14">
            <v>-415.08</v>
          </cell>
          <cell r="AU14">
            <v>2321.9299999999998</v>
          </cell>
          <cell r="AV14">
            <v>1839.4</v>
          </cell>
          <cell r="AW14">
            <v>381.19909999999999</v>
          </cell>
          <cell r="BD14">
            <v>1693.2</v>
          </cell>
          <cell r="BE14">
            <v>1467.31</v>
          </cell>
          <cell r="BF14">
            <v>649.5684</v>
          </cell>
        </row>
        <row r="15">
          <cell r="B15">
            <v>51180</v>
          </cell>
          <cell r="N15">
            <v>9457.7800000000007</v>
          </cell>
          <cell r="O15">
            <v>7795.01</v>
          </cell>
          <cell r="P15">
            <v>468.79660000000001</v>
          </cell>
          <cell r="Z15">
            <v>-17.28</v>
          </cell>
          <cell r="AA15">
            <v>-17.28</v>
          </cell>
          <cell r="AU15">
            <v>2583.9699999999998</v>
          </cell>
          <cell r="AV15">
            <v>2008.37</v>
          </cell>
          <cell r="AW15">
            <v>348.91770000000002</v>
          </cell>
          <cell r="BD15">
            <v>1648.46</v>
          </cell>
          <cell r="BE15">
            <v>1379.41</v>
          </cell>
          <cell r="BF15">
            <v>512.69650000000001</v>
          </cell>
          <cell r="BM15">
            <v>1862.58</v>
          </cell>
          <cell r="BN15">
            <v>1336.83</v>
          </cell>
          <cell r="BO15">
            <v>254.27099999999999</v>
          </cell>
          <cell r="BY15">
            <v>-1862.58</v>
          </cell>
          <cell r="BZ15">
            <v>-1336.83</v>
          </cell>
          <cell r="CA15">
            <v>-254.27099999999999</v>
          </cell>
        </row>
        <row r="16">
          <cell r="B16">
            <v>51181</v>
          </cell>
          <cell r="AI16">
            <v>0</v>
          </cell>
          <cell r="AJ16">
            <v>-2701.17</v>
          </cell>
          <cell r="AK16">
            <v>-100</v>
          </cell>
        </row>
        <row r="17">
          <cell r="B17">
            <v>51182</v>
          </cell>
          <cell r="AI17">
            <v>0</v>
          </cell>
          <cell r="AJ17">
            <v>-223.96</v>
          </cell>
          <cell r="AK17">
            <v>-100</v>
          </cell>
        </row>
        <row r="18">
          <cell r="B18">
            <v>51183</v>
          </cell>
          <cell r="AI18">
            <v>5062.5600000000004</v>
          </cell>
          <cell r="AJ18">
            <v>4180.87</v>
          </cell>
          <cell r="AK18">
            <v>474.18819999999999</v>
          </cell>
          <cell r="AL18">
            <v>0</v>
          </cell>
          <cell r="AM18">
            <v>0</v>
          </cell>
          <cell r="AR18">
            <v>1102.5</v>
          </cell>
          <cell r="AS18">
            <v>888.17</v>
          </cell>
          <cell r="AT18">
            <v>414.39370000000002</v>
          </cell>
          <cell r="AU18">
            <v>0</v>
          </cell>
          <cell r="AV18">
            <v>-29.3</v>
          </cell>
          <cell r="AW18">
            <v>-100</v>
          </cell>
          <cell r="AX18">
            <v>1147.56</v>
          </cell>
          <cell r="AY18">
            <v>1013.18</v>
          </cell>
          <cell r="AZ18">
            <v>753.96640000000002</v>
          </cell>
          <cell r="BV18">
            <v>1276.92</v>
          </cell>
          <cell r="BW18">
            <v>970.48</v>
          </cell>
          <cell r="BX18">
            <v>316.69490000000002</v>
          </cell>
          <cell r="BY18">
            <v>-288</v>
          </cell>
          <cell r="BZ18">
            <v>-288</v>
          </cell>
          <cell r="CH18">
            <v>405</v>
          </cell>
          <cell r="CI18">
            <v>337.1</v>
          </cell>
          <cell r="CJ18">
            <v>496.46539999999999</v>
          </cell>
        </row>
        <row r="19">
          <cell r="B19">
            <v>51184</v>
          </cell>
          <cell r="BV19">
            <v>6655.7</v>
          </cell>
          <cell r="BW19">
            <v>5377.06</v>
          </cell>
          <cell r="BX19">
            <v>420.52960000000002</v>
          </cell>
          <cell r="BY19">
            <v>0</v>
          </cell>
          <cell r="BZ19">
            <v>-178.37</v>
          </cell>
          <cell r="CA19">
            <v>-100</v>
          </cell>
          <cell r="CB19">
            <v>611.45000000000005</v>
          </cell>
          <cell r="CC19">
            <v>443.81</v>
          </cell>
          <cell r="CD19">
            <v>264.73989999999998</v>
          </cell>
          <cell r="CE19">
            <v>1366.67</v>
          </cell>
          <cell r="CF19">
            <v>1181.81</v>
          </cell>
          <cell r="CG19">
            <v>639.29999999999995</v>
          </cell>
        </row>
        <row r="20">
          <cell r="B20">
            <v>51185</v>
          </cell>
          <cell r="BS20">
            <v>0</v>
          </cell>
          <cell r="BT20">
            <v>-764.51</v>
          </cell>
          <cell r="BU20">
            <v>-100</v>
          </cell>
          <cell r="CE20">
            <v>3019.77</v>
          </cell>
          <cell r="CF20">
            <v>2484.81</v>
          </cell>
          <cell r="CG20">
            <v>464.48520000000002</v>
          </cell>
        </row>
        <row r="21">
          <cell r="B21">
            <v>51186</v>
          </cell>
          <cell r="BS21">
            <v>2266.7800000000002</v>
          </cell>
          <cell r="BT21">
            <v>1471.43</v>
          </cell>
          <cell r="BU21">
            <v>185.00409999999999</v>
          </cell>
          <cell r="BV21">
            <v>0</v>
          </cell>
          <cell r="BW21">
            <v>-120.94</v>
          </cell>
          <cell r="BX21">
            <v>-100</v>
          </cell>
          <cell r="BY21">
            <v>0</v>
          </cell>
          <cell r="BZ21">
            <v>-140.31</v>
          </cell>
          <cell r="CA21">
            <v>-100</v>
          </cell>
          <cell r="CE21">
            <v>2153.08</v>
          </cell>
          <cell r="CF21">
            <v>1766.86</v>
          </cell>
          <cell r="CG21">
            <v>457.47500000000002</v>
          </cell>
        </row>
        <row r="22">
          <cell r="B22">
            <v>51187</v>
          </cell>
          <cell r="BV22">
            <v>1173.99</v>
          </cell>
          <cell r="BW22">
            <v>967.61</v>
          </cell>
          <cell r="BX22">
            <v>468.84870000000001</v>
          </cell>
          <cell r="CE22">
            <v>645.08000000000004</v>
          </cell>
          <cell r="CF22">
            <v>522.07000000000005</v>
          </cell>
          <cell r="CG22">
            <v>424.4126</v>
          </cell>
          <cell r="CH22">
            <v>338.4</v>
          </cell>
          <cell r="CI22">
            <v>290.57</v>
          </cell>
          <cell r="CJ22">
            <v>607.50580000000002</v>
          </cell>
        </row>
        <row r="23">
          <cell r="B23">
            <v>51189</v>
          </cell>
        </row>
        <row r="24">
          <cell r="B24">
            <v>51200</v>
          </cell>
          <cell r="CB24">
            <v>0</v>
          </cell>
          <cell r="CC24">
            <v>-390.44</v>
          </cell>
          <cell r="CD24">
            <v>-100</v>
          </cell>
        </row>
        <row r="25">
          <cell r="B25">
            <v>51201</v>
          </cell>
          <cell r="AF25">
            <v>0</v>
          </cell>
          <cell r="AG25">
            <v>-42.98</v>
          </cell>
          <cell r="AH25">
            <v>-100</v>
          </cell>
        </row>
        <row r="26">
          <cell r="B26">
            <v>51202</v>
          </cell>
          <cell r="AC26">
            <v>0</v>
          </cell>
          <cell r="AD26">
            <v>-1680.27</v>
          </cell>
          <cell r="AE26">
            <v>-100</v>
          </cell>
          <cell r="AF26">
            <v>0</v>
          </cell>
          <cell r="AG26">
            <v>-159.1</v>
          </cell>
          <cell r="AH26">
            <v>-100</v>
          </cell>
          <cell r="AO26">
            <v>0</v>
          </cell>
          <cell r="AP26">
            <v>-1549.01</v>
          </cell>
          <cell r="AQ26">
            <v>-100</v>
          </cell>
          <cell r="AR26">
            <v>2632.83</v>
          </cell>
          <cell r="AS26">
            <v>-241.3</v>
          </cell>
          <cell r="AT26">
            <v>-8.3956</v>
          </cell>
          <cell r="AU26">
            <v>0</v>
          </cell>
          <cell r="AV26">
            <v>-1232.9000000000001</v>
          </cell>
          <cell r="AW26">
            <v>-100</v>
          </cell>
          <cell r="AX26">
            <v>0</v>
          </cell>
          <cell r="AY26">
            <v>-299.72000000000003</v>
          </cell>
          <cell r="AZ26">
            <v>-100</v>
          </cell>
          <cell r="BA26">
            <v>0</v>
          </cell>
          <cell r="BB26">
            <v>-723.54</v>
          </cell>
          <cell r="BC26">
            <v>-100</v>
          </cell>
          <cell r="BD26">
            <v>0</v>
          </cell>
          <cell r="BE26">
            <v>-6553.12</v>
          </cell>
          <cell r="BF26">
            <v>-100</v>
          </cell>
          <cell r="BG26">
            <v>0</v>
          </cell>
          <cell r="BH26">
            <v>-327.92</v>
          </cell>
          <cell r="BI26">
            <v>-100</v>
          </cell>
          <cell r="BJ26">
            <v>0</v>
          </cell>
          <cell r="BK26">
            <v>-1797.31</v>
          </cell>
          <cell r="BL26">
            <v>-100</v>
          </cell>
          <cell r="BS26">
            <v>0</v>
          </cell>
          <cell r="BT26">
            <v>-2041.11</v>
          </cell>
          <cell r="BU26">
            <v>-100</v>
          </cell>
          <cell r="BV26">
            <v>0</v>
          </cell>
          <cell r="BW26">
            <v>-3992.27</v>
          </cell>
          <cell r="BX26">
            <v>-100</v>
          </cell>
          <cell r="BY26">
            <v>797.92</v>
          </cell>
          <cell r="BZ26">
            <v>-1723.77</v>
          </cell>
          <cell r="CA26">
            <v>-68.357699999999994</v>
          </cell>
          <cell r="CB26">
            <v>0</v>
          </cell>
          <cell r="CC26">
            <v>-1633.08</v>
          </cell>
          <cell r="CD26">
            <v>-100</v>
          </cell>
          <cell r="CE26">
            <v>0</v>
          </cell>
          <cell r="CF26">
            <v>-1835.19</v>
          </cell>
          <cell r="CG26">
            <v>-100</v>
          </cell>
          <cell r="CH26">
            <v>0</v>
          </cell>
          <cell r="CI26">
            <v>-3613.96</v>
          </cell>
          <cell r="CJ26">
            <v>-100</v>
          </cell>
        </row>
        <row r="27">
          <cell r="B27">
            <v>51206</v>
          </cell>
          <cell r="T27">
            <v>86.35</v>
          </cell>
          <cell r="U27">
            <v>14.99</v>
          </cell>
          <cell r="V27">
            <v>21.0062</v>
          </cell>
          <cell r="W27">
            <v>325.2</v>
          </cell>
          <cell r="X27">
            <v>57.32</v>
          </cell>
          <cell r="Y27">
            <v>21.397600000000001</v>
          </cell>
          <cell r="Z27">
            <v>323.52999999999997</v>
          </cell>
          <cell r="AA27">
            <v>58.64</v>
          </cell>
          <cell r="AB27">
            <v>22.137499999999999</v>
          </cell>
          <cell r="AF27">
            <v>162.30000000000001</v>
          </cell>
          <cell r="AG27">
            <v>28.17</v>
          </cell>
          <cell r="AH27">
            <v>21.001999999999999</v>
          </cell>
          <cell r="AI27">
            <v>436.51</v>
          </cell>
          <cell r="AJ27">
            <v>78.17</v>
          </cell>
          <cell r="AK27">
            <v>21.814499999999999</v>
          </cell>
          <cell r="AL27">
            <v>85.04</v>
          </cell>
          <cell r="AM27">
            <v>9.76</v>
          </cell>
          <cell r="AN27">
            <v>12.9649</v>
          </cell>
          <cell r="AO27">
            <v>717.3</v>
          </cell>
          <cell r="AP27">
            <v>107.06</v>
          </cell>
          <cell r="AQ27">
            <v>17.543900000000001</v>
          </cell>
          <cell r="AU27">
            <v>139.53</v>
          </cell>
          <cell r="AV27">
            <v>-3884.95</v>
          </cell>
          <cell r="AW27">
            <v>-96.533000000000001</v>
          </cell>
          <cell r="AX27">
            <v>119.64</v>
          </cell>
          <cell r="AY27">
            <v>10.84</v>
          </cell>
          <cell r="AZ27">
            <v>9.9632000000000005</v>
          </cell>
          <cell r="BA27">
            <v>0</v>
          </cell>
          <cell r="BB27">
            <v>-3327.87</v>
          </cell>
          <cell r="BC27">
            <v>-100</v>
          </cell>
          <cell r="BD27">
            <v>30.87</v>
          </cell>
          <cell r="BE27">
            <v>-152.63999999999999</v>
          </cell>
          <cell r="BF27">
            <v>-83.177999999999997</v>
          </cell>
          <cell r="BJ27">
            <v>140.84</v>
          </cell>
          <cell r="BK27">
            <v>22.52</v>
          </cell>
          <cell r="BL27">
            <v>19.033100000000001</v>
          </cell>
          <cell r="BS27">
            <v>44.41</v>
          </cell>
          <cell r="BT27">
            <v>-536.53</v>
          </cell>
          <cell r="BU27">
            <v>-92.355500000000006</v>
          </cell>
          <cell r="BV27">
            <v>411.65</v>
          </cell>
          <cell r="BW27">
            <v>-184.17</v>
          </cell>
          <cell r="BX27">
            <v>-30.910299999999999</v>
          </cell>
          <cell r="BY27">
            <v>128.51</v>
          </cell>
          <cell r="BZ27">
            <v>-1200.48</v>
          </cell>
          <cell r="CA27">
            <v>-90.330299999999994</v>
          </cell>
          <cell r="CB27">
            <v>430.94</v>
          </cell>
          <cell r="CC27">
            <v>-1403.27</v>
          </cell>
          <cell r="CD27">
            <v>-76.505399999999995</v>
          </cell>
          <cell r="CE27">
            <v>489.43</v>
          </cell>
          <cell r="CF27">
            <v>69.36</v>
          </cell>
          <cell r="CG27">
            <v>16.511500000000002</v>
          </cell>
          <cell r="CH27">
            <v>61.22</v>
          </cell>
          <cell r="CI27">
            <v>8.48</v>
          </cell>
          <cell r="CJ27">
            <v>16.078900000000001</v>
          </cell>
        </row>
        <row r="28">
          <cell r="B28">
            <v>51207</v>
          </cell>
          <cell r="AO28">
            <v>0</v>
          </cell>
          <cell r="AP28">
            <v>-1771.78</v>
          </cell>
          <cell r="AQ28">
            <v>-100</v>
          </cell>
          <cell r="AR28">
            <v>0</v>
          </cell>
          <cell r="AS28">
            <v>-218.18</v>
          </cell>
          <cell r="AT28">
            <v>-100</v>
          </cell>
          <cell r="AU28">
            <v>0</v>
          </cell>
          <cell r="AV28">
            <v>-476.88</v>
          </cell>
          <cell r="AW28">
            <v>-100</v>
          </cell>
          <cell r="AX28">
            <v>0</v>
          </cell>
          <cell r="AY28">
            <v>-538.04</v>
          </cell>
          <cell r="AZ28">
            <v>-100</v>
          </cell>
          <cell r="BA28">
            <v>0</v>
          </cell>
          <cell r="BB28">
            <v>-1240.8599999999999</v>
          </cell>
          <cell r="BC28">
            <v>-100</v>
          </cell>
          <cell r="BD28">
            <v>0</v>
          </cell>
          <cell r="BE28">
            <v>-2025.86</v>
          </cell>
          <cell r="BF28">
            <v>-100</v>
          </cell>
          <cell r="BG28">
            <v>0</v>
          </cell>
          <cell r="BH28">
            <v>-301.47000000000003</v>
          </cell>
          <cell r="BI28">
            <v>-100</v>
          </cell>
          <cell r="BV28">
            <v>0</v>
          </cell>
          <cell r="BW28">
            <v>-2347.06</v>
          </cell>
          <cell r="BX28">
            <v>-100</v>
          </cell>
          <cell r="BY28">
            <v>0</v>
          </cell>
          <cell r="BZ28">
            <v>-398.4</v>
          </cell>
          <cell r="CA28">
            <v>-100</v>
          </cell>
          <cell r="CB28">
            <v>0</v>
          </cell>
          <cell r="CC28">
            <v>-591.86</v>
          </cell>
          <cell r="CD28">
            <v>-100</v>
          </cell>
          <cell r="CE28">
            <v>0</v>
          </cell>
          <cell r="CF28">
            <v>0</v>
          </cell>
        </row>
        <row r="29">
          <cell r="B29">
            <v>51209</v>
          </cell>
          <cell r="AX29">
            <v>0</v>
          </cell>
          <cell r="AY29">
            <v>-2825.66</v>
          </cell>
          <cell r="AZ29">
            <v>-100</v>
          </cell>
          <cell r="BA29">
            <v>0</v>
          </cell>
          <cell r="BB29">
            <v>-1041.01</v>
          </cell>
          <cell r="BC29">
            <v>-100</v>
          </cell>
          <cell r="BD29">
            <v>0</v>
          </cell>
          <cell r="BE29">
            <v>-56.58</v>
          </cell>
          <cell r="BF29">
            <v>-100</v>
          </cell>
          <cell r="BG29">
            <v>0</v>
          </cell>
          <cell r="BH29">
            <v>-2599.1</v>
          </cell>
          <cell r="BI29">
            <v>-100</v>
          </cell>
        </row>
        <row r="30">
          <cell r="B30">
            <v>51210</v>
          </cell>
        </row>
        <row r="31">
          <cell r="B31">
            <v>53000</v>
          </cell>
          <cell r="K31">
            <v>2577.31</v>
          </cell>
          <cell r="L31">
            <v>2084.6</v>
          </cell>
          <cell r="M31">
            <v>423.08859999999999</v>
          </cell>
          <cell r="T31">
            <v>3413.83</v>
          </cell>
          <cell r="U31">
            <v>2896.92</v>
          </cell>
          <cell r="V31">
            <v>560.43020000000001</v>
          </cell>
          <cell r="AF31">
            <v>1656.66</v>
          </cell>
          <cell r="AG31">
            <v>1370.43</v>
          </cell>
          <cell r="AH31">
            <v>478.78629999999998</v>
          </cell>
          <cell r="BS31">
            <v>610.55999999999995</v>
          </cell>
          <cell r="BT31">
            <v>528.38</v>
          </cell>
          <cell r="BU31">
            <v>642.95450000000005</v>
          </cell>
          <cell r="BY31">
            <v>270</v>
          </cell>
          <cell r="BZ31">
            <v>127.8</v>
          </cell>
          <cell r="CA31">
            <v>89.873400000000004</v>
          </cell>
        </row>
        <row r="32">
          <cell r="B32">
            <v>53008</v>
          </cell>
          <cell r="T32">
            <v>992.89</v>
          </cell>
          <cell r="U32">
            <v>822.45</v>
          </cell>
          <cell r="V32">
            <v>482.54520000000002</v>
          </cell>
          <cell r="Z32">
            <v>498.17</v>
          </cell>
          <cell r="AA32">
            <v>388.51</v>
          </cell>
          <cell r="AB32">
            <v>354.286</v>
          </cell>
          <cell r="AO32">
            <v>596.84</v>
          </cell>
          <cell r="AP32">
            <v>489.08</v>
          </cell>
          <cell r="AQ32">
            <v>453.86040000000003</v>
          </cell>
          <cell r="AU32">
            <v>984.7</v>
          </cell>
          <cell r="AV32">
            <v>830.99</v>
          </cell>
          <cell r="AW32">
            <v>540.62199999999996</v>
          </cell>
          <cell r="BV32">
            <v>289.54000000000002</v>
          </cell>
          <cell r="BW32">
            <v>111.39</v>
          </cell>
          <cell r="BX32">
            <v>62.526000000000003</v>
          </cell>
        </row>
        <row r="33">
          <cell r="B33">
            <v>53011</v>
          </cell>
          <cell r="AO33">
            <v>1341.82</v>
          </cell>
          <cell r="AP33">
            <v>1121.6099999999999</v>
          </cell>
          <cell r="AQ33">
            <v>509.3365</v>
          </cell>
        </row>
        <row r="34">
          <cell r="B34">
            <v>53012</v>
          </cell>
          <cell r="AO34">
            <v>0</v>
          </cell>
          <cell r="AP34">
            <v>0</v>
          </cell>
        </row>
        <row r="35">
          <cell r="B35">
            <v>53013</v>
          </cell>
          <cell r="BV35">
            <v>6131.16</v>
          </cell>
          <cell r="BW35">
            <v>5080.05</v>
          </cell>
          <cell r="BX35">
            <v>483.30340000000001</v>
          </cell>
        </row>
        <row r="36">
          <cell r="B36">
            <v>53014</v>
          </cell>
          <cell r="BY36">
            <v>0</v>
          </cell>
          <cell r="BZ36">
            <v>-180.13</v>
          </cell>
          <cell r="CA36">
            <v>-100</v>
          </cell>
          <cell r="CB36">
            <v>7912.09</v>
          </cell>
          <cell r="CC36">
            <v>5625.26</v>
          </cell>
          <cell r="CD36">
            <v>245.98509999999999</v>
          </cell>
        </row>
        <row r="37">
          <cell r="B37">
            <v>53015</v>
          </cell>
        </row>
        <row r="38">
          <cell r="B38">
            <v>53016</v>
          </cell>
        </row>
        <row r="39">
          <cell r="B39">
            <v>53017</v>
          </cell>
        </row>
        <row r="40">
          <cell r="B40">
            <v>59100</v>
          </cell>
          <cell r="E40">
            <v>8241.64</v>
          </cell>
          <cell r="F40">
            <v>7578.92</v>
          </cell>
          <cell r="G40">
            <v>1143.6079999999999</v>
          </cell>
          <cell r="H40">
            <v>9477.32</v>
          </cell>
          <cell r="I40">
            <v>8545.33</v>
          </cell>
          <cell r="J40">
            <v>916.89070000000004</v>
          </cell>
          <cell r="K40">
            <v>6938.66</v>
          </cell>
          <cell r="L40">
            <v>6456.53</v>
          </cell>
          <cell r="M40">
            <v>1339.1679999999999</v>
          </cell>
          <cell r="N40">
            <v>6718.17</v>
          </cell>
          <cell r="O40">
            <v>6217.92</v>
          </cell>
          <cell r="P40">
            <v>1242.963</v>
          </cell>
          <cell r="Q40">
            <v>5044.32</v>
          </cell>
          <cell r="R40">
            <v>4674.6400000000003</v>
          </cell>
          <cell r="S40">
            <v>1264.51</v>
          </cell>
          <cell r="T40">
            <v>6972.82</v>
          </cell>
          <cell r="U40">
            <v>6278.34</v>
          </cell>
          <cell r="V40">
            <v>904.03470000000004</v>
          </cell>
          <cell r="W40">
            <v>7275.58</v>
          </cell>
          <cell r="X40">
            <v>6741.32</v>
          </cell>
          <cell r="Y40">
            <v>1261.8050000000001</v>
          </cell>
          <cell r="Z40">
            <v>4339.83</v>
          </cell>
          <cell r="AA40">
            <v>2045.33</v>
          </cell>
          <cell r="AB40">
            <v>89.140600000000006</v>
          </cell>
          <cell r="AC40">
            <v>5940.82</v>
          </cell>
          <cell r="AD40">
            <v>-5238.49</v>
          </cell>
          <cell r="AE40">
            <v>-46.858800000000002</v>
          </cell>
          <cell r="AF40">
            <v>5446.59</v>
          </cell>
          <cell r="AG40">
            <v>-11588</v>
          </cell>
          <cell r="AH40">
            <v>-68.026300000000006</v>
          </cell>
          <cell r="AI40">
            <v>6069.91</v>
          </cell>
          <cell r="AJ40">
            <v>-4256.26</v>
          </cell>
          <cell r="AK40">
            <v>-41.218200000000003</v>
          </cell>
          <cell r="AL40">
            <v>4891.66</v>
          </cell>
          <cell r="AM40">
            <v>-9224.2000000000007</v>
          </cell>
          <cell r="AN40">
            <v>-65.346400000000003</v>
          </cell>
          <cell r="AO40">
            <v>4786.22</v>
          </cell>
          <cell r="AP40">
            <v>-6341.93</v>
          </cell>
          <cell r="AQ40">
            <v>-56.99</v>
          </cell>
          <cell r="AR40">
            <v>3378.14</v>
          </cell>
          <cell r="AS40">
            <v>-4687.5</v>
          </cell>
          <cell r="AT40">
            <v>-58.116900000000001</v>
          </cell>
          <cell r="AU40">
            <v>3935.42</v>
          </cell>
          <cell r="AV40">
            <v>-4833.51</v>
          </cell>
          <cell r="AW40">
            <v>-55.120899999999999</v>
          </cell>
          <cell r="AX40">
            <v>6894.21</v>
          </cell>
          <cell r="AY40">
            <v>3228.4</v>
          </cell>
          <cell r="AZ40">
            <v>88.067800000000005</v>
          </cell>
          <cell r="BA40">
            <v>8149.61</v>
          </cell>
          <cell r="BB40">
            <v>6996.03</v>
          </cell>
          <cell r="BC40">
            <v>606.46249999999998</v>
          </cell>
          <cell r="BD40">
            <v>5781.65</v>
          </cell>
          <cell r="BE40">
            <v>4175.76</v>
          </cell>
          <cell r="BF40">
            <v>260.02780000000001</v>
          </cell>
          <cell r="BG40">
            <v>7685.45</v>
          </cell>
          <cell r="BH40">
            <v>6412.46</v>
          </cell>
          <cell r="BI40">
            <v>503.73219999999998</v>
          </cell>
          <cell r="BJ40">
            <v>5717.5</v>
          </cell>
          <cell r="BK40">
            <v>5579.71</v>
          </cell>
          <cell r="BL40">
            <v>4049.43</v>
          </cell>
          <cell r="BM40">
            <v>2949.58</v>
          </cell>
          <cell r="BN40">
            <v>2499.91</v>
          </cell>
          <cell r="BO40">
            <v>555.94320000000005</v>
          </cell>
          <cell r="BP40">
            <v>3214.17</v>
          </cell>
          <cell r="BQ40">
            <v>1932.66</v>
          </cell>
          <cell r="BR40">
            <v>150.81120000000001</v>
          </cell>
          <cell r="BS40">
            <v>7510.42</v>
          </cell>
          <cell r="BT40">
            <v>4469.88</v>
          </cell>
          <cell r="BU40">
            <v>147.0094</v>
          </cell>
          <cell r="BV40">
            <v>5707.12</v>
          </cell>
          <cell r="BW40">
            <v>2277.67</v>
          </cell>
          <cell r="BX40">
            <v>66.415000000000006</v>
          </cell>
          <cell r="BY40">
            <v>4235.8599999999997</v>
          </cell>
          <cell r="BZ40">
            <v>2520.6</v>
          </cell>
          <cell r="CA40">
            <v>146.95150000000001</v>
          </cell>
          <cell r="CB40">
            <v>6752.53</v>
          </cell>
          <cell r="CC40">
            <v>3048.72</v>
          </cell>
          <cell r="CD40">
            <v>82.313100000000006</v>
          </cell>
          <cell r="CE40">
            <v>4774.57</v>
          </cell>
          <cell r="CF40">
            <v>3294.06</v>
          </cell>
          <cell r="CG40">
            <v>222.495</v>
          </cell>
          <cell r="CH40">
            <v>6251.65</v>
          </cell>
          <cell r="CI40">
            <v>4927.2700000000004</v>
          </cell>
          <cell r="CJ40">
            <v>372.04349999999999</v>
          </cell>
        </row>
        <row r="41">
          <cell r="B41">
            <v>59200</v>
          </cell>
          <cell r="E41">
            <v>4279</v>
          </cell>
          <cell r="F41">
            <v>4056.22</v>
          </cell>
          <cell r="G41">
            <v>1820.729</v>
          </cell>
          <cell r="H41">
            <v>4417.95</v>
          </cell>
          <cell r="I41">
            <v>4100.74</v>
          </cell>
          <cell r="J41">
            <v>1292.752</v>
          </cell>
          <cell r="K41">
            <v>768.95</v>
          </cell>
          <cell r="L41">
            <v>714.42</v>
          </cell>
          <cell r="M41">
            <v>1310.1410000000001</v>
          </cell>
          <cell r="N41">
            <v>1654.5</v>
          </cell>
          <cell r="O41">
            <v>1555.72</v>
          </cell>
          <cell r="P41">
            <v>1574.934</v>
          </cell>
          <cell r="Q41">
            <v>175</v>
          </cell>
          <cell r="R41">
            <v>167.42</v>
          </cell>
          <cell r="S41">
            <v>2208.7069999999999</v>
          </cell>
          <cell r="T41">
            <v>1163.3499999999999</v>
          </cell>
          <cell r="U41">
            <v>1084.4000000000001</v>
          </cell>
          <cell r="V41">
            <v>1373.528</v>
          </cell>
          <cell r="W41">
            <v>253</v>
          </cell>
          <cell r="X41">
            <v>234</v>
          </cell>
          <cell r="Y41">
            <v>1231.579</v>
          </cell>
          <cell r="Z41">
            <v>58</v>
          </cell>
          <cell r="AA41">
            <v>-923.62</v>
          </cell>
          <cell r="AB41">
            <v>-94.091399999999993</v>
          </cell>
          <cell r="AC41">
            <v>844</v>
          </cell>
          <cell r="AD41">
            <v>-250.43</v>
          </cell>
          <cell r="AE41">
            <v>-22.882200000000001</v>
          </cell>
          <cell r="AF41">
            <v>1985</v>
          </cell>
          <cell r="AG41">
            <v>898.68</v>
          </cell>
          <cell r="AH41">
            <v>82.727000000000004</v>
          </cell>
          <cell r="AI41">
            <v>1948</v>
          </cell>
          <cell r="AJ41">
            <v>1801.7</v>
          </cell>
          <cell r="AK41">
            <v>1231.511</v>
          </cell>
          <cell r="AL41">
            <v>994</v>
          </cell>
          <cell r="AM41">
            <v>631.95000000000005</v>
          </cell>
          <cell r="AN41">
            <v>174.54769999999999</v>
          </cell>
          <cell r="AO41">
            <v>2440</v>
          </cell>
          <cell r="AP41">
            <v>2292</v>
          </cell>
          <cell r="AQ41">
            <v>1548.6489999999999</v>
          </cell>
          <cell r="AR41">
            <v>933</v>
          </cell>
          <cell r="AS41">
            <v>877.9</v>
          </cell>
          <cell r="AT41">
            <v>1593.2850000000001</v>
          </cell>
          <cell r="AU41">
            <v>1335</v>
          </cell>
          <cell r="AV41">
            <v>-1675.17</v>
          </cell>
          <cell r="AW41">
            <v>-55.650300000000001</v>
          </cell>
          <cell r="AX41">
            <v>1035</v>
          </cell>
          <cell r="AY41">
            <v>979.6</v>
          </cell>
          <cell r="AZ41">
            <v>1768.231</v>
          </cell>
          <cell r="BA41">
            <v>1960</v>
          </cell>
          <cell r="BB41">
            <v>1853.59</v>
          </cell>
          <cell r="BC41">
            <v>1741.932</v>
          </cell>
          <cell r="BD41">
            <v>315</v>
          </cell>
          <cell r="BE41">
            <v>296.16000000000003</v>
          </cell>
          <cell r="BF41">
            <v>1571.9749999999999</v>
          </cell>
          <cell r="BG41">
            <v>1575</v>
          </cell>
          <cell r="BH41">
            <v>1478.74</v>
          </cell>
          <cell r="BI41">
            <v>1536.194</v>
          </cell>
          <cell r="BJ41">
            <v>2752.6</v>
          </cell>
          <cell r="BK41">
            <v>2346.98</v>
          </cell>
          <cell r="BL41">
            <v>578.6155</v>
          </cell>
          <cell r="BM41">
            <v>185</v>
          </cell>
          <cell r="BN41">
            <v>165.28</v>
          </cell>
          <cell r="BO41">
            <v>838.13390000000004</v>
          </cell>
          <cell r="BS41">
            <v>1910.65</v>
          </cell>
          <cell r="BT41">
            <v>1409.27</v>
          </cell>
          <cell r="BU41">
            <v>281.07819999999998</v>
          </cell>
          <cell r="BV41">
            <v>465</v>
          </cell>
          <cell r="BW41">
            <v>241.3</v>
          </cell>
          <cell r="BX41">
            <v>107.8677</v>
          </cell>
          <cell r="BY41">
            <v>425</v>
          </cell>
          <cell r="BZ41">
            <v>396.38</v>
          </cell>
          <cell r="CA41">
            <v>1384.9760000000001</v>
          </cell>
          <cell r="CB41">
            <v>1655</v>
          </cell>
          <cell r="CC41">
            <v>600.25</v>
          </cell>
          <cell r="CD41">
            <v>56.909199999999998</v>
          </cell>
          <cell r="CE41">
            <v>1715</v>
          </cell>
          <cell r="CF41">
            <v>1602.04</v>
          </cell>
          <cell r="CG41">
            <v>1418.2370000000001</v>
          </cell>
          <cell r="CH41">
            <v>1550</v>
          </cell>
          <cell r="CI41">
            <v>1440.58</v>
          </cell>
          <cell r="CJ41">
            <v>1316.56</v>
          </cell>
        </row>
      </sheetData>
      <sheetData sheetId="8" refreshError="1"/>
      <sheetData sheetId="9" refreshError="1"/>
      <sheetData sheetId="10">
        <row r="1">
          <cell r="B1" t="str">
            <v>Customer Code</v>
          </cell>
        </row>
      </sheetData>
      <sheetData sheetId="11">
        <row r="1">
          <cell r="B1" t="str">
            <v>Customer Code</v>
          </cell>
        </row>
      </sheetData>
      <sheetData sheetId="12">
        <row r="1">
          <cell r="B1" t="str">
            <v>Customer Code</v>
          </cell>
        </row>
      </sheetData>
      <sheetData sheetId="13">
        <row r="1">
          <cell r="B1" t="str">
            <v>Customer Code</v>
          </cell>
        </row>
      </sheetData>
      <sheetData sheetId="14">
        <row r="1">
          <cell r="B1" t="str">
            <v>Customer Code</v>
          </cell>
        </row>
      </sheetData>
      <sheetData sheetId="15">
        <row r="1">
          <cell r="B1" t="str">
            <v>Customer Code</v>
          </cell>
        </row>
      </sheetData>
      <sheetData sheetId="16">
        <row r="1">
          <cell r="B1" t="str">
            <v>Customer Code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teve Byrom-Chadd" id="{4FB9D24D-19C0-4F90-BF77-31417126F303}" userId="S::steve@qmsmedicosmetics.com::777caef4-0ce7-43ca-af7c-8d293a37077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1" dT="2025-08-20T14:19:14.55" personId="{4FB9D24D-19C0-4F90-BF77-31417126F303}" id="{E87489DD-3D56-4D2B-AF65-70F44E48B0E2}">
    <text>Enter no. new doors to be won in 2026</text>
  </threadedComment>
  <threadedComment ref="K31" dT="2025-08-20T14:19:29.56" personId="{4FB9D24D-19C0-4F90-BF77-31417126F303}" id="{BB614550-DC72-4E20-9210-EE2B757BEC10}">
    <text>Enter sales from new doors won in in 2026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0" dT="2025-08-20T14:19:14.55" personId="{4FB9D24D-19C0-4F90-BF77-31417126F303}" id="{93B586A3-F3C8-45C3-8969-70BFDC63C9AF}">
    <text>Enter no. new doors to be won from Aug-Dec</text>
  </threadedComment>
  <threadedComment ref="J10" dT="2025-08-20T14:19:29.56" personId="{4FB9D24D-19C0-4F90-BF77-31417126F303}" id="{8B78CF59-8F9A-4516-A218-A302C86D11FF}">
    <text>Enter sales from new doors won in Aug-Dec in 2025</text>
  </threadedComment>
  <threadedComment ref="K10" dT="2025-08-20T14:19:29.56" personId="{4FB9D24D-19C0-4F90-BF77-31417126F303}" id="{12D73FB7-9EF5-4D6A-B1D2-BB3DAC17F97B}">
    <text>Enter sales from new doors won in Aug-Dec in 2026</text>
  </threadedComment>
  <threadedComment ref="H16" dT="2025-08-20T14:19:14.55" personId="{4FB9D24D-19C0-4F90-BF77-31417126F303}" id="{245E6538-D61B-4B92-A068-517D0F84D96E}">
    <text>Enter no. new doors to be won in 2026</text>
  </threadedComment>
  <threadedComment ref="K16" dT="2025-08-20T14:19:29.56" personId="{4FB9D24D-19C0-4F90-BF77-31417126F303}" id="{6B7C3575-4303-4422-AE31-93BF1B75EAFB}">
    <text>Enter sales from new doors won in in 2026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9" dT="2025-08-20T14:19:14.55" personId="{4FB9D24D-19C0-4F90-BF77-31417126F303}" id="{A2D29B01-0B89-421F-82C0-4C52457CF22E}">
    <text>Enter no. new doors to be won from Aug-Dec</text>
  </threadedComment>
  <threadedComment ref="J9" dT="2025-08-20T14:19:29.56" personId="{4FB9D24D-19C0-4F90-BF77-31417126F303}" id="{83625152-F113-4A94-91AE-AD8686045B79}">
    <text>Enter sales from new doors won in Aug-Dec in 2025</text>
  </threadedComment>
  <threadedComment ref="K9" dT="2025-08-20T14:19:29.56" personId="{4FB9D24D-19C0-4F90-BF77-31417126F303}" id="{1AD835A8-A436-4491-96CD-3AB828B50737}">
    <text>Enter sales from new doors won in Aug-Dec in 2026</text>
  </threadedComment>
  <threadedComment ref="H15" dT="2025-08-20T14:19:14.55" personId="{4FB9D24D-19C0-4F90-BF77-31417126F303}" id="{E5C12C74-5C5E-40A2-9790-C850EB12F394}">
    <text>Enter no. new doors to be won in 2026</text>
  </threadedComment>
  <threadedComment ref="K15" dT="2025-08-20T14:19:29.56" personId="{4FB9D24D-19C0-4F90-BF77-31417126F303}" id="{0C6591F7-60A6-416C-819C-D79906E63637}">
    <text>Enter sales from new doors won in in 2026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993C-2E2F-4939-8B18-27529A17F9CB}">
  <dimension ref="B2:X19"/>
  <sheetViews>
    <sheetView showGridLines="0" tabSelected="1" workbookViewId="0">
      <selection activeCell="B6" sqref="B6"/>
    </sheetView>
  </sheetViews>
  <sheetFormatPr defaultRowHeight="15"/>
  <cols>
    <col min="2" max="2" width="13.42578125" bestFit="1" customWidth="1"/>
    <col min="3" max="7" width="11.5703125" customWidth="1"/>
    <col min="9" max="11" width="11.5703125" customWidth="1"/>
  </cols>
  <sheetData>
    <row r="2" spans="2:24">
      <c r="B2" s="51" t="s">
        <v>0</v>
      </c>
      <c r="C2" s="58" t="s">
        <v>1</v>
      </c>
      <c r="D2" s="58"/>
      <c r="E2" s="58"/>
      <c r="F2" s="58"/>
      <c r="G2" s="58"/>
      <c r="I2" s="58" t="s">
        <v>1</v>
      </c>
      <c r="J2" s="58"/>
      <c r="K2" s="58"/>
      <c r="M2" s="58" t="s">
        <v>2</v>
      </c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</row>
    <row r="3" spans="2:24" s="52" customFormat="1">
      <c r="B3" s="53"/>
      <c r="C3" s="53" t="s">
        <v>3</v>
      </c>
      <c r="D3" s="53" t="s">
        <v>4</v>
      </c>
      <c r="E3" s="53" t="s">
        <v>5</v>
      </c>
      <c r="F3" s="53" t="s">
        <v>6</v>
      </c>
      <c r="G3" s="53" t="s">
        <v>7</v>
      </c>
      <c r="I3" s="53" t="s">
        <v>8</v>
      </c>
      <c r="J3" s="53" t="s">
        <v>3</v>
      </c>
      <c r="K3" s="53" t="s">
        <v>9</v>
      </c>
      <c r="M3" s="54">
        <v>46023</v>
      </c>
      <c r="N3" s="54">
        <v>46054</v>
      </c>
      <c r="O3" s="54">
        <v>46082</v>
      </c>
      <c r="P3" s="54">
        <v>46113</v>
      </c>
      <c r="Q3" s="54">
        <v>46143</v>
      </c>
      <c r="R3" s="54">
        <v>46174</v>
      </c>
      <c r="S3" s="54">
        <v>46204</v>
      </c>
      <c r="T3" s="54">
        <v>46235</v>
      </c>
      <c r="U3" s="54">
        <v>46266</v>
      </c>
      <c r="V3" s="54">
        <v>46296</v>
      </c>
      <c r="W3" s="54">
        <v>46327</v>
      </c>
      <c r="X3" s="54">
        <v>46357</v>
      </c>
    </row>
    <row r="4" spans="2:24">
      <c r="B4" t="s">
        <v>10</v>
      </c>
      <c r="C4" s="49">
        <f>'UK Spa Budget'!Z13+'UK Spa Budget'!Z27+'UK Spa Budget'!Z33</f>
        <v>153854.60999999999</v>
      </c>
      <c r="D4" s="49">
        <f>'UK Spa Budget'!Y13+'UK Spa Budget'!Y27+'UK Spa Budget'!Y33</f>
        <v>229000</v>
      </c>
      <c r="E4" s="35">
        <f>IFERROR(C4/D4-1, "N/A")</f>
        <v>-0.32814580786026204</v>
      </c>
      <c r="F4" s="49">
        <f>'UK Spa Budget'!X13+'UK Spa Budget'!X27+'UK Spa Budget'!X33</f>
        <v>103321.20999999999</v>
      </c>
      <c r="G4" s="35">
        <f>IFERROR(C4/F4-1, "N/A")</f>
        <v>0.48909028456015946</v>
      </c>
      <c r="I4" s="49">
        <f>'UK Spa Budget'!AA13+'UK Spa Budget'!AA27+'UK Spa Budget'!AA33</f>
        <v>299000</v>
      </c>
      <c r="J4" s="3">
        <f>C4</f>
        <v>153854.60999999999</v>
      </c>
      <c r="K4" s="35">
        <f>IFERROR(I4/J4-1, "N/A")</f>
        <v>0.94339318139378481</v>
      </c>
      <c r="M4" s="49">
        <f>'UK Spa Budget'!AG13+'UK Spa Budget'!AG27+'UK Spa Budget'!AG33</f>
        <v>15920</v>
      </c>
      <c r="N4" s="49">
        <f>'UK Spa Budget'!AH13+'UK Spa Budget'!AH27+'UK Spa Budget'!AH33</f>
        <v>19920</v>
      </c>
      <c r="O4" s="49">
        <f>'UK Spa Budget'!AI13+'UK Spa Budget'!AI27+'UK Spa Budget'!AI33</f>
        <v>21910</v>
      </c>
      <c r="P4" s="49">
        <f>'UK Spa Budget'!AJ13+'UK Spa Budget'!AJ27+'UK Spa Budget'!AJ33</f>
        <v>21910</v>
      </c>
      <c r="Q4" s="49">
        <f>'UK Spa Budget'!AK13+'UK Spa Budget'!AK27+'UK Spa Budget'!AK33</f>
        <v>24910</v>
      </c>
      <c r="R4" s="49">
        <f>'UK Spa Budget'!AL13+'UK Spa Budget'!AL27+'UK Spa Budget'!AL33</f>
        <v>21925</v>
      </c>
      <c r="S4" s="49">
        <f>'UK Spa Budget'!AM13+'UK Spa Budget'!AM27+'UK Spa Budget'!AM33</f>
        <v>23930</v>
      </c>
      <c r="T4" s="49">
        <f>'UK Spa Budget'!AN13+'UK Spa Budget'!AN27+'UK Spa Budget'!AN33</f>
        <v>21940</v>
      </c>
      <c r="U4" s="49">
        <f>'UK Spa Budget'!AO13+'UK Spa Budget'!AO27+'UK Spa Budget'!AO33</f>
        <v>31905</v>
      </c>
      <c r="V4" s="49">
        <f>'UK Spa Budget'!AP13+'UK Spa Budget'!AP27+'UK Spa Budget'!AP33</f>
        <v>33895</v>
      </c>
      <c r="W4" s="49">
        <f>'UK Spa Budget'!AQ13+'UK Spa Budget'!AQ27+'UK Spa Budget'!AQ33</f>
        <v>33910</v>
      </c>
      <c r="X4" s="49">
        <f>'UK Spa Budget'!AR13+'UK Spa Budget'!AR27+'UK Spa Budget'!AR33</f>
        <v>26925</v>
      </c>
    </row>
    <row r="5" spans="2:24">
      <c r="B5" t="s">
        <v>11</v>
      </c>
      <c r="C5" s="49">
        <f>'UK Retail Budget'!Z6</f>
        <v>143746.56</v>
      </c>
      <c r="D5" s="3">
        <f>'UK Retail Budget'!Y6</f>
        <v>137000</v>
      </c>
      <c r="E5" s="35">
        <f>IFERROR(C5/D5-1, "N/A")</f>
        <v>4.9244963503649597E-2</v>
      </c>
      <c r="F5" s="55">
        <f>'UK Retail Budget'!X6</f>
        <v>147667.26</v>
      </c>
      <c r="G5" s="35">
        <f>IFERROR(C5/F5-1, "N/A")</f>
        <v>-2.6550909118243315E-2</v>
      </c>
      <c r="I5" s="3">
        <f>'UK Retail Budget'!AA6</f>
        <v>160000</v>
      </c>
      <c r="J5" s="3">
        <f>C5</f>
        <v>143746.56</v>
      </c>
      <c r="K5" s="35">
        <f>IFERROR(I5/J5-1, "N/A")</f>
        <v>0.11307011451265336</v>
      </c>
      <c r="M5" s="3">
        <f>'UK Retail Budget'!AG6</f>
        <v>12800</v>
      </c>
      <c r="N5" s="3">
        <f>'UK Retail Budget'!AH6</f>
        <v>12800</v>
      </c>
      <c r="O5" s="3">
        <f>'UK Retail Budget'!AI6</f>
        <v>14400</v>
      </c>
      <c r="P5" s="3">
        <f>'UK Retail Budget'!AJ6</f>
        <v>14400</v>
      </c>
      <c r="Q5" s="3">
        <f>'UK Retail Budget'!AK6</f>
        <v>14400</v>
      </c>
      <c r="R5" s="3">
        <f>'UK Retail Budget'!AL6</f>
        <v>12000</v>
      </c>
      <c r="S5" s="3">
        <f>'UK Retail Budget'!AM6</f>
        <v>11200</v>
      </c>
      <c r="T5" s="3">
        <f>'UK Retail Budget'!AN6</f>
        <v>9600</v>
      </c>
      <c r="U5" s="3">
        <f>'UK Retail Budget'!AO6</f>
        <v>15200</v>
      </c>
      <c r="V5" s="3">
        <f>'UK Retail Budget'!AP6</f>
        <v>16800</v>
      </c>
      <c r="W5" s="3">
        <f>'UK Retail Budget'!AQ6</f>
        <v>14400</v>
      </c>
      <c r="X5" s="3">
        <f>'UK Retail Budget'!AR6</f>
        <v>12000</v>
      </c>
    </row>
    <row r="6" spans="2:24">
      <c r="B6" t="s">
        <v>12</v>
      </c>
      <c r="C6" s="49">
        <f>'Global eTailer Budget'!Z5</f>
        <v>28083.11</v>
      </c>
      <c r="D6" s="3">
        <f>'Global eTailer Budget'!Y5</f>
        <v>15000</v>
      </c>
      <c r="E6" s="35">
        <f t="shared" ref="E6:E8" si="0">IFERROR(C6/D6-1, "N/A")</f>
        <v>0.87220733333333333</v>
      </c>
      <c r="F6" s="3">
        <f>'Global eTailer Budget'!X5</f>
        <v>8649.6600000000017</v>
      </c>
      <c r="G6" s="35">
        <f t="shared" ref="G6:G8" si="1">IFERROR(C6/F6-1, "N/A")</f>
        <v>2.2467299292688954</v>
      </c>
      <c r="I6" s="3">
        <f>'Global eTailer Budget'!AA5</f>
        <v>30000</v>
      </c>
      <c r="J6" s="3">
        <f>C6</f>
        <v>28083.11</v>
      </c>
      <c r="K6" s="35">
        <f t="shared" ref="K6" si="2">IFERROR(I6/J6-1, "N/A")</f>
        <v>6.8257753503796481E-2</v>
      </c>
      <c r="M6" s="3">
        <f>'Global eTailer Budget'!AG5</f>
        <v>2500</v>
      </c>
      <c r="N6" s="3">
        <f>'Global eTailer Budget'!AH5</f>
        <v>2500</v>
      </c>
      <c r="O6" s="3">
        <f>'Global eTailer Budget'!AI5</f>
        <v>2500</v>
      </c>
      <c r="P6" s="3">
        <f>'Global eTailer Budget'!AJ5</f>
        <v>2500</v>
      </c>
      <c r="Q6" s="3">
        <f>'Global eTailer Budget'!AK5</f>
        <v>2500</v>
      </c>
      <c r="R6" s="3">
        <f>'Global eTailer Budget'!AL5</f>
        <v>2500</v>
      </c>
      <c r="S6" s="3">
        <f>'Global eTailer Budget'!AM5</f>
        <v>2500</v>
      </c>
      <c r="T6" s="3">
        <f>'Global eTailer Budget'!AN5</f>
        <v>2500</v>
      </c>
      <c r="U6" s="3">
        <f>'Global eTailer Budget'!AO5</f>
        <v>2500</v>
      </c>
      <c r="V6" s="3">
        <f>'Global eTailer Budget'!AP5</f>
        <v>2500</v>
      </c>
      <c r="W6" s="3">
        <f>'Global eTailer Budget'!AQ5</f>
        <v>2500</v>
      </c>
      <c r="X6" s="3">
        <f>'Global eTailer Budget'!AR5</f>
        <v>2500</v>
      </c>
    </row>
    <row r="7" spans="2:24" ht="6" customHeight="1">
      <c r="E7" s="35"/>
      <c r="F7" s="47"/>
      <c r="G7" s="35"/>
      <c r="K7" s="35"/>
    </row>
    <row r="8" spans="2:24">
      <c r="B8" s="42" t="s">
        <v>13</v>
      </c>
      <c r="C8" s="56">
        <f>SUM(C4:C6)</f>
        <v>325684.27999999997</v>
      </c>
      <c r="D8" s="56">
        <f>SUM(D4:D6)</f>
        <v>381000</v>
      </c>
      <c r="E8" s="57">
        <f t="shared" si="0"/>
        <v>-0.14518561679790032</v>
      </c>
      <c r="F8" s="56">
        <f>SUM(F4:F6)</f>
        <v>259638.13</v>
      </c>
      <c r="G8" s="57">
        <f t="shared" si="1"/>
        <v>0.25437769868393345</v>
      </c>
      <c r="I8" s="56">
        <f>SUM(I4:I6)</f>
        <v>489000</v>
      </c>
      <c r="J8" s="56">
        <f>SUM(J4:J6)</f>
        <v>325684.27999999997</v>
      </c>
      <c r="K8" s="57">
        <f t="shared" ref="K8" si="3">IFERROR(I8/J8-1, "N/A")</f>
        <v>0.50145410764068821</v>
      </c>
      <c r="M8" s="56">
        <f>SUM(M4:M6)</f>
        <v>31220</v>
      </c>
      <c r="N8" s="56">
        <f>SUM(N4:N6)</f>
        <v>35220</v>
      </c>
      <c r="O8" s="56">
        <f>SUM(O4:O6)</f>
        <v>38810</v>
      </c>
      <c r="P8" s="56">
        <f>SUM(P4:P6)</f>
        <v>38810</v>
      </c>
      <c r="Q8" s="56">
        <f>SUM(Q4:Q6)</f>
        <v>41810</v>
      </c>
      <c r="R8" s="56">
        <f>SUM(R4:R6)</f>
        <v>36425</v>
      </c>
      <c r="S8" s="56">
        <f>SUM(S4:S6)</f>
        <v>37630</v>
      </c>
      <c r="T8" s="56">
        <f>SUM(T4:T6)</f>
        <v>34040</v>
      </c>
      <c r="U8" s="56">
        <f>SUM(U4:U6)</f>
        <v>49605</v>
      </c>
      <c r="V8" s="56">
        <f>SUM(V4:V6)</f>
        <v>53195</v>
      </c>
      <c r="W8" s="56">
        <f>SUM(W4:W6)</f>
        <v>50810</v>
      </c>
      <c r="X8" s="56">
        <f>SUM(X4:X6)</f>
        <v>41425</v>
      </c>
    </row>
    <row r="13" spans="2:24">
      <c r="B13" s="51" t="s">
        <v>14</v>
      </c>
      <c r="C13" s="58" t="s">
        <v>1</v>
      </c>
      <c r="D13" s="58"/>
      <c r="E13" s="58"/>
      <c r="F13" s="58"/>
      <c r="G13" s="58"/>
      <c r="I13" s="58" t="s">
        <v>1</v>
      </c>
      <c r="J13" s="58"/>
      <c r="K13" s="58"/>
    </row>
    <row r="14" spans="2:24" s="52" customFormat="1">
      <c r="B14" s="53"/>
      <c r="C14" s="53" t="s">
        <v>3</v>
      </c>
      <c r="D14" s="53" t="s">
        <v>4</v>
      </c>
      <c r="E14" s="53" t="s">
        <v>5</v>
      </c>
      <c r="F14" s="53" t="s">
        <v>6</v>
      </c>
      <c r="G14" s="53" t="s">
        <v>7</v>
      </c>
      <c r="I14" s="53" t="s">
        <v>8</v>
      </c>
      <c r="J14" s="53" t="s">
        <v>3</v>
      </c>
      <c r="K14" s="53" t="s">
        <v>9</v>
      </c>
      <c r="M14" s="54">
        <v>46023</v>
      </c>
      <c r="N14" s="54">
        <v>46054</v>
      </c>
      <c r="O14" s="54">
        <v>46082</v>
      </c>
      <c r="P14" s="54">
        <v>46113</v>
      </c>
      <c r="Q14" s="54">
        <v>46143</v>
      </c>
      <c r="R14" s="54">
        <v>46174</v>
      </c>
      <c r="S14" s="54">
        <v>46204</v>
      </c>
      <c r="T14" s="54">
        <v>46235</v>
      </c>
      <c r="U14" s="54">
        <v>46266</v>
      </c>
      <c r="V14" s="54">
        <v>46296</v>
      </c>
      <c r="W14" s="54">
        <v>46327</v>
      </c>
      <c r="X14" s="54">
        <v>46357</v>
      </c>
    </row>
    <row r="15" spans="2:24">
      <c r="B15" t="s">
        <v>10</v>
      </c>
      <c r="C15" s="49">
        <f>C4*1.3</f>
        <v>200010.99299999999</v>
      </c>
      <c r="D15" s="49">
        <f>D4*1.2</f>
        <v>274800</v>
      </c>
      <c r="E15" s="35">
        <f>IFERROR(C15/D15-1, "N/A")</f>
        <v>-0.2721579585152839</v>
      </c>
      <c r="F15" s="49">
        <f>F4*1.16</f>
        <v>119852.60359999999</v>
      </c>
      <c r="G15" s="35">
        <f>IFERROR(C15/F15-1, "N/A")</f>
        <v>0.66880807752431681</v>
      </c>
      <c r="I15" s="49">
        <f>I4*1.16</f>
        <v>346840</v>
      </c>
      <c r="J15" s="3">
        <f>C15</f>
        <v>200010.99299999999</v>
      </c>
      <c r="K15" s="35">
        <f>IFERROR(I15/J15-1, "N/A")</f>
        <v>0.73410468493599268</v>
      </c>
      <c r="M15" s="49">
        <f t="shared" ref="M15:X17" si="4">M4*1.16</f>
        <v>18467.199999999997</v>
      </c>
      <c r="N15" s="49">
        <f t="shared" si="4"/>
        <v>23107.199999999997</v>
      </c>
      <c r="O15" s="49">
        <f t="shared" si="4"/>
        <v>25415.599999999999</v>
      </c>
      <c r="P15" s="49">
        <f t="shared" si="4"/>
        <v>25415.599999999999</v>
      </c>
      <c r="Q15" s="49">
        <f t="shared" si="4"/>
        <v>28895.599999999999</v>
      </c>
      <c r="R15" s="49">
        <f t="shared" si="4"/>
        <v>25433</v>
      </c>
      <c r="S15" s="49">
        <f t="shared" si="4"/>
        <v>27758.799999999999</v>
      </c>
      <c r="T15" s="49">
        <f t="shared" si="4"/>
        <v>25450.399999999998</v>
      </c>
      <c r="U15" s="49">
        <f t="shared" si="4"/>
        <v>37009.799999999996</v>
      </c>
      <c r="V15" s="49">
        <f t="shared" si="4"/>
        <v>39318.199999999997</v>
      </c>
      <c r="W15" s="49">
        <f t="shared" si="4"/>
        <v>39335.599999999999</v>
      </c>
      <c r="X15" s="49">
        <f t="shared" si="4"/>
        <v>31232.999999999996</v>
      </c>
    </row>
    <row r="16" spans="2:24">
      <c r="B16" t="s">
        <v>11</v>
      </c>
      <c r="C16" s="49">
        <f>C5*1.23</f>
        <v>176808.26879999999</v>
      </c>
      <c r="D16" s="49">
        <f t="shared" ref="D16:D17" si="5">D5*1.2</f>
        <v>164400</v>
      </c>
      <c r="E16" s="35">
        <f>IFERROR(C16/D16-1, "N/A")</f>
        <v>7.5476087591240804E-2</v>
      </c>
      <c r="F16" s="49">
        <f>F5*1.17</f>
        <v>172770.6942</v>
      </c>
      <c r="G16" s="35">
        <f>IFERROR(C16/F16-1, "N/A")</f>
        <v>2.3369557080821224E-2</v>
      </c>
      <c r="I16" s="49">
        <f t="shared" ref="I16:I17" si="6">I5*1.16</f>
        <v>185600</v>
      </c>
      <c r="J16" s="3">
        <f>C16</f>
        <v>176808.26879999999</v>
      </c>
      <c r="K16" s="35">
        <f>IFERROR(I16/J16-1, "N/A")</f>
        <v>4.972466084120164E-2</v>
      </c>
      <c r="M16" s="49">
        <f t="shared" si="4"/>
        <v>14847.999999999998</v>
      </c>
      <c r="N16" s="49">
        <f t="shared" si="4"/>
        <v>14847.999999999998</v>
      </c>
      <c r="O16" s="49">
        <f t="shared" si="4"/>
        <v>16704</v>
      </c>
      <c r="P16" s="49">
        <f t="shared" si="4"/>
        <v>16704</v>
      </c>
      <c r="Q16" s="49">
        <f t="shared" si="4"/>
        <v>16704</v>
      </c>
      <c r="R16" s="49">
        <f t="shared" si="4"/>
        <v>13919.999999999998</v>
      </c>
      <c r="S16" s="49">
        <f t="shared" si="4"/>
        <v>12992</v>
      </c>
      <c r="T16" s="49">
        <f t="shared" si="4"/>
        <v>11136</v>
      </c>
      <c r="U16" s="49">
        <f t="shared" si="4"/>
        <v>17632</v>
      </c>
      <c r="V16" s="49">
        <f t="shared" si="4"/>
        <v>19488</v>
      </c>
      <c r="W16" s="49">
        <f t="shared" si="4"/>
        <v>16704</v>
      </c>
      <c r="X16" s="49">
        <f t="shared" si="4"/>
        <v>13919.999999999998</v>
      </c>
    </row>
    <row r="17" spans="2:24">
      <c r="B17" t="s">
        <v>12</v>
      </c>
      <c r="C17" s="49">
        <f>C6*1.24</f>
        <v>34823.056400000001</v>
      </c>
      <c r="D17" s="49">
        <f t="shared" si="5"/>
        <v>18000</v>
      </c>
      <c r="E17" s="35">
        <f t="shared" ref="E17:E19" si="7">IFERROR(C17/D17-1, "N/A")</f>
        <v>0.93461424444444452</v>
      </c>
      <c r="F17" s="49">
        <f t="shared" ref="F16:F17" si="8">F6*1.16</f>
        <v>10033.605600000001</v>
      </c>
      <c r="G17" s="35">
        <f t="shared" ref="G17:G19" si="9">IFERROR(C17/F17-1, "N/A")</f>
        <v>2.4706423381839921</v>
      </c>
      <c r="I17" s="49">
        <f t="shared" si="6"/>
        <v>34800</v>
      </c>
      <c r="J17" s="3">
        <f>C17</f>
        <v>34823.056400000001</v>
      </c>
      <c r="K17" s="35">
        <f t="shared" ref="K17" si="10">IFERROR(I17/J17-1, "N/A")</f>
        <v>-6.6210156096468964E-4</v>
      </c>
      <c r="M17" s="49">
        <f t="shared" si="4"/>
        <v>2900</v>
      </c>
      <c r="N17" s="49">
        <f t="shared" si="4"/>
        <v>2900</v>
      </c>
      <c r="O17" s="49">
        <f t="shared" si="4"/>
        <v>2900</v>
      </c>
      <c r="P17" s="49">
        <f t="shared" si="4"/>
        <v>2900</v>
      </c>
      <c r="Q17" s="49">
        <f t="shared" si="4"/>
        <v>2900</v>
      </c>
      <c r="R17" s="49">
        <f t="shared" si="4"/>
        <v>2900</v>
      </c>
      <c r="S17" s="49">
        <f t="shared" si="4"/>
        <v>2900</v>
      </c>
      <c r="T17" s="49">
        <f t="shared" si="4"/>
        <v>2900</v>
      </c>
      <c r="U17" s="49">
        <f t="shared" si="4"/>
        <v>2900</v>
      </c>
      <c r="V17" s="49">
        <f t="shared" si="4"/>
        <v>2900</v>
      </c>
      <c r="W17" s="49">
        <f t="shared" si="4"/>
        <v>2900</v>
      </c>
      <c r="X17" s="49">
        <f t="shared" si="4"/>
        <v>2900</v>
      </c>
    </row>
    <row r="18" spans="2:24" ht="6" customHeight="1">
      <c r="E18" s="35"/>
      <c r="F18" s="47"/>
      <c r="G18" s="35"/>
      <c r="K18" s="35"/>
    </row>
    <row r="19" spans="2:24">
      <c r="B19" s="42" t="s">
        <v>13</v>
      </c>
      <c r="C19" s="56">
        <f>SUM(C15:C17)</f>
        <v>411642.31819999998</v>
      </c>
      <c r="D19" s="56">
        <f>SUM(D15:D17)</f>
        <v>457200</v>
      </c>
      <c r="E19" s="57">
        <f t="shared" ref="E19" si="11">IFERROR(C19/D19-1, "N/A")</f>
        <v>-9.964497331583555E-2</v>
      </c>
      <c r="F19" s="56">
        <f>SUM(F15:F17)</f>
        <v>302656.90340000001</v>
      </c>
      <c r="G19" s="57">
        <f t="shared" ref="G19" si="12">IFERROR(C19/F19-1, "N/A")</f>
        <v>0.36009558538290376</v>
      </c>
      <c r="I19" s="56">
        <f>SUM(I15:I17)</f>
        <v>567240</v>
      </c>
      <c r="J19" s="56">
        <f>SUM(J15:J17)</f>
        <v>411642.31819999998</v>
      </c>
      <c r="K19" s="57">
        <f t="shared" ref="K19" si="13">IFERROR(I19/J19-1, "N/A")</f>
        <v>0.37799243401501181</v>
      </c>
      <c r="M19" s="56">
        <f>SUM(M15:M17)</f>
        <v>36215.199999999997</v>
      </c>
      <c r="N19" s="56">
        <f>SUM(N15:N17)</f>
        <v>40855.199999999997</v>
      </c>
      <c r="O19" s="56">
        <f>SUM(O15:O17)</f>
        <v>45019.6</v>
      </c>
      <c r="P19" s="56">
        <f>SUM(P15:P17)</f>
        <v>45019.6</v>
      </c>
      <c r="Q19" s="56">
        <f>SUM(Q15:Q17)</f>
        <v>48499.6</v>
      </c>
      <c r="R19" s="56">
        <f>SUM(R15:R17)</f>
        <v>42253</v>
      </c>
      <c r="S19" s="56">
        <f>SUM(S15:S17)</f>
        <v>43650.8</v>
      </c>
      <c r="T19" s="56">
        <f>SUM(T15:T17)</f>
        <v>39486.399999999994</v>
      </c>
      <c r="U19" s="56">
        <f>SUM(U15:U17)</f>
        <v>57541.799999999996</v>
      </c>
      <c r="V19" s="56">
        <f>SUM(V15:V17)</f>
        <v>61706.2</v>
      </c>
      <c r="W19" s="56">
        <f>SUM(W15:W17)</f>
        <v>58939.6</v>
      </c>
      <c r="X19" s="56">
        <f>SUM(X15:X17)</f>
        <v>48052.999999999993</v>
      </c>
    </row>
  </sheetData>
  <mergeCells count="5">
    <mergeCell ref="C2:G2"/>
    <mergeCell ref="I2:K2"/>
    <mergeCell ref="C13:G13"/>
    <mergeCell ref="I13:K13"/>
    <mergeCell ref="M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7355A-34BD-41A1-83D9-D09F8F6CBE2B}">
  <dimension ref="B1:BF33"/>
  <sheetViews>
    <sheetView showGridLines="0" workbookViewId="0">
      <selection activeCell="AG31" sqref="AG30:AR31"/>
    </sheetView>
  </sheetViews>
  <sheetFormatPr defaultRowHeight="15"/>
  <cols>
    <col min="2" max="2" width="10.7109375" customWidth="1"/>
    <col min="3" max="3" width="39.42578125" bestFit="1" customWidth="1"/>
    <col min="4" max="5" width="16.85546875" customWidth="1"/>
    <col min="6" max="6" width="16.8554687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customWidth="1"/>
    <col min="15" max="17" width="13" customWidth="1"/>
    <col min="18" max="18" width="2" customWidth="1"/>
    <col min="19" max="20" width="13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44">
      <c r="O1" t="s">
        <v>15</v>
      </c>
      <c r="P1" t="s">
        <v>15</v>
      </c>
      <c r="Q1" t="s">
        <v>15</v>
      </c>
      <c r="S1" t="s">
        <v>15</v>
      </c>
      <c r="T1" t="s">
        <v>15</v>
      </c>
      <c r="V1" t="s">
        <v>16</v>
      </c>
      <c r="W1" t="s">
        <v>16</v>
      </c>
      <c r="X1" t="s">
        <v>16</v>
      </c>
      <c r="Y1" t="s">
        <v>16</v>
      </c>
      <c r="Z1" t="s">
        <v>16</v>
      </c>
      <c r="AA1" t="s">
        <v>16</v>
      </c>
      <c r="AC1" t="s">
        <v>16</v>
      </c>
      <c r="AD1" t="s">
        <v>16</v>
      </c>
      <c r="AE1" t="s">
        <v>16</v>
      </c>
      <c r="AG1" s="50">
        <v>0.08</v>
      </c>
      <c r="AH1" s="50">
        <v>0.08</v>
      </c>
      <c r="AI1" s="50">
        <v>0.09</v>
      </c>
      <c r="AJ1" s="50">
        <v>0.09</v>
      </c>
      <c r="AK1" s="50">
        <v>0.09</v>
      </c>
      <c r="AL1" s="50">
        <v>7.4999999999999997E-2</v>
      </c>
      <c r="AM1" s="50">
        <v>7.0000000000000007E-2</v>
      </c>
      <c r="AN1" s="50">
        <v>0.06</v>
      </c>
      <c r="AO1" s="50">
        <v>9.5000000000000001E-2</v>
      </c>
      <c r="AP1" s="50">
        <v>0.105</v>
      </c>
      <c r="AQ1" s="50">
        <v>0.09</v>
      </c>
      <c r="AR1" s="50">
        <v>7.4999999999999997E-2</v>
      </c>
    </row>
    <row r="2" spans="2:44" ht="30">
      <c r="B2" s="33" t="s">
        <v>17</v>
      </c>
      <c r="C2" s="33" t="s">
        <v>18</v>
      </c>
      <c r="D2" s="22" t="s">
        <v>19</v>
      </c>
      <c r="E2" s="22" t="s">
        <v>20</v>
      </c>
      <c r="F2" s="22" t="s">
        <v>21</v>
      </c>
      <c r="G2" s="22" t="s">
        <v>22</v>
      </c>
      <c r="H2" s="34" t="s">
        <v>23</v>
      </c>
      <c r="I2" s="22" t="s">
        <v>24</v>
      </c>
      <c r="J2" s="22" t="s">
        <v>25</v>
      </c>
      <c r="K2" s="34" t="s">
        <v>26</v>
      </c>
      <c r="L2" s="22" t="s">
        <v>27</v>
      </c>
      <c r="M2" s="34" t="s">
        <v>28</v>
      </c>
      <c r="N2" s="22"/>
      <c r="O2" s="22" t="s">
        <v>29</v>
      </c>
      <c r="P2" s="22" t="s">
        <v>30</v>
      </c>
      <c r="Q2" s="22" t="s">
        <v>31</v>
      </c>
      <c r="R2" s="22"/>
      <c r="S2" s="22" t="s">
        <v>32</v>
      </c>
      <c r="T2" s="22" t="s">
        <v>33</v>
      </c>
      <c r="U2" s="22"/>
      <c r="V2" s="38">
        <v>2022</v>
      </c>
      <c r="W2" s="38">
        <v>2023</v>
      </c>
      <c r="X2" s="38">
        <v>2024</v>
      </c>
      <c r="Y2" s="38" t="s">
        <v>34</v>
      </c>
      <c r="Z2" s="38" t="s">
        <v>35</v>
      </c>
      <c r="AA2" s="38" t="s">
        <v>26</v>
      </c>
      <c r="AB2" s="22"/>
      <c r="AC2" s="22" t="s">
        <v>32</v>
      </c>
      <c r="AD2" s="22" t="s">
        <v>33</v>
      </c>
      <c r="AE2" s="22" t="s">
        <v>36</v>
      </c>
      <c r="AG2" s="2">
        <v>46023</v>
      </c>
      <c r="AH2" s="2">
        <v>46054</v>
      </c>
      <c r="AI2" s="2">
        <v>46082</v>
      </c>
      <c r="AJ2" s="2">
        <v>46113</v>
      </c>
      <c r="AK2" s="2">
        <v>46143</v>
      </c>
      <c r="AL2" s="2">
        <v>46174</v>
      </c>
      <c r="AM2" s="2">
        <v>46204</v>
      </c>
      <c r="AN2" s="2">
        <v>46235</v>
      </c>
      <c r="AO2" s="2">
        <v>46266</v>
      </c>
      <c r="AP2" s="2">
        <v>46296</v>
      </c>
      <c r="AQ2" s="2">
        <v>46327</v>
      </c>
      <c r="AR2" s="2">
        <v>46357</v>
      </c>
    </row>
    <row r="3" spans="2:44">
      <c r="B3">
        <v>51184</v>
      </c>
      <c r="C3" t="s">
        <v>37</v>
      </c>
      <c r="D3" t="str">
        <f>VLOOKUP($B3, 'Performance Data'!$B:$K, 3, 0)</f>
        <v>UK</v>
      </c>
      <c r="E3" t="str">
        <f>VLOOKUP($B3, 'Performance Data'!$B:$K, 5, 0)</f>
        <v>Spa</v>
      </c>
      <c r="F3" t="str">
        <f>VLOOKUP($B3, 'Performance Data'!$B:$K, 6, 0)</f>
        <v>Spas / Hotels</v>
      </c>
      <c r="G3">
        <f>VLOOKUP($B3, 'Performance Data'!$B:$K, 9, 0)</f>
        <v>2023</v>
      </c>
      <c r="H3" s="40"/>
      <c r="I3" s="39" t="str">
        <f>VLOOKUP($B3, 'Performance Data'!$B:$K, 7, 0)</f>
        <v>BB</v>
      </c>
      <c r="J3" s="4">
        <f>P3</f>
        <v>19779.420000000002</v>
      </c>
      <c r="K3" s="40">
        <v>20000</v>
      </c>
      <c r="M3" s="40"/>
      <c r="O3" s="10">
        <f>SUMIF('Performance Data'!$B:$B, $B3,'Performance Data'!N:N)</f>
        <v>26665.909999999996</v>
      </c>
      <c r="P3" s="10">
        <f>SUMIF('Performance Data'!$B:$B, $B3,'Performance Data'!O:O)</f>
        <v>19779.420000000002</v>
      </c>
      <c r="Q3" s="10">
        <f>SUMIF('Performance Data'!$B:$B, $B3,'Performance Data'!P:P)</f>
        <v>20000</v>
      </c>
      <c r="S3" s="41">
        <f t="shared" ref="S3:S13" si="0">$P3/O3-1</f>
        <v>-0.25825070286369356</v>
      </c>
      <c r="T3" s="41">
        <f t="shared" ref="T3:T13" si="1">P3/Q3-1</f>
        <v>-1.1028999999999956E-2</v>
      </c>
      <c r="V3" s="10">
        <f>SUMIF('Performance Data'!$B:$B, $B3,'Performance Data'!AC:AC)</f>
        <v>0</v>
      </c>
      <c r="W3" s="10">
        <f>SUMIF('Performance Data'!$B:$B, $B3,'Performance Data'!AD:AD)</f>
        <v>6655.7</v>
      </c>
      <c r="X3" s="10">
        <f>SUMIF('Performance Data'!$B:$B, $B3,'Performance Data'!AE:AE)</f>
        <v>26665.909999999996</v>
      </c>
      <c r="Y3" s="10">
        <f>SUMIF('Performance Data'!$B:$B, $B3,'Performance Data'!AG:AG)</f>
        <v>20000</v>
      </c>
      <c r="Z3" s="10">
        <f t="shared" ref="Z3:AA12" si="2">J3</f>
        <v>19779.420000000002</v>
      </c>
      <c r="AA3" s="10">
        <f t="shared" si="2"/>
        <v>20000</v>
      </c>
      <c r="AC3" s="41">
        <f t="shared" ref="AC3:AC13" si="3">Z3/X3-1</f>
        <v>-0.25825070286369356</v>
      </c>
      <c r="AD3" s="41">
        <f t="shared" ref="AD3:AE13" si="4">Z3/Y3-1</f>
        <v>-1.1028999999999956E-2</v>
      </c>
      <c r="AE3" s="41">
        <f t="shared" si="4"/>
        <v>1.1151995356790012E-2</v>
      </c>
      <c r="AG3" s="6">
        <f t="shared" ref="AG3:AR12" si="5">$AA3*AG$1</f>
        <v>1600</v>
      </c>
      <c r="AH3" s="6">
        <f t="shared" si="5"/>
        <v>1600</v>
      </c>
      <c r="AI3" s="6">
        <f t="shared" si="5"/>
        <v>1800</v>
      </c>
      <c r="AJ3" s="6">
        <f t="shared" si="5"/>
        <v>1800</v>
      </c>
      <c r="AK3" s="6">
        <f t="shared" si="5"/>
        <v>1800</v>
      </c>
      <c r="AL3" s="6">
        <f t="shared" si="5"/>
        <v>1500</v>
      </c>
      <c r="AM3" s="6">
        <f t="shared" si="5"/>
        <v>1400.0000000000002</v>
      </c>
      <c r="AN3" s="6">
        <f t="shared" si="5"/>
        <v>1200</v>
      </c>
      <c r="AO3" s="6">
        <f t="shared" si="5"/>
        <v>1900</v>
      </c>
      <c r="AP3" s="6">
        <f t="shared" si="5"/>
        <v>2100</v>
      </c>
      <c r="AQ3" s="6">
        <f t="shared" si="5"/>
        <v>1800</v>
      </c>
      <c r="AR3" s="6">
        <f t="shared" si="5"/>
        <v>1500</v>
      </c>
    </row>
    <row r="4" spans="2:44">
      <c r="B4">
        <v>51185</v>
      </c>
      <c r="C4" t="s">
        <v>38</v>
      </c>
      <c r="D4" t="str">
        <f>VLOOKUP($B4, 'Performance Data'!$B:$K, 3, 0)</f>
        <v>UK</v>
      </c>
      <c r="E4" t="str">
        <f>VLOOKUP($B4, 'Performance Data'!$B:$K, 5, 0)</f>
        <v>Spa</v>
      </c>
      <c r="F4" t="str">
        <f>VLOOKUP($B4, 'Performance Data'!$B:$K, 6, 0)</f>
        <v>Spas / Hotels</v>
      </c>
      <c r="G4">
        <f>VLOOKUP($B4, 'Performance Data'!$B:$K, 9, 0)</f>
        <v>2024</v>
      </c>
      <c r="H4" s="40"/>
      <c r="I4" s="39" t="str">
        <f>VLOOKUP($B4, 'Performance Data'!$B:$K, 7, 0)</f>
        <v>NKD24</v>
      </c>
      <c r="J4" s="4">
        <f t="shared" ref="J4:J12" si="6">P4</f>
        <v>3448.5899999999992</v>
      </c>
      <c r="K4" s="40">
        <v>5000</v>
      </c>
      <c r="M4" s="40"/>
      <c r="O4" s="10">
        <f>SUMIF('Performance Data'!$B:$B, $B4,'Performance Data'!N:N)</f>
        <v>4761.01</v>
      </c>
      <c r="P4" s="10">
        <f>SUMIF('Performance Data'!$B:$B, $B4,'Performance Data'!O:O)</f>
        <v>3448.5899999999992</v>
      </c>
      <c r="Q4" s="10">
        <f>SUMIF('Performance Data'!$B:$B, $B4,'Performance Data'!P:P)</f>
        <v>5000</v>
      </c>
      <c r="S4" s="41">
        <f t="shared" si="0"/>
        <v>-0.27565999651334505</v>
      </c>
      <c r="T4" s="41">
        <f t="shared" si="1"/>
        <v>-0.31028200000000017</v>
      </c>
      <c r="V4" s="10">
        <f>SUMIF('Performance Data'!$B:$B, $B4,'Performance Data'!AC:AC)</f>
        <v>0</v>
      </c>
      <c r="W4" s="10">
        <f>SUMIF('Performance Data'!$B:$B, $B4,'Performance Data'!AD:AD)</f>
        <v>0</v>
      </c>
      <c r="X4" s="10">
        <f>SUMIF('Performance Data'!$B:$B, $B4,'Performance Data'!AE:AE)</f>
        <v>4761.01</v>
      </c>
      <c r="Y4" s="10">
        <f>SUMIF('Performance Data'!$B:$B, $B4,'Performance Data'!AG:AG)</f>
        <v>5000</v>
      </c>
      <c r="Z4" s="10">
        <f t="shared" si="2"/>
        <v>3448.5899999999992</v>
      </c>
      <c r="AA4" s="10">
        <f t="shared" si="2"/>
        <v>5000</v>
      </c>
      <c r="AC4" s="41">
        <f t="shared" si="3"/>
        <v>-0.27565999651334505</v>
      </c>
      <c r="AD4" s="41">
        <f t="shared" si="4"/>
        <v>-0.31028200000000017</v>
      </c>
      <c r="AE4" s="41">
        <f t="shared" si="4"/>
        <v>0.44986791703275864</v>
      </c>
      <c r="AG4" s="6">
        <f t="shared" si="5"/>
        <v>400</v>
      </c>
      <c r="AH4" s="6">
        <f t="shared" si="5"/>
        <v>400</v>
      </c>
      <c r="AI4" s="6">
        <f t="shared" si="5"/>
        <v>450</v>
      </c>
      <c r="AJ4" s="6">
        <f t="shared" si="5"/>
        <v>450</v>
      </c>
      <c r="AK4" s="6">
        <f t="shared" si="5"/>
        <v>450</v>
      </c>
      <c r="AL4" s="6">
        <f t="shared" si="5"/>
        <v>375</v>
      </c>
      <c r="AM4" s="6">
        <f t="shared" si="5"/>
        <v>350.00000000000006</v>
      </c>
      <c r="AN4" s="6">
        <f t="shared" si="5"/>
        <v>300</v>
      </c>
      <c r="AO4" s="6">
        <f t="shared" si="5"/>
        <v>475</v>
      </c>
      <c r="AP4" s="6">
        <f t="shared" si="5"/>
        <v>525</v>
      </c>
      <c r="AQ4" s="6">
        <f t="shared" si="5"/>
        <v>450</v>
      </c>
      <c r="AR4" s="6">
        <f t="shared" si="5"/>
        <v>375</v>
      </c>
    </row>
    <row r="5" spans="2:44">
      <c r="B5">
        <v>51186</v>
      </c>
      <c r="C5" t="s">
        <v>39</v>
      </c>
      <c r="D5" t="str">
        <f>VLOOKUP($B5, 'Performance Data'!$B:$K, 3, 0)</f>
        <v>UK</v>
      </c>
      <c r="E5" t="str">
        <f>VLOOKUP($B5, 'Performance Data'!$B:$K, 5, 0)</f>
        <v>Spa</v>
      </c>
      <c r="F5" t="str">
        <f>VLOOKUP($B5, 'Performance Data'!$B:$K, 6, 0)</f>
        <v>Spas / Hotels</v>
      </c>
      <c r="G5">
        <f>VLOOKUP($B5, 'Performance Data'!$B:$K, 9, 0)</f>
        <v>2023</v>
      </c>
      <c r="H5" s="40"/>
      <c r="I5" s="39" t="str">
        <f>VLOOKUP($B5, 'Performance Data'!$B:$K, 7, 0)</f>
        <v>BB</v>
      </c>
      <c r="J5" s="4">
        <f t="shared" si="6"/>
        <v>1162.46</v>
      </c>
      <c r="K5" s="40">
        <v>2000</v>
      </c>
      <c r="M5" s="40"/>
      <c r="O5" s="10">
        <f>SUMIF('Performance Data'!$B:$B, $B5,'Performance Data'!N:N)</f>
        <v>8045.51</v>
      </c>
      <c r="P5" s="10">
        <f>SUMIF('Performance Data'!$B:$B, $B5,'Performance Data'!O:O)</f>
        <v>1162.46</v>
      </c>
      <c r="Q5" s="10">
        <f>SUMIF('Performance Data'!$B:$B, $B5,'Performance Data'!P:P)</f>
        <v>10000</v>
      </c>
      <c r="S5" s="41">
        <f t="shared" si="0"/>
        <v>-0.85551444221683892</v>
      </c>
      <c r="T5" s="41">
        <f t="shared" si="1"/>
        <v>-0.88375400000000004</v>
      </c>
      <c r="V5" s="10">
        <f>SUMIF('Performance Data'!$B:$B, $B5,'Performance Data'!AC:AC)</f>
        <v>0</v>
      </c>
      <c r="W5" s="10">
        <f>SUMIF('Performance Data'!$B:$B, $B5,'Performance Data'!AD:AD)</f>
        <v>2266.7800000000002</v>
      </c>
      <c r="X5" s="10">
        <f>SUMIF('Performance Data'!$B:$B, $B5,'Performance Data'!AE:AE)</f>
        <v>8045.51</v>
      </c>
      <c r="Y5" s="10">
        <f>SUMIF('Performance Data'!$B:$B, $B5,'Performance Data'!AG:AG)</f>
        <v>10000</v>
      </c>
      <c r="Z5" s="10">
        <f t="shared" si="2"/>
        <v>1162.46</v>
      </c>
      <c r="AA5" s="10">
        <f t="shared" si="2"/>
        <v>2000</v>
      </c>
      <c r="AC5" s="41">
        <f t="shared" si="3"/>
        <v>-0.85551444221683892</v>
      </c>
      <c r="AD5" s="41">
        <f t="shared" si="4"/>
        <v>-0.88375400000000004</v>
      </c>
      <c r="AE5" s="41">
        <f t="shared" si="4"/>
        <v>0.72048930715895598</v>
      </c>
      <c r="AG5" s="6">
        <f t="shared" si="5"/>
        <v>160</v>
      </c>
      <c r="AH5" s="6">
        <f t="shared" si="5"/>
        <v>160</v>
      </c>
      <c r="AI5" s="6">
        <f t="shared" si="5"/>
        <v>180</v>
      </c>
      <c r="AJ5" s="6">
        <f t="shared" si="5"/>
        <v>180</v>
      </c>
      <c r="AK5" s="6">
        <f t="shared" si="5"/>
        <v>180</v>
      </c>
      <c r="AL5" s="6">
        <f t="shared" si="5"/>
        <v>150</v>
      </c>
      <c r="AM5" s="6">
        <f t="shared" si="5"/>
        <v>140</v>
      </c>
      <c r="AN5" s="6">
        <f t="shared" si="5"/>
        <v>120</v>
      </c>
      <c r="AO5" s="6">
        <f t="shared" si="5"/>
        <v>190</v>
      </c>
      <c r="AP5" s="6">
        <f t="shared" si="5"/>
        <v>210</v>
      </c>
      <c r="AQ5" s="6">
        <f t="shared" si="5"/>
        <v>180</v>
      </c>
      <c r="AR5" s="6">
        <f t="shared" si="5"/>
        <v>150</v>
      </c>
    </row>
    <row r="6" spans="2:44">
      <c r="B6">
        <v>51187</v>
      </c>
      <c r="C6" t="s">
        <v>40</v>
      </c>
      <c r="D6" t="str">
        <f>VLOOKUP($B6, 'Performance Data'!$B:$K, 3, 0)</f>
        <v>UK</v>
      </c>
      <c r="E6" t="str">
        <f>VLOOKUP($B6, 'Performance Data'!$B:$K, 5, 0)</f>
        <v>Spa</v>
      </c>
      <c r="F6" t="str">
        <f>VLOOKUP($B6, 'Performance Data'!$B:$K, 6, 0)</f>
        <v>Institutes / Clinics</v>
      </c>
      <c r="G6">
        <f>VLOOKUP($B6, 'Performance Data'!$B:$K, 9, 0)</f>
        <v>2023</v>
      </c>
      <c r="H6" s="40"/>
      <c r="I6" s="39" t="str">
        <f>VLOOKUP($B6, 'Performance Data'!$B:$K, 7, 0)</f>
        <v>CC</v>
      </c>
      <c r="J6" s="4">
        <f t="shared" si="6"/>
        <v>3504.29</v>
      </c>
      <c r="K6" s="40">
        <v>4000</v>
      </c>
      <c r="M6" s="40"/>
      <c r="O6" s="10">
        <f>SUMIF('Performance Data'!$B:$B, $B6,'Performance Data'!N:N)</f>
        <v>2526.58</v>
      </c>
      <c r="P6" s="10">
        <f>SUMIF('Performance Data'!$B:$B, $B6,'Performance Data'!O:O)</f>
        <v>3504.29</v>
      </c>
      <c r="Q6" s="10">
        <f>SUMIF('Performance Data'!$B:$B, $B6,'Performance Data'!P:P)</f>
        <v>2000</v>
      </c>
      <c r="S6" s="41">
        <f t="shared" si="0"/>
        <v>0.3869697377482606</v>
      </c>
      <c r="T6" s="41">
        <f t="shared" si="1"/>
        <v>0.75214500000000006</v>
      </c>
      <c r="V6" s="10">
        <f>SUMIF('Performance Data'!$B:$B, $B6,'Performance Data'!AC:AC)</f>
        <v>0</v>
      </c>
      <c r="W6" s="10">
        <f>SUMIF('Performance Data'!$B:$B, $B6,'Performance Data'!AD:AD)</f>
        <v>1173.99</v>
      </c>
      <c r="X6" s="10">
        <f>SUMIF('Performance Data'!$B:$B, $B6,'Performance Data'!AE:AE)</f>
        <v>2526.58</v>
      </c>
      <c r="Y6" s="10">
        <f>SUMIF('Performance Data'!$B:$B, $B6,'Performance Data'!AG:AG)</f>
        <v>2000</v>
      </c>
      <c r="Z6" s="10">
        <f t="shared" si="2"/>
        <v>3504.29</v>
      </c>
      <c r="AA6" s="10">
        <f t="shared" si="2"/>
        <v>4000</v>
      </c>
      <c r="AC6" s="41">
        <f t="shared" si="3"/>
        <v>0.3869697377482606</v>
      </c>
      <c r="AD6" s="41">
        <f t="shared" si="4"/>
        <v>0.75214500000000006</v>
      </c>
      <c r="AE6" s="41">
        <f t="shared" si="4"/>
        <v>0.14145804142921969</v>
      </c>
      <c r="AG6" s="6">
        <f t="shared" si="5"/>
        <v>320</v>
      </c>
      <c r="AH6" s="6">
        <f t="shared" si="5"/>
        <v>320</v>
      </c>
      <c r="AI6" s="6">
        <f t="shared" si="5"/>
        <v>360</v>
      </c>
      <c r="AJ6" s="6">
        <f t="shared" si="5"/>
        <v>360</v>
      </c>
      <c r="AK6" s="6">
        <f t="shared" si="5"/>
        <v>360</v>
      </c>
      <c r="AL6" s="6">
        <f t="shared" si="5"/>
        <v>300</v>
      </c>
      <c r="AM6" s="6">
        <f t="shared" si="5"/>
        <v>280</v>
      </c>
      <c r="AN6" s="6">
        <f t="shared" si="5"/>
        <v>240</v>
      </c>
      <c r="AO6" s="6">
        <f t="shared" si="5"/>
        <v>380</v>
      </c>
      <c r="AP6" s="6">
        <f t="shared" si="5"/>
        <v>420</v>
      </c>
      <c r="AQ6" s="6">
        <f t="shared" si="5"/>
        <v>360</v>
      </c>
      <c r="AR6" s="6">
        <f t="shared" si="5"/>
        <v>300</v>
      </c>
    </row>
    <row r="7" spans="2:44">
      <c r="B7">
        <v>51189</v>
      </c>
      <c r="C7" t="s">
        <v>41</v>
      </c>
      <c r="D7" t="str">
        <f>VLOOKUP($B7, 'Performance Data'!$B:$K, 3, 0)</f>
        <v>UK</v>
      </c>
      <c r="E7" t="str">
        <f>VLOOKUP($B7, 'Performance Data'!$B:$K, 5, 0)</f>
        <v>Spa</v>
      </c>
      <c r="F7" t="str">
        <f>VLOOKUP($B7, 'Performance Data'!$B:$K, 6, 0)</f>
        <v>Spas / Hotels</v>
      </c>
      <c r="G7">
        <f>VLOOKUP($B7, 'Performance Data'!$B:$K, 9, 0)</f>
        <v>2024</v>
      </c>
      <c r="H7" s="40"/>
      <c r="I7" s="39" t="str">
        <f>VLOOKUP($B7, 'Performance Data'!$B:$K, 7, 0)</f>
        <v>NKD24</v>
      </c>
      <c r="J7" s="4">
        <f t="shared" si="6"/>
        <v>32939.5</v>
      </c>
      <c r="K7" s="40">
        <v>35000</v>
      </c>
      <c r="M7" s="40"/>
      <c r="O7" s="10">
        <f>SUMIF('Performance Data'!$B:$B, $B7,'Performance Data'!N:N)</f>
        <v>28806.05</v>
      </c>
      <c r="P7" s="10">
        <f>SUMIF('Performance Data'!$B:$B, $B7,'Performance Data'!O:O)</f>
        <v>32939.5</v>
      </c>
      <c r="Q7" s="10">
        <f>SUMIF('Performance Data'!$B:$B, $B7,'Performance Data'!P:P)</f>
        <v>30000</v>
      </c>
      <c r="S7" s="41">
        <f t="shared" si="0"/>
        <v>0.14349242607021795</v>
      </c>
      <c r="T7" s="41">
        <f t="shared" si="1"/>
        <v>9.7983333333333311E-2</v>
      </c>
      <c r="V7" s="10">
        <f>SUMIF('Performance Data'!$B:$B, $B7,'Performance Data'!AC:AC)</f>
        <v>0</v>
      </c>
      <c r="W7" s="10">
        <f>SUMIF('Performance Data'!$B:$B, $B7,'Performance Data'!AD:AD)</f>
        <v>0</v>
      </c>
      <c r="X7" s="10">
        <f>SUMIF('Performance Data'!$B:$B, $B7,'Performance Data'!AE:AE)</f>
        <v>28806.05</v>
      </c>
      <c r="Y7" s="10">
        <f>SUMIF('Performance Data'!$B:$B, $B7,'Performance Data'!AG:AG)</f>
        <v>30000</v>
      </c>
      <c r="Z7" s="10">
        <f t="shared" si="2"/>
        <v>32939.5</v>
      </c>
      <c r="AA7" s="10">
        <f t="shared" si="2"/>
        <v>35000</v>
      </c>
      <c r="AC7" s="41">
        <f t="shared" si="3"/>
        <v>0.14349242607021795</v>
      </c>
      <c r="AD7" s="41">
        <f t="shared" si="4"/>
        <v>9.7983333333333311E-2</v>
      </c>
      <c r="AE7" s="41">
        <f t="shared" si="4"/>
        <v>6.2554076412817405E-2</v>
      </c>
      <c r="AG7" s="6">
        <f t="shared" si="5"/>
        <v>2800</v>
      </c>
      <c r="AH7" s="6">
        <f t="shared" si="5"/>
        <v>2800</v>
      </c>
      <c r="AI7" s="6">
        <f t="shared" si="5"/>
        <v>3150</v>
      </c>
      <c r="AJ7" s="6">
        <f t="shared" si="5"/>
        <v>3150</v>
      </c>
      <c r="AK7" s="6">
        <f t="shared" si="5"/>
        <v>3150</v>
      </c>
      <c r="AL7" s="6">
        <f t="shared" si="5"/>
        <v>2625</v>
      </c>
      <c r="AM7" s="6">
        <f t="shared" si="5"/>
        <v>2450.0000000000005</v>
      </c>
      <c r="AN7" s="6">
        <f t="shared" si="5"/>
        <v>2100</v>
      </c>
      <c r="AO7" s="6">
        <f t="shared" si="5"/>
        <v>3325</v>
      </c>
      <c r="AP7" s="6">
        <f t="shared" si="5"/>
        <v>3675</v>
      </c>
      <c r="AQ7" s="6">
        <f t="shared" si="5"/>
        <v>3150</v>
      </c>
      <c r="AR7" s="6">
        <f t="shared" si="5"/>
        <v>2625</v>
      </c>
    </row>
    <row r="8" spans="2:44">
      <c r="B8">
        <v>53000</v>
      </c>
      <c r="C8" t="s">
        <v>42</v>
      </c>
      <c r="D8" t="str">
        <f>VLOOKUP($B8, 'Performance Data'!$B:$K, 3, 0)</f>
        <v>UK</v>
      </c>
      <c r="E8" t="str">
        <f>VLOOKUP($B8, 'Performance Data'!$B:$K, 5, 0)</f>
        <v>Spa</v>
      </c>
      <c r="F8" t="str">
        <f>VLOOKUP($B8, 'Performance Data'!$B:$K, 6, 0)</f>
        <v>Other</v>
      </c>
      <c r="G8" s="47" t="str">
        <f>VLOOKUP($B8, 'Performance Data'!$B:$K, 9, 0)</f>
        <v>Pre-2022</v>
      </c>
      <c r="H8" s="40"/>
      <c r="I8" s="39" t="str">
        <f>VLOOKUP($B8, 'Performance Data'!$B:$K, 7, 0)</f>
        <v>CC</v>
      </c>
      <c r="J8" s="4">
        <f t="shared" si="6"/>
        <v>487.8</v>
      </c>
      <c r="K8" s="40">
        <v>0</v>
      </c>
      <c r="M8" s="40"/>
      <c r="O8" s="10">
        <f>SUMIF('Performance Data'!$B:$B, $B8,'Performance Data'!N:N)</f>
        <v>2165.3199999999997</v>
      </c>
      <c r="P8" s="10">
        <f>SUMIF('Performance Data'!$B:$B, $B8,'Performance Data'!O:O)</f>
        <v>487.8</v>
      </c>
      <c r="Q8" s="10">
        <f>SUMIF('Performance Data'!$B:$B, $B8,'Performance Data'!P:P)</f>
        <v>0</v>
      </c>
      <c r="S8" s="41">
        <f t="shared" si="0"/>
        <v>-0.77472151922117738</v>
      </c>
      <c r="T8" s="41" t="e">
        <f t="shared" si="1"/>
        <v>#DIV/0!</v>
      </c>
      <c r="V8" s="10">
        <f>SUMIF('Performance Data'!$B:$B, $B8,'Performance Data'!AC:AC)</f>
        <v>0</v>
      </c>
      <c r="W8" s="10">
        <f>SUMIF('Performance Data'!$B:$B, $B8,'Performance Data'!AD:AD)</f>
        <v>610.55999999999995</v>
      </c>
      <c r="X8" s="10">
        <f>SUMIF('Performance Data'!$B:$B, $B8,'Performance Data'!AE:AE)</f>
        <v>2165.3199999999997</v>
      </c>
      <c r="Y8" s="10">
        <f>SUMIF('Performance Data'!$B:$B, $B8,'Performance Data'!AG:AG)</f>
        <v>0</v>
      </c>
      <c r="Z8" s="10">
        <f t="shared" si="2"/>
        <v>487.8</v>
      </c>
      <c r="AA8" s="10">
        <f t="shared" si="2"/>
        <v>0</v>
      </c>
      <c r="AC8" s="41">
        <f t="shared" si="3"/>
        <v>-0.77472151922117738</v>
      </c>
      <c r="AD8" s="41" t="e">
        <f t="shared" si="4"/>
        <v>#DIV/0!</v>
      </c>
      <c r="AE8" s="41">
        <f t="shared" si="4"/>
        <v>-1</v>
      </c>
      <c r="AG8" s="6">
        <f t="shared" si="5"/>
        <v>0</v>
      </c>
      <c r="AH8" s="6">
        <f t="shared" si="5"/>
        <v>0</v>
      </c>
      <c r="AI8" s="6">
        <f t="shared" si="5"/>
        <v>0</v>
      </c>
      <c r="AJ8" s="6">
        <f t="shared" si="5"/>
        <v>0</v>
      </c>
      <c r="AK8" s="6">
        <f t="shared" si="5"/>
        <v>0</v>
      </c>
      <c r="AL8" s="6">
        <f t="shared" si="5"/>
        <v>0</v>
      </c>
      <c r="AM8" s="6">
        <f t="shared" si="5"/>
        <v>0</v>
      </c>
      <c r="AN8" s="6">
        <f t="shared" si="5"/>
        <v>0</v>
      </c>
      <c r="AO8" s="6">
        <f t="shared" si="5"/>
        <v>0</v>
      </c>
      <c r="AP8" s="6">
        <f t="shared" si="5"/>
        <v>0</v>
      </c>
      <c r="AQ8" s="6">
        <f t="shared" si="5"/>
        <v>0</v>
      </c>
      <c r="AR8" s="6">
        <f t="shared" si="5"/>
        <v>0</v>
      </c>
    </row>
    <row r="9" spans="2:44">
      <c r="B9">
        <v>53014</v>
      </c>
      <c r="C9" t="s">
        <v>43</v>
      </c>
      <c r="D9" t="str">
        <f>VLOOKUP($B9, 'Performance Data'!$B:$K, 3, 0)</f>
        <v>UK</v>
      </c>
      <c r="E9" t="str">
        <f>VLOOKUP($B9, 'Performance Data'!$B:$K, 5, 0)</f>
        <v>Spa</v>
      </c>
      <c r="F9" t="str">
        <f>VLOOKUP($B9, 'Performance Data'!$B:$K, 6, 0)</f>
        <v>Institutes / Clinics</v>
      </c>
      <c r="G9">
        <f>VLOOKUP($B9, 'Performance Data'!$B:$K, 9, 0)</f>
        <v>2024</v>
      </c>
      <c r="H9" s="40"/>
      <c r="I9" s="39" t="str">
        <f>VLOOKUP($B9, 'Performance Data'!$B:$K, 7, 0)</f>
        <v>NKD24</v>
      </c>
      <c r="J9" s="4">
        <f t="shared" si="6"/>
        <v>13215.420000000002</v>
      </c>
      <c r="K9" s="40">
        <v>15000</v>
      </c>
      <c r="M9" s="40"/>
      <c r="O9" s="10">
        <f>SUMIF('Performance Data'!$B:$B, $B9,'Performance Data'!N:N)</f>
        <v>15824.73</v>
      </c>
      <c r="P9" s="10">
        <f>SUMIF('Performance Data'!$B:$B, $B9,'Performance Data'!O:O)</f>
        <v>13215.420000000002</v>
      </c>
      <c r="Q9" s="10">
        <f>SUMIF('Performance Data'!$B:$B, $B9,'Performance Data'!P:P)</f>
        <v>12000</v>
      </c>
      <c r="S9" s="41">
        <f t="shared" si="0"/>
        <v>-0.16488812131391806</v>
      </c>
      <c r="T9" s="41">
        <f t="shared" si="1"/>
        <v>0.10128500000000007</v>
      </c>
      <c r="V9" s="10">
        <f>SUMIF('Performance Data'!$B:$B, $B9,'Performance Data'!AC:AC)</f>
        <v>0</v>
      </c>
      <c r="W9" s="10">
        <f>SUMIF('Performance Data'!$B:$B, $B9,'Performance Data'!AD:AD)</f>
        <v>0</v>
      </c>
      <c r="X9" s="10">
        <f>SUMIF('Performance Data'!$B:$B, $B9,'Performance Data'!AE:AE)</f>
        <v>15824.73</v>
      </c>
      <c r="Y9" s="10">
        <f>SUMIF('Performance Data'!$B:$B, $B9,'Performance Data'!AG:AG)</f>
        <v>12000</v>
      </c>
      <c r="Z9" s="10">
        <f t="shared" si="2"/>
        <v>13215.420000000002</v>
      </c>
      <c r="AA9" s="10">
        <f t="shared" si="2"/>
        <v>15000</v>
      </c>
      <c r="AC9" s="41">
        <f t="shared" si="3"/>
        <v>-0.16488812131391806</v>
      </c>
      <c r="AD9" s="41">
        <f t="shared" si="4"/>
        <v>0.10128500000000007</v>
      </c>
      <c r="AE9" s="41">
        <f t="shared" si="4"/>
        <v>0.13503770595259157</v>
      </c>
      <c r="AG9" s="6">
        <f t="shared" si="5"/>
        <v>1200</v>
      </c>
      <c r="AH9" s="6">
        <f t="shared" si="5"/>
        <v>1200</v>
      </c>
      <c r="AI9" s="6">
        <f t="shared" si="5"/>
        <v>1350</v>
      </c>
      <c r="AJ9" s="6">
        <f t="shared" si="5"/>
        <v>1350</v>
      </c>
      <c r="AK9" s="6">
        <f t="shared" si="5"/>
        <v>1350</v>
      </c>
      <c r="AL9" s="6">
        <f t="shared" si="5"/>
        <v>1125</v>
      </c>
      <c r="AM9" s="6">
        <f t="shared" si="5"/>
        <v>1050</v>
      </c>
      <c r="AN9" s="6">
        <f t="shared" si="5"/>
        <v>900</v>
      </c>
      <c r="AO9" s="6">
        <f t="shared" si="5"/>
        <v>1425</v>
      </c>
      <c r="AP9" s="6">
        <f t="shared" si="5"/>
        <v>1575</v>
      </c>
      <c r="AQ9" s="6">
        <f t="shared" si="5"/>
        <v>1350</v>
      </c>
      <c r="AR9" s="6">
        <f t="shared" si="5"/>
        <v>1125</v>
      </c>
    </row>
    <row r="10" spans="2:44">
      <c r="B10">
        <v>53015</v>
      </c>
      <c r="C10" t="s">
        <v>44</v>
      </c>
      <c r="D10" t="str">
        <f>VLOOKUP($B10, 'Performance Data'!$B:$K, 3, 0)</f>
        <v>UK</v>
      </c>
      <c r="E10" t="str">
        <f>VLOOKUP($B10, 'Performance Data'!$B:$K, 5, 0)</f>
        <v>Spa</v>
      </c>
      <c r="F10" t="str">
        <f>VLOOKUP($B10, 'Performance Data'!$B:$K, 6, 0)</f>
        <v>Spas / Hotels</v>
      </c>
      <c r="G10">
        <f>VLOOKUP($B10, 'Performance Data'!$B:$K, 9, 0)</f>
        <v>2024</v>
      </c>
      <c r="H10" s="40"/>
      <c r="I10" s="39" t="str">
        <f>VLOOKUP($B10, 'Performance Data'!$B:$K, 7, 0)</f>
        <v>NKD24</v>
      </c>
      <c r="J10" s="4">
        <f t="shared" si="6"/>
        <v>6384.93</v>
      </c>
      <c r="K10" s="40">
        <v>7000</v>
      </c>
      <c r="M10" s="40"/>
      <c r="O10" s="10">
        <f>SUMIF('Performance Data'!$B:$B, $B10,'Performance Data'!N:N)</f>
        <v>3678.79</v>
      </c>
      <c r="P10" s="10">
        <f>SUMIF('Performance Data'!$B:$B, $B10,'Performance Data'!O:O)</f>
        <v>6384.93</v>
      </c>
      <c r="Q10" s="10">
        <f>SUMIF('Performance Data'!$B:$B, $B10,'Performance Data'!P:P)</f>
        <v>10000</v>
      </c>
      <c r="S10" s="41">
        <f t="shared" si="0"/>
        <v>0.73560600088616113</v>
      </c>
      <c r="T10" s="41">
        <f t="shared" si="1"/>
        <v>-0.36150700000000002</v>
      </c>
      <c r="V10" s="10">
        <f>SUMIF('Performance Data'!$B:$B, $B10,'Performance Data'!AC:AC)</f>
        <v>0</v>
      </c>
      <c r="W10" s="10">
        <f>SUMIF('Performance Data'!$B:$B, $B10,'Performance Data'!AD:AD)</f>
        <v>0</v>
      </c>
      <c r="X10" s="10">
        <f>SUMIF('Performance Data'!$B:$B, $B10,'Performance Data'!AE:AE)</f>
        <v>3678.79</v>
      </c>
      <c r="Y10" s="10">
        <f>SUMIF('Performance Data'!$B:$B, $B10,'Performance Data'!AG:AG)</f>
        <v>10000</v>
      </c>
      <c r="Z10" s="10">
        <f t="shared" si="2"/>
        <v>6384.93</v>
      </c>
      <c r="AA10" s="10">
        <f t="shared" si="2"/>
        <v>7000</v>
      </c>
      <c r="AC10" s="41">
        <f t="shared" si="3"/>
        <v>0.73560600088616113</v>
      </c>
      <c r="AD10" s="41">
        <f t="shared" si="4"/>
        <v>-0.36150700000000002</v>
      </c>
      <c r="AE10" s="41">
        <f t="shared" si="4"/>
        <v>9.633151812157692E-2</v>
      </c>
      <c r="AG10" s="6">
        <f t="shared" si="5"/>
        <v>560</v>
      </c>
      <c r="AH10" s="6">
        <f t="shared" si="5"/>
        <v>560</v>
      </c>
      <c r="AI10" s="6">
        <f t="shared" si="5"/>
        <v>630</v>
      </c>
      <c r="AJ10" s="6">
        <f t="shared" si="5"/>
        <v>630</v>
      </c>
      <c r="AK10" s="6">
        <f t="shared" si="5"/>
        <v>630</v>
      </c>
      <c r="AL10" s="6">
        <f t="shared" si="5"/>
        <v>525</v>
      </c>
      <c r="AM10" s="6">
        <f t="shared" si="5"/>
        <v>490.00000000000006</v>
      </c>
      <c r="AN10" s="6">
        <f t="shared" si="5"/>
        <v>420</v>
      </c>
      <c r="AO10" s="6">
        <f t="shared" si="5"/>
        <v>665</v>
      </c>
      <c r="AP10" s="6">
        <f t="shared" si="5"/>
        <v>735</v>
      </c>
      <c r="AQ10" s="6">
        <f t="shared" si="5"/>
        <v>630</v>
      </c>
      <c r="AR10" s="6">
        <f t="shared" si="5"/>
        <v>525</v>
      </c>
    </row>
    <row r="11" spans="2:44">
      <c r="B11">
        <v>53016</v>
      </c>
      <c r="C11" t="s">
        <v>45</v>
      </c>
      <c r="D11" t="str">
        <f>VLOOKUP($B11, 'Performance Data'!$B:$K, 3, 0)</f>
        <v>UK</v>
      </c>
      <c r="E11" t="str">
        <f>VLOOKUP($B11, 'Performance Data'!$B:$K, 5, 0)</f>
        <v>Spa</v>
      </c>
      <c r="F11" t="str">
        <f>VLOOKUP($B11, 'Performance Data'!$B:$K, 6, 0)</f>
        <v>Spas / Hotels</v>
      </c>
      <c r="G11">
        <f>VLOOKUP($B11, 'Performance Data'!$B:$K, 9, 0)</f>
        <v>2024</v>
      </c>
      <c r="H11" s="40"/>
      <c r="I11" s="39" t="str">
        <f>VLOOKUP($B11, 'Performance Data'!$B:$K, 7, 0)</f>
        <v>NKD24</v>
      </c>
      <c r="J11" s="4">
        <f t="shared" si="6"/>
        <v>1636.92</v>
      </c>
      <c r="K11" s="40">
        <v>2000</v>
      </c>
      <c r="M11" s="40"/>
      <c r="O11" s="10">
        <f>SUMIF('Performance Data'!$B:$B, $B11,'Performance Data'!N:N)</f>
        <v>2148.84</v>
      </c>
      <c r="P11" s="10">
        <f>SUMIF('Performance Data'!$B:$B, $B11,'Performance Data'!O:O)</f>
        <v>1636.92</v>
      </c>
      <c r="Q11" s="10">
        <f>SUMIF('Performance Data'!$B:$B, $B11,'Performance Data'!P:P)</f>
        <v>10000</v>
      </c>
      <c r="S11" s="41">
        <f t="shared" si="0"/>
        <v>-0.23823085944044231</v>
      </c>
      <c r="T11" s="41">
        <f t="shared" si="1"/>
        <v>-0.83630800000000005</v>
      </c>
      <c r="V11" s="10">
        <f>SUMIF('Performance Data'!$B:$B, $B11,'Performance Data'!AC:AC)</f>
        <v>0</v>
      </c>
      <c r="W11" s="10">
        <f>SUMIF('Performance Data'!$B:$B, $B11,'Performance Data'!AD:AD)</f>
        <v>0</v>
      </c>
      <c r="X11" s="10">
        <f>SUMIF('Performance Data'!$B:$B, $B11,'Performance Data'!AE:AE)</f>
        <v>2148.84</v>
      </c>
      <c r="Y11" s="10">
        <f>SUMIF('Performance Data'!$B:$B, $B11,'Performance Data'!AG:AG)</f>
        <v>10000</v>
      </c>
      <c r="Z11" s="10">
        <f t="shared" si="2"/>
        <v>1636.92</v>
      </c>
      <c r="AA11" s="10">
        <f t="shared" si="2"/>
        <v>2000</v>
      </c>
      <c r="AC11" s="41">
        <f t="shared" si="3"/>
        <v>-0.23823085944044231</v>
      </c>
      <c r="AD11" s="41">
        <f t="shared" si="4"/>
        <v>-0.83630800000000005</v>
      </c>
      <c r="AE11" s="41">
        <f t="shared" si="4"/>
        <v>0.22180680790753371</v>
      </c>
      <c r="AG11" s="6">
        <f t="shared" si="5"/>
        <v>160</v>
      </c>
      <c r="AH11" s="6">
        <f t="shared" si="5"/>
        <v>160</v>
      </c>
      <c r="AI11" s="6">
        <f t="shared" si="5"/>
        <v>180</v>
      </c>
      <c r="AJ11" s="6">
        <f t="shared" si="5"/>
        <v>180</v>
      </c>
      <c r="AK11" s="6">
        <f t="shared" si="5"/>
        <v>180</v>
      </c>
      <c r="AL11" s="6">
        <f t="shared" si="5"/>
        <v>150</v>
      </c>
      <c r="AM11" s="6">
        <f t="shared" si="5"/>
        <v>140</v>
      </c>
      <c r="AN11" s="6">
        <f t="shared" si="5"/>
        <v>120</v>
      </c>
      <c r="AO11" s="6">
        <f t="shared" si="5"/>
        <v>190</v>
      </c>
      <c r="AP11" s="6">
        <f t="shared" si="5"/>
        <v>210</v>
      </c>
      <c r="AQ11" s="6">
        <f t="shared" si="5"/>
        <v>180</v>
      </c>
      <c r="AR11" s="6">
        <f t="shared" si="5"/>
        <v>150</v>
      </c>
    </row>
    <row r="12" spans="2:44">
      <c r="B12">
        <v>53017</v>
      </c>
      <c r="C12" t="s">
        <v>46</v>
      </c>
      <c r="D12" t="str">
        <f>VLOOKUP($B12, 'Performance Data'!$B:$K, 3, 0)</f>
        <v>UK</v>
      </c>
      <c r="E12" t="str">
        <f>VLOOKUP($B12, 'Performance Data'!$B:$K, 5, 0)</f>
        <v>Spa</v>
      </c>
      <c r="F12" t="str">
        <f>VLOOKUP($B12, 'Performance Data'!$B:$K, 6, 0)</f>
        <v>Spas / Hotels</v>
      </c>
      <c r="G12">
        <f>VLOOKUP($B12, 'Performance Data'!$B:$K, 9, 0)</f>
        <v>2024</v>
      </c>
      <c r="H12" s="40"/>
      <c r="I12" s="39" t="str">
        <f>VLOOKUP($B12, 'Performance Data'!$B:$K, 7, 0)</f>
        <v>NKD24</v>
      </c>
      <c r="J12" s="4">
        <f t="shared" si="6"/>
        <v>0</v>
      </c>
      <c r="K12" s="40"/>
      <c r="M12" s="40"/>
      <c r="O12" s="10">
        <f>SUMIF('Performance Data'!$B:$B, $B12,'Performance Data'!N:N)</f>
        <v>8698.4700000000012</v>
      </c>
      <c r="P12" s="10">
        <f>SUMIF('Performance Data'!$B:$B, $B12,'Performance Data'!O:O)</f>
        <v>0</v>
      </c>
      <c r="Q12" s="10">
        <f>SUMIF('Performance Data'!$B:$B, $B12,'Performance Data'!P:P)</f>
        <v>10000</v>
      </c>
      <c r="S12" s="41">
        <f t="shared" si="0"/>
        <v>-1</v>
      </c>
      <c r="T12" s="41">
        <f t="shared" si="1"/>
        <v>-1</v>
      </c>
      <c r="V12" s="10">
        <f>SUMIF('Performance Data'!$B:$B, $B12,'Performance Data'!AC:AC)</f>
        <v>0</v>
      </c>
      <c r="W12" s="10">
        <f>SUMIF('Performance Data'!$B:$B, $B12,'Performance Data'!AD:AD)</f>
        <v>0</v>
      </c>
      <c r="X12" s="10">
        <f>SUMIF('Performance Data'!$B:$B, $B12,'Performance Data'!AE:AE)</f>
        <v>8698.4700000000012</v>
      </c>
      <c r="Y12" s="10">
        <f>SUMIF('Performance Data'!$B:$B, $B12,'Performance Data'!AG:AG)</f>
        <v>10000</v>
      </c>
      <c r="Z12" s="10">
        <f t="shared" si="2"/>
        <v>0</v>
      </c>
      <c r="AA12" s="10">
        <f t="shared" si="2"/>
        <v>0</v>
      </c>
      <c r="AC12" s="41">
        <f t="shared" si="3"/>
        <v>-1</v>
      </c>
      <c r="AD12" s="41">
        <f t="shared" si="4"/>
        <v>-1</v>
      </c>
      <c r="AE12" s="41" t="e">
        <f t="shared" si="4"/>
        <v>#DIV/0!</v>
      </c>
      <c r="AG12" s="6">
        <f t="shared" si="5"/>
        <v>0</v>
      </c>
      <c r="AH12" s="6">
        <f t="shared" si="5"/>
        <v>0</v>
      </c>
      <c r="AI12" s="6">
        <f t="shared" si="5"/>
        <v>0</v>
      </c>
      <c r="AJ12" s="6">
        <f t="shared" si="5"/>
        <v>0</v>
      </c>
      <c r="AK12" s="6">
        <f t="shared" si="5"/>
        <v>0</v>
      </c>
      <c r="AL12" s="6">
        <f t="shared" si="5"/>
        <v>0</v>
      </c>
      <c r="AM12" s="6">
        <f t="shared" si="5"/>
        <v>0</v>
      </c>
      <c r="AN12" s="6">
        <f t="shared" si="5"/>
        <v>0</v>
      </c>
      <c r="AO12" s="6">
        <f t="shared" si="5"/>
        <v>0</v>
      </c>
      <c r="AP12" s="6">
        <f t="shared" si="5"/>
        <v>0</v>
      </c>
      <c r="AQ12" s="6">
        <f t="shared" si="5"/>
        <v>0</v>
      </c>
      <c r="AR12" s="6">
        <f t="shared" si="5"/>
        <v>0</v>
      </c>
    </row>
    <row r="13" spans="2:44">
      <c r="B13" s="42" t="s">
        <v>47</v>
      </c>
      <c r="C13" s="42"/>
      <c r="D13" s="42"/>
      <c r="E13" s="42"/>
      <c r="F13" s="42"/>
      <c r="G13" s="43"/>
      <c r="H13" s="16">
        <f>COUNTIF(H3:H12, "Yes")</f>
        <v>0</v>
      </c>
      <c r="I13" s="43"/>
      <c r="J13" s="45">
        <f>SUM(J3:J12)</f>
        <v>82559.33</v>
      </c>
      <c r="K13" s="16">
        <f>SUM(K3:K12)</f>
        <v>90000</v>
      </c>
      <c r="L13" s="42"/>
      <c r="M13" s="42"/>
      <c r="N13" s="42"/>
      <c r="O13" s="16">
        <f>SUM(O3:O12)</f>
        <v>103321.20999999999</v>
      </c>
      <c r="P13" s="16">
        <f>SUM(P3:P12)</f>
        <v>82559.33</v>
      </c>
      <c r="Q13" s="16">
        <f>SUM(Q3:Q12)</f>
        <v>109000</v>
      </c>
      <c r="R13" s="42"/>
      <c r="S13" s="44">
        <f t="shared" si="0"/>
        <v>-0.20094499474018923</v>
      </c>
      <c r="T13" s="44">
        <f t="shared" si="1"/>
        <v>-0.24257495412844032</v>
      </c>
      <c r="U13" s="42"/>
      <c r="V13" s="16">
        <f>SUMIF('Performance Data'!$B:$B, $B13,'Performance Data'!AC:AC)</f>
        <v>0</v>
      </c>
      <c r="W13" s="16">
        <f>SUM(W3:W12)</f>
        <v>10707.029999999999</v>
      </c>
      <c r="X13" s="16">
        <f>SUM(X3:X12)</f>
        <v>103321.20999999999</v>
      </c>
      <c r="Y13" s="16">
        <f>SUM(Y3:Y12)</f>
        <v>109000</v>
      </c>
      <c r="Z13" s="16">
        <f>SUM(Z3:Z12)</f>
        <v>82559.33</v>
      </c>
      <c r="AA13" s="16">
        <f>SUM(AA3:AA12)</f>
        <v>90000</v>
      </c>
      <c r="AB13" s="42"/>
      <c r="AC13" s="44">
        <f t="shared" si="3"/>
        <v>-0.20094499474018923</v>
      </c>
      <c r="AD13" s="44">
        <f t="shared" si="4"/>
        <v>-0.24257495412844032</v>
      </c>
      <c r="AE13" s="44">
        <f t="shared" si="4"/>
        <v>9.0125125773186321E-2</v>
      </c>
      <c r="AG13" s="16">
        <f t="shared" ref="AG13:AR13" si="7">SUM(AG3:AG12)</f>
        <v>7200</v>
      </c>
      <c r="AH13" s="16">
        <f t="shared" si="7"/>
        <v>7200</v>
      </c>
      <c r="AI13" s="16">
        <f t="shared" si="7"/>
        <v>8100</v>
      </c>
      <c r="AJ13" s="16">
        <f t="shared" si="7"/>
        <v>8100</v>
      </c>
      <c r="AK13" s="16">
        <f t="shared" si="7"/>
        <v>8100</v>
      </c>
      <c r="AL13" s="16">
        <f t="shared" si="7"/>
        <v>6750</v>
      </c>
      <c r="AM13" s="16">
        <f t="shared" si="7"/>
        <v>6300</v>
      </c>
      <c r="AN13" s="16">
        <f t="shared" si="7"/>
        <v>5400</v>
      </c>
      <c r="AO13" s="16">
        <f t="shared" si="7"/>
        <v>8550</v>
      </c>
      <c r="AP13" s="16">
        <f t="shared" si="7"/>
        <v>9450</v>
      </c>
      <c r="AQ13" s="16">
        <f t="shared" si="7"/>
        <v>8100</v>
      </c>
      <c r="AR13" s="16">
        <f t="shared" si="7"/>
        <v>6750</v>
      </c>
    </row>
    <row r="14" spans="2:44">
      <c r="G14" s="39"/>
      <c r="I14" s="39"/>
      <c r="O14" s="10"/>
      <c r="P14" s="10"/>
      <c r="Q14" s="10"/>
      <c r="S14" s="41"/>
      <c r="T14" s="41"/>
      <c r="V14" s="10"/>
      <c r="W14" s="10"/>
      <c r="X14" s="10"/>
      <c r="Y14" s="10"/>
      <c r="Z14" s="10"/>
      <c r="AA14" s="10"/>
      <c r="AC14" s="41"/>
      <c r="AD14" s="41"/>
      <c r="AE14" s="41"/>
    </row>
    <row r="17" spans="2:58">
      <c r="B17">
        <v>53019</v>
      </c>
      <c r="C17" t="s">
        <v>48</v>
      </c>
      <c r="D17" t="str">
        <f>VLOOKUP($B17, 'Performance Data'!$B:$K, 3, 0)</f>
        <v>UK</v>
      </c>
      <c r="E17" t="str">
        <f>VLOOKUP($B17, 'Performance Data'!$B:$K, 5, 0)</f>
        <v>Spa</v>
      </c>
      <c r="F17" t="str">
        <f>VLOOKUP($B17, 'Performance Data'!$B:$K, 6, 0)</f>
        <v>Institutes / Clinics</v>
      </c>
      <c r="G17">
        <f>VLOOKUP($B17, 'Performance Data'!$B:$K, 9, 0)</f>
        <v>2025</v>
      </c>
      <c r="H17" s="40"/>
      <c r="I17" s="39" t="str">
        <f>VLOOKUP($B17, 'Performance Data'!$B:$K, 7, 0)</f>
        <v>NKD25</v>
      </c>
      <c r="J17" s="4">
        <f t="shared" ref="J17:J24" si="8">P17</f>
        <v>3875.91</v>
      </c>
      <c r="K17" s="40">
        <v>5000</v>
      </c>
      <c r="M17" s="40"/>
      <c r="O17" s="10">
        <f>SUMIF('Performance Data'!$B:$B, $B17,'Performance Data'!N:N)</f>
        <v>0</v>
      </c>
      <c r="P17" s="10">
        <f>SUMIF('Performance Data'!$B:$B, $B17,'Performance Data'!O:O)</f>
        <v>3875.91</v>
      </c>
      <c r="Q17" s="10">
        <f>SUMIF('Performance Data'!$B:$B, $B17,'Performance Data'!P:P)</f>
        <v>0</v>
      </c>
      <c r="S17" s="41" t="e">
        <f>$P17/O17-1</f>
        <v>#DIV/0!</v>
      </c>
      <c r="T17" s="41" t="e">
        <f>P17/Q17-1</f>
        <v>#DIV/0!</v>
      </c>
      <c r="V17" s="10">
        <f>SUMIF('Performance Data'!$B:$B, $B17,'Performance Data'!AC:AC)</f>
        <v>0</v>
      </c>
      <c r="W17" s="10">
        <f>SUMIF('Performance Data'!$B:$B, $B17,'Performance Data'!AD:AD)</f>
        <v>0</v>
      </c>
      <c r="X17" s="10">
        <f>SUMIF('Performance Data'!$B:$B, $B17,'Performance Data'!AE:AE)</f>
        <v>0</v>
      </c>
      <c r="Y17" s="10">
        <f>SUMIF('Performance Data'!$B:$B, $B17,'Performance Data'!AG:AG)</f>
        <v>0</v>
      </c>
      <c r="Z17" s="10">
        <f>J17</f>
        <v>3875.91</v>
      </c>
      <c r="AA17" s="10">
        <f>K17</f>
        <v>5000</v>
      </c>
      <c r="AC17" s="41" t="e">
        <f>Z17/X17-1</f>
        <v>#DIV/0!</v>
      </c>
      <c r="AD17" s="41" t="e">
        <f>Z17/Y17-1</f>
        <v>#DIV/0!</v>
      </c>
      <c r="AE17" s="41">
        <f>AA17/Z17-1</f>
        <v>0.29001963409883103</v>
      </c>
      <c r="AG17" s="6">
        <f t="shared" ref="AG17:AR25" si="9">$AA17*AG$1</f>
        <v>400</v>
      </c>
      <c r="AH17" s="6">
        <f t="shared" si="9"/>
        <v>400</v>
      </c>
      <c r="AI17" s="6">
        <f t="shared" si="9"/>
        <v>450</v>
      </c>
      <c r="AJ17" s="6">
        <f t="shared" si="9"/>
        <v>450</v>
      </c>
      <c r="AK17" s="6">
        <f t="shared" si="9"/>
        <v>450</v>
      </c>
      <c r="AL17" s="6">
        <f t="shared" si="9"/>
        <v>375</v>
      </c>
      <c r="AM17" s="6">
        <f t="shared" si="9"/>
        <v>350.00000000000006</v>
      </c>
      <c r="AN17" s="6">
        <f t="shared" si="9"/>
        <v>300</v>
      </c>
      <c r="AO17" s="6">
        <f t="shared" si="9"/>
        <v>475</v>
      </c>
      <c r="AP17" s="6">
        <f t="shared" si="9"/>
        <v>525</v>
      </c>
      <c r="AQ17" s="6">
        <f t="shared" si="9"/>
        <v>450</v>
      </c>
      <c r="AR17" s="6">
        <f t="shared" si="9"/>
        <v>375</v>
      </c>
    </row>
    <row r="18" spans="2:58">
      <c r="B18">
        <v>53018</v>
      </c>
      <c r="C18" t="s">
        <v>49</v>
      </c>
      <c r="D18" t="str">
        <f>VLOOKUP($B18, 'Performance Data'!$B:$K, 3, 0)</f>
        <v>UK</v>
      </c>
      <c r="E18" t="str">
        <f>VLOOKUP($B18, 'Performance Data'!$B:$K, 5, 0)</f>
        <v>Spa</v>
      </c>
      <c r="F18" t="str">
        <f>VLOOKUP($B18, 'Performance Data'!$B:$K, 6, 0)</f>
        <v>Spas / Hotels</v>
      </c>
      <c r="G18">
        <f>VLOOKUP($B18, 'Performance Data'!$B:$K, 9, 0)</f>
        <v>2025</v>
      </c>
      <c r="H18" s="40"/>
      <c r="I18" s="39" t="str">
        <f>VLOOKUP($B18, 'Performance Data'!$B:$K, 7, 0)</f>
        <v>NKD25</v>
      </c>
      <c r="J18" s="4">
        <f t="shared" si="8"/>
        <v>12182.779999999999</v>
      </c>
      <c r="K18" s="40">
        <v>15000</v>
      </c>
      <c r="M18" s="40"/>
      <c r="O18" s="10">
        <f>SUMIF('Performance Data'!$B:$B, $B18,'Performance Data'!N:N)</f>
        <v>0</v>
      </c>
      <c r="P18" s="10">
        <f>SUMIF('Performance Data'!$B:$B, $B18,'Performance Data'!O:O)</f>
        <v>12182.779999999999</v>
      </c>
      <c r="Q18" s="10">
        <f>SUMIF('Performance Data'!$B:$B, $B18,'Performance Data'!P:P)</f>
        <v>0</v>
      </c>
      <c r="S18" s="41" t="e">
        <f t="shared" ref="S18:S21" si="10">$P18/O18-1</f>
        <v>#DIV/0!</v>
      </c>
      <c r="T18" s="41" t="e">
        <f t="shared" ref="T18:T21" si="11">P18/Q18-1</f>
        <v>#DIV/0!</v>
      </c>
      <c r="V18" s="10">
        <f>SUMIF('Performance Data'!$B:$B, $B18,'Performance Data'!AC:AC)</f>
        <v>0</v>
      </c>
      <c r="W18" s="10">
        <f>SUMIF('Performance Data'!$B:$B, $B18,'Performance Data'!AD:AD)</f>
        <v>0</v>
      </c>
      <c r="X18" s="10">
        <f>SUMIF('Performance Data'!$B:$B, $B18,'Performance Data'!AE:AE)</f>
        <v>0</v>
      </c>
      <c r="Y18" s="10">
        <f>SUMIF('Performance Data'!$B:$B, $B18,'Performance Data'!AG:AG)</f>
        <v>0</v>
      </c>
      <c r="Z18" s="10">
        <f t="shared" ref="Z18:Z21" si="12">J18</f>
        <v>12182.779999999999</v>
      </c>
      <c r="AA18" s="10">
        <f t="shared" ref="AA18:AA21" si="13">K18</f>
        <v>15000</v>
      </c>
      <c r="AC18" s="41" t="e">
        <f t="shared" ref="AC18:AC21" si="14">Z18/X18-1</f>
        <v>#DIV/0!</v>
      </c>
      <c r="AD18" s="41" t="e">
        <f t="shared" ref="AD18:AD21" si="15">Z18/Y18-1</f>
        <v>#DIV/0!</v>
      </c>
      <c r="AE18" s="41">
        <f t="shared" ref="AE18:AE21" si="16">AA18/Z18-1</f>
        <v>0.23124607027295907</v>
      </c>
      <c r="AG18" s="6">
        <f t="shared" si="9"/>
        <v>1200</v>
      </c>
      <c r="AH18" s="6">
        <f t="shared" si="9"/>
        <v>1200</v>
      </c>
      <c r="AI18" s="6">
        <f t="shared" si="9"/>
        <v>1350</v>
      </c>
      <c r="AJ18" s="6">
        <f t="shared" si="9"/>
        <v>1350</v>
      </c>
      <c r="AK18" s="6">
        <f t="shared" si="9"/>
        <v>1350</v>
      </c>
      <c r="AL18" s="6">
        <f t="shared" si="9"/>
        <v>1125</v>
      </c>
      <c r="AM18" s="6">
        <f t="shared" si="9"/>
        <v>1050</v>
      </c>
      <c r="AN18" s="6">
        <f t="shared" si="9"/>
        <v>900</v>
      </c>
      <c r="AO18" s="6">
        <f t="shared" si="9"/>
        <v>1425</v>
      </c>
      <c r="AP18" s="6">
        <f t="shared" si="9"/>
        <v>1575</v>
      </c>
      <c r="AQ18" s="6">
        <f t="shared" si="9"/>
        <v>1350</v>
      </c>
      <c r="AR18" s="6">
        <f t="shared" si="9"/>
        <v>1125</v>
      </c>
    </row>
    <row r="19" spans="2:58">
      <c r="B19">
        <v>53020</v>
      </c>
      <c r="C19" t="s">
        <v>50</v>
      </c>
      <c r="D19" t="str">
        <f>VLOOKUP($B19, 'Performance Data'!$B:$K, 3, 0)</f>
        <v>UK</v>
      </c>
      <c r="E19" t="str">
        <f>VLOOKUP($B19, 'Performance Data'!$B:$K, 5, 0)</f>
        <v>Spa</v>
      </c>
      <c r="F19" t="str">
        <f>VLOOKUP($B19, 'Performance Data'!$B:$K, 6, 0)</f>
        <v>Institutes / Clinics</v>
      </c>
      <c r="G19">
        <f>VLOOKUP($B19, 'Performance Data'!$B:$K, 9, 0)</f>
        <v>2025</v>
      </c>
      <c r="H19" s="40"/>
      <c r="I19" s="39" t="str">
        <f>VLOOKUP($B19, 'Performance Data'!$B:$K, 7, 0)</f>
        <v>NKD25</v>
      </c>
      <c r="J19" s="4">
        <f t="shared" si="8"/>
        <v>35192.719999999994</v>
      </c>
      <c r="K19" s="40">
        <v>40000</v>
      </c>
      <c r="M19" s="40"/>
      <c r="O19" s="10">
        <f>SUMIF('Performance Data'!$B:$B, $B19,'Performance Data'!N:N)</f>
        <v>0</v>
      </c>
      <c r="P19" s="10">
        <f>SUMIF('Performance Data'!$B:$B, $B19,'Performance Data'!O:O)</f>
        <v>35192.719999999994</v>
      </c>
      <c r="Q19" s="10">
        <f>SUMIF('Performance Data'!$B:$B, $B19,'Performance Data'!P:P)</f>
        <v>0</v>
      </c>
      <c r="S19" s="41" t="e">
        <f t="shared" si="10"/>
        <v>#DIV/0!</v>
      </c>
      <c r="T19" s="41" t="e">
        <f t="shared" si="11"/>
        <v>#DIV/0!</v>
      </c>
      <c r="V19" s="10">
        <f>SUMIF('Performance Data'!$B:$B, $B19,'Performance Data'!AC:AC)</f>
        <v>0</v>
      </c>
      <c r="W19" s="10">
        <f>SUMIF('Performance Data'!$B:$B, $B19,'Performance Data'!AD:AD)</f>
        <v>0</v>
      </c>
      <c r="X19" s="10">
        <f>SUMIF('Performance Data'!$B:$B, $B19,'Performance Data'!AE:AE)</f>
        <v>0</v>
      </c>
      <c r="Y19" s="10">
        <f>SUMIF('Performance Data'!$B:$B, $B19,'Performance Data'!AG:AG)</f>
        <v>0</v>
      </c>
      <c r="Z19" s="10">
        <f t="shared" si="12"/>
        <v>35192.719999999994</v>
      </c>
      <c r="AA19" s="10">
        <f t="shared" si="13"/>
        <v>40000</v>
      </c>
      <c r="AC19" s="41" t="e">
        <f t="shared" si="14"/>
        <v>#DIV/0!</v>
      </c>
      <c r="AD19" s="41" t="e">
        <f t="shared" si="15"/>
        <v>#DIV/0!</v>
      </c>
      <c r="AE19" s="41">
        <f t="shared" si="16"/>
        <v>0.1365987056413942</v>
      </c>
      <c r="AG19" s="6">
        <f t="shared" si="9"/>
        <v>3200</v>
      </c>
      <c r="AH19" s="6">
        <f t="shared" si="9"/>
        <v>3200</v>
      </c>
      <c r="AI19" s="6">
        <f t="shared" si="9"/>
        <v>3600</v>
      </c>
      <c r="AJ19" s="6">
        <f t="shared" si="9"/>
        <v>3600</v>
      </c>
      <c r="AK19" s="6">
        <f t="shared" si="9"/>
        <v>3600</v>
      </c>
      <c r="AL19" s="6">
        <f t="shared" si="9"/>
        <v>3000</v>
      </c>
      <c r="AM19" s="6">
        <f t="shared" si="9"/>
        <v>2800.0000000000005</v>
      </c>
      <c r="AN19" s="6">
        <f t="shared" si="9"/>
        <v>2400</v>
      </c>
      <c r="AO19" s="6">
        <f t="shared" si="9"/>
        <v>3800</v>
      </c>
      <c r="AP19" s="6">
        <f t="shared" si="9"/>
        <v>4200</v>
      </c>
      <c r="AQ19" s="6">
        <f t="shared" si="9"/>
        <v>3600</v>
      </c>
      <c r="AR19" s="6">
        <f t="shared" si="9"/>
        <v>3000</v>
      </c>
    </row>
    <row r="20" spans="2:58">
      <c r="B20">
        <v>51192</v>
      </c>
      <c r="C20" t="s">
        <v>51</v>
      </c>
      <c r="D20" t="str">
        <f>VLOOKUP($B20, 'Performance Data'!$B:$K, 3, 0)</f>
        <v>UK</v>
      </c>
      <c r="E20" t="str">
        <f>VLOOKUP($B20, 'Performance Data'!$B:$K, 5, 0)</f>
        <v>Spa</v>
      </c>
      <c r="F20" t="str">
        <f>VLOOKUP($B20, 'Performance Data'!$B:$K, 6, 0)</f>
        <v>Institutes / Clinics</v>
      </c>
      <c r="G20">
        <f>VLOOKUP($B20, 'Performance Data'!$B:$K, 9, 0)</f>
        <v>2025</v>
      </c>
      <c r="H20" s="40"/>
      <c r="I20" s="39" t="str">
        <f>VLOOKUP($B20, 'Performance Data'!$B:$K, 7, 0)</f>
        <v>NKD25</v>
      </c>
      <c r="J20" s="4">
        <f t="shared" si="8"/>
        <v>9511.98</v>
      </c>
      <c r="K20" s="40">
        <v>12000</v>
      </c>
      <c r="M20" s="40"/>
      <c r="O20" s="10">
        <f>SUMIF('Performance Data'!$B:$B, $B20,'Performance Data'!N:N)</f>
        <v>0</v>
      </c>
      <c r="P20" s="10">
        <f>SUMIF('Performance Data'!$B:$B, $B20,'Performance Data'!O:O)</f>
        <v>9511.98</v>
      </c>
      <c r="Q20" s="10">
        <f>SUMIF('Performance Data'!$B:$B, $B20,'Performance Data'!P:P)</f>
        <v>0</v>
      </c>
      <c r="S20" s="41" t="e">
        <f t="shared" si="10"/>
        <v>#DIV/0!</v>
      </c>
      <c r="T20" s="41" t="e">
        <f t="shared" si="11"/>
        <v>#DIV/0!</v>
      </c>
      <c r="V20" s="10">
        <f>SUMIF('Performance Data'!$B:$B, $B20,'Performance Data'!AC:AC)</f>
        <v>0</v>
      </c>
      <c r="W20" s="10">
        <f>SUMIF('Performance Data'!$B:$B, $B20,'Performance Data'!AD:AD)</f>
        <v>0</v>
      </c>
      <c r="X20" s="10">
        <f>SUMIF('Performance Data'!$B:$B, $B20,'Performance Data'!AE:AE)</f>
        <v>0</v>
      </c>
      <c r="Y20" s="10">
        <f>SUMIF('Performance Data'!$B:$B, $B20,'Performance Data'!AG:AG)</f>
        <v>0</v>
      </c>
      <c r="Z20" s="10">
        <f t="shared" si="12"/>
        <v>9511.98</v>
      </c>
      <c r="AA20" s="10">
        <f t="shared" si="13"/>
        <v>12000</v>
      </c>
      <c r="AC20" s="41" t="e">
        <f t="shared" si="14"/>
        <v>#DIV/0!</v>
      </c>
      <c r="AD20" s="41" t="e">
        <f t="shared" si="15"/>
        <v>#DIV/0!</v>
      </c>
      <c r="AE20" s="41">
        <f t="shared" si="16"/>
        <v>0.26156699236121184</v>
      </c>
      <c r="AG20" s="6">
        <f t="shared" si="9"/>
        <v>960</v>
      </c>
      <c r="AH20" s="6">
        <f t="shared" si="9"/>
        <v>960</v>
      </c>
      <c r="AI20" s="6">
        <f t="shared" si="9"/>
        <v>1080</v>
      </c>
      <c r="AJ20" s="6">
        <f t="shared" si="9"/>
        <v>1080</v>
      </c>
      <c r="AK20" s="6">
        <f t="shared" si="9"/>
        <v>1080</v>
      </c>
      <c r="AL20" s="6">
        <f t="shared" si="9"/>
        <v>900</v>
      </c>
      <c r="AM20" s="6">
        <f t="shared" si="9"/>
        <v>840.00000000000011</v>
      </c>
      <c r="AN20" s="6">
        <f t="shared" si="9"/>
        <v>720</v>
      </c>
      <c r="AO20" s="6">
        <f t="shared" si="9"/>
        <v>1140</v>
      </c>
      <c r="AP20" s="6">
        <f t="shared" si="9"/>
        <v>1260</v>
      </c>
      <c r="AQ20" s="6">
        <f t="shared" si="9"/>
        <v>1080</v>
      </c>
      <c r="AR20" s="6">
        <f t="shared" si="9"/>
        <v>900</v>
      </c>
    </row>
    <row r="21" spans="2:58">
      <c r="B21">
        <v>51191</v>
      </c>
      <c r="C21" t="s">
        <v>52</v>
      </c>
      <c r="D21" t="str">
        <f>VLOOKUP($B21, 'Performance Data'!$B:$K, 3, 0)</f>
        <v>UK</v>
      </c>
      <c r="E21" t="str">
        <f>VLOOKUP($B21, 'Performance Data'!$B:$K, 5, 0)</f>
        <v>Spa</v>
      </c>
      <c r="F21" t="str">
        <f>VLOOKUP($B21, 'Performance Data'!$B:$K, 6, 0)</f>
        <v>Institutes / Clinics</v>
      </c>
      <c r="G21">
        <f>VLOOKUP($B21, 'Performance Data'!$B:$K, 9, 0)</f>
        <v>2025</v>
      </c>
      <c r="H21" s="40"/>
      <c r="I21" s="39" t="str">
        <f>VLOOKUP($B21, 'Performance Data'!$B:$K, 7, 0)</f>
        <v>NKD25</v>
      </c>
      <c r="J21" s="4">
        <f t="shared" si="8"/>
        <v>5101.4700000000012</v>
      </c>
      <c r="K21" s="40">
        <v>7000</v>
      </c>
      <c r="M21" s="40"/>
      <c r="O21" s="10">
        <f>SUMIF('Performance Data'!$B:$B, $B21,'Performance Data'!N:N)</f>
        <v>0</v>
      </c>
      <c r="P21" s="10">
        <f>SUMIF('Performance Data'!$B:$B, $B21,'Performance Data'!O:O)</f>
        <v>5101.4700000000012</v>
      </c>
      <c r="Q21" s="10">
        <f>SUMIF('Performance Data'!$B:$B, $B21,'Performance Data'!P:P)</f>
        <v>0</v>
      </c>
      <c r="S21" s="41" t="e">
        <f t="shared" si="10"/>
        <v>#DIV/0!</v>
      </c>
      <c r="T21" s="41" t="e">
        <f t="shared" si="11"/>
        <v>#DIV/0!</v>
      </c>
      <c r="V21" s="10">
        <f>SUMIF('Performance Data'!$B:$B, $B21,'Performance Data'!AC:AC)</f>
        <v>0</v>
      </c>
      <c r="W21" s="10">
        <f>SUMIF('Performance Data'!$B:$B, $B21,'Performance Data'!AD:AD)</f>
        <v>0</v>
      </c>
      <c r="X21" s="10">
        <f>SUMIF('Performance Data'!$B:$B, $B21,'Performance Data'!AE:AE)</f>
        <v>0</v>
      </c>
      <c r="Y21" s="10">
        <f>SUMIF('Performance Data'!$B:$B, $B21,'Performance Data'!AG:AG)</f>
        <v>0</v>
      </c>
      <c r="Z21" s="10">
        <f t="shared" si="12"/>
        <v>5101.4700000000012</v>
      </c>
      <c r="AA21" s="10">
        <f t="shared" si="13"/>
        <v>7000</v>
      </c>
      <c r="AC21" s="41" t="e">
        <f t="shared" si="14"/>
        <v>#DIV/0!</v>
      </c>
      <c r="AD21" s="41" t="e">
        <f t="shared" si="15"/>
        <v>#DIV/0!</v>
      </c>
      <c r="AE21" s="41">
        <f t="shared" si="16"/>
        <v>0.37215351653542972</v>
      </c>
      <c r="AG21" s="6">
        <f t="shared" si="9"/>
        <v>560</v>
      </c>
      <c r="AH21" s="6">
        <f t="shared" si="9"/>
        <v>560</v>
      </c>
      <c r="AI21" s="6">
        <f t="shared" si="9"/>
        <v>630</v>
      </c>
      <c r="AJ21" s="6">
        <f t="shared" si="9"/>
        <v>630</v>
      </c>
      <c r="AK21" s="6">
        <f t="shared" si="9"/>
        <v>630</v>
      </c>
      <c r="AL21" s="6">
        <f t="shared" si="9"/>
        <v>525</v>
      </c>
      <c r="AM21" s="6">
        <f t="shared" si="9"/>
        <v>490.00000000000006</v>
      </c>
      <c r="AN21" s="6">
        <f t="shared" si="9"/>
        <v>420</v>
      </c>
      <c r="AO21" s="6">
        <f t="shared" si="9"/>
        <v>665</v>
      </c>
      <c r="AP21" s="6">
        <f t="shared" si="9"/>
        <v>735</v>
      </c>
      <c r="AQ21" s="6">
        <f t="shared" si="9"/>
        <v>630</v>
      </c>
      <c r="AR21" s="6">
        <f t="shared" si="9"/>
        <v>525</v>
      </c>
    </row>
    <row r="22" spans="2:58">
      <c r="B22">
        <v>53021</v>
      </c>
      <c r="C22" t="s">
        <v>53</v>
      </c>
      <c r="D22" t="str">
        <f>VLOOKUP($B22, 'Performance Data'!$B:$K, 3, 0)</f>
        <v>UK</v>
      </c>
      <c r="E22" t="str">
        <f>VLOOKUP($B22, 'Performance Data'!$B:$K, 5, 0)</f>
        <v>Spa</v>
      </c>
      <c r="F22" t="str">
        <f>VLOOKUP($B22, 'Performance Data'!$B:$K, 6, 0)</f>
        <v>Spas / Hotels</v>
      </c>
      <c r="G22">
        <f>VLOOKUP($B22, 'Performance Data'!$B:$K, 9, 0)</f>
        <v>2026</v>
      </c>
      <c r="H22" s="40"/>
      <c r="I22" s="39" t="str">
        <f>VLOOKUP($B22, 'Performance Data'!$B:$K, 7, 0)</f>
        <v>NKD25</v>
      </c>
      <c r="J22" s="4">
        <f t="shared" si="8"/>
        <v>2109.56</v>
      </c>
      <c r="K22" s="40">
        <v>10000</v>
      </c>
      <c r="M22" s="40"/>
      <c r="O22" s="10">
        <f>SUMIF('Performance Data'!$B:$B, $B22,'Performance Data'!N:N)</f>
        <v>0</v>
      </c>
      <c r="P22" s="10">
        <f>SUMIF('Performance Data'!$B:$B, $B22,'Performance Data'!O:O)</f>
        <v>2109.56</v>
      </c>
      <c r="Q22" s="10">
        <f>SUMIF('Performance Data'!$B:$B, $B22,'Performance Data'!P:P)</f>
        <v>0</v>
      </c>
      <c r="S22" s="41" t="e">
        <f t="shared" ref="S22:S24" si="17">$P22/O22-1</f>
        <v>#DIV/0!</v>
      </c>
      <c r="T22" s="41" t="e">
        <f t="shared" ref="T22:T24" si="18">P22/Q22-1</f>
        <v>#DIV/0!</v>
      </c>
      <c r="V22" s="10">
        <f>SUMIF('Performance Data'!$B:$B, $B22,'Performance Data'!AC:AC)</f>
        <v>0</v>
      </c>
      <c r="W22" s="10">
        <f>SUMIF('Performance Data'!$B:$B, $B22,'Performance Data'!AD:AD)</f>
        <v>0</v>
      </c>
      <c r="X22" s="10">
        <f>SUMIF('Performance Data'!$B:$B, $B22,'Performance Data'!AE:AE)</f>
        <v>0</v>
      </c>
      <c r="Y22" s="10">
        <f>SUMIF('Performance Data'!$B:$B, $B22,'Performance Data'!AG:AG)</f>
        <v>0</v>
      </c>
      <c r="Z22" s="10">
        <f t="shared" ref="Z22:Z24" si="19">J22</f>
        <v>2109.56</v>
      </c>
      <c r="AA22" s="10">
        <f t="shared" ref="AA22:AA24" si="20">K22</f>
        <v>10000</v>
      </c>
      <c r="AC22" s="41" t="e">
        <f t="shared" ref="AC22:AC24" si="21">Z22/X22-1</f>
        <v>#DIV/0!</v>
      </c>
      <c r="AD22" s="41" t="e">
        <f t="shared" ref="AD22:AD24" si="22">Z22/Y22-1</f>
        <v>#DIV/0!</v>
      </c>
      <c r="AE22" s="41">
        <f t="shared" ref="AE22:AE24" si="23">AA22/Z22-1</f>
        <v>3.7403249966817729</v>
      </c>
      <c r="AG22" s="6">
        <f t="shared" si="9"/>
        <v>800</v>
      </c>
      <c r="AH22" s="6">
        <f t="shared" si="9"/>
        <v>800</v>
      </c>
      <c r="AI22" s="6">
        <f t="shared" si="9"/>
        <v>900</v>
      </c>
      <c r="AJ22" s="6">
        <f t="shared" si="9"/>
        <v>900</v>
      </c>
      <c r="AK22" s="6">
        <f t="shared" si="9"/>
        <v>900</v>
      </c>
      <c r="AL22" s="6">
        <f t="shared" si="9"/>
        <v>750</v>
      </c>
      <c r="AM22" s="6">
        <f t="shared" si="9"/>
        <v>700.00000000000011</v>
      </c>
      <c r="AN22" s="6">
        <f t="shared" si="9"/>
        <v>600</v>
      </c>
      <c r="AO22" s="6">
        <f t="shared" si="9"/>
        <v>950</v>
      </c>
      <c r="AP22" s="6">
        <f t="shared" si="9"/>
        <v>1050</v>
      </c>
      <c r="AQ22" s="6">
        <f t="shared" si="9"/>
        <v>900</v>
      </c>
      <c r="AR22" s="6">
        <f t="shared" si="9"/>
        <v>750</v>
      </c>
    </row>
    <row r="23" spans="2:58">
      <c r="B23">
        <v>51194</v>
      </c>
      <c r="C23" t="s">
        <v>54</v>
      </c>
      <c r="D23" t="str">
        <f>VLOOKUP($B23, 'Performance Data'!$B:$K, 3, 0)</f>
        <v>UK</v>
      </c>
      <c r="E23" t="str">
        <f>VLOOKUP($B23, 'Performance Data'!$B:$K, 5, 0)</f>
        <v>Spa</v>
      </c>
      <c r="F23" t="str">
        <f>VLOOKUP($B23, 'Performance Data'!$B:$K, 6, 0)</f>
        <v>Spas / Hotels</v>
      </c>
      <c r="G23">
        <f>VLOOKUP($B23, 'Performance Data'!$B:$K, 9, 0)</f>
        <v>2027</v>
      </c>
      <c r="H23" s="40"/>
      <c r="I23" s="39" t="str">
        <f>VLOOKUP($B23, 'Performance Data'!$B:$K, 7, 0)</f>
        <v>NKD25</v>
      </c>
      <c r="J23" s="4">
        <f t="shared" si="8"/>
        <v>2107.7600000000002</v>
      </c>
      <c r="K23" s="40">
        <v>10000</v>
      </c>
      <c r="M23" s="40"/>
      <c r="O23" s="10">
        <f>SUMIF('Performance Data'!$B:$B, $B23,'Performance Data'!N:N)</f>
        <v>0</v>
      </c>
      <c r="P23" s="10">
        <f>SUMIF('Performance Data'!$B:$B, $B23,'Performance Data'!O:O)</f>
        <v>2107.7600000000002</v>
      </c>
      <c r="Q23" s="10">
        <f>SUMIF('Performance Data'!$B:$B, $B23,'Performance Data'!P:P)</f>
        <v>0</v>
      </c>
      <c r="S23" s="41" t="e">
        <f t="shared" si="17"/>
        <v>#DIV/0!</v>
      </c>
      <c r="T23" s="41" t="e">
        <f t="shared" si="18"/>
        <v>#DIV/0!</v>
      </c>
      <c r="V23" s="10">
        <f>SUMIF('Performance Data'!$B:$B, $B23,'Performance Data'!AC:AC)</f>
        <v>0</v>
      </c>
      <c r="W23" s="10">
        <f>SUMIF('Performance Data'!$B:$B, $B23,'Performance Data'!AD:AD)</f>
        <v>0</v>
      </c>
      <c r="X23" s="10">
        <f>SUMIF('Performance Data'!$B:$B, $B23,'Performance Data'!AE:AE)</f>
        <v>0</v>
      </c>
      <c r="Y23" s="10">
        <f>SUMIF('Performance Data'!$B:$B, $B23,'Performance Data'!AG:AG)</f>
        <v>0</v>
      </c>
      <c r="Z23" s="10">
        <f t="shared" si="19"/>
        <v>2107.7600000000002</v>
      </c>
      <c r="AA23" s="10">
        <f t="shared" si="20"/>
        <v>10000</v>
      </c>
      <c r="AC23" s="41" t="e">
        <f t="shared" si="21"/>
        <v>#DIV/0!</v>
      </c>
      <c r="AD23" s="41" t="e">
        <f t="shared" si="22"/>
        <v>#DIV/0!</v>
      </c>
      <c r="AE23" s="41">
        <f t="shared" si="23"/>
        <v>3.7443731734163279</v>
      </c>
      <c r="AG23" s="6">
        <f t="shared" si="9"/>
        <v>800</v>
      </c>
      <c r="AH23" s="6">
        <f t="shared" si="9"/>
        <v>800</v>
      </c>
      <c r="AI23" s="6">
        <f t="shared" si="9"/>
        <v>900</v>
      </c>
      <c r="AJ23" s="6">
        <f t="shared" si="9"/>
        <v>900</v>
      </c>
      <c r="AK23" s="6">
        <f t="shared" si="9"/>
        <v>900</v>
      </c>
      <c r="AL23" s="6">
        <f t="shared" si="9"/>
        <v>750</v>
      </c>
      <c r="AM23" s="6">
        <f t="shared" si="9"/>
        <v>700.00000000000011</v>
      </c>
      <c r="AN23" s="6">
        <f t="shared" si="9"/>
        <v>600</v>
      </c>
      <c r="AO23" s="6">
        <f t="shared" si="9"/>
        <v>950</v>
      </c>
      <c r="AP23" s="6">
        <f t="shared" si="9"/>
        <v>1050</v>
      </c>
      <c r="AQ23" s="6">
        <f t="shared" si="9"/>
        <v>900</v>
      </c>
      <c r="AR23" s="6">
        <f t="shared" si="9"/>
        <v>750</v>
      </c>
    </row>
    <row r="24" spans="2:58">
      <c r="B24">
        <v>51196</v>
      </c>
      <c r="C24" t="s">
        <v>55</v>
      </c>
      <c r="D24" t="str">
        <f>VLOOKUP($B24, 'Performance Data'!$B:$K, 3, 0)</f>
        <v>UK</v>
      </c>
      <c r="E24" t="str">
        <f>VLOOKUP($B24, 'Performance Data'!$B:$K, 5, 0)</f>
        <v>Spa</v>
      </c>
      <c r="F24" t="str">
        <f>VLOOKUP($B24, 'Performance Data'!$B:$K, 6, 0)</f>
        <v>Institutes / Clinics</v>
      </c>
      <c r="G24">
        <f>VLOOKUP($B24, 'Performance Data'!$B:$K, 9, 0)</f>
        <v>2028</v>
      </c>
      <c r="H24" s="40"/>
      <c r="I24" s="39" t="str">
        <f>VLOOKUP($B24, 'Performance Data'!$B:$K, 7, 0)</f>
        <v>NKD25</v>
      </c>
      <c r="J24" s="4">
        <f t="shared" si="8"/>
        <v>1213.0999999999999</v>
      </c>
      <c r="K24" s="40">
        <v>10000</v>
      </c>
      <c r="M24" s="40"/>
      <c r="O24" s="10">
        <f>SUMIF('Performance Data'!$B:$B, $B24,'Performance Data'!N:N)</f>
        <v>0</v>
      </c>
      <c r="P24" s="10">
        <f>SUMIF('Performance Data'!$B:$B, $B24,'Performance Data'!O:O)</f>
        <v>1213.0999999999999</v>
      </c>
      <c r="Q24" s="10">
        <f>SUMIF('Performance Data'!$B:$B, $B24,'Performance Data'!P:P)</f>
        <v>0</v>
      </c>
      <c r="S24" s="41" t="e">
        <f t="shared" si="17"/>
        <v>#DIV/0!</v>
      </c>
      <c r="T24" s="41" t="e">
        <f t="shared" si="18"/>
        <v>#DIV/0!</v>
      </c>
      <c r="V24" s="10">
        <f>SUMIF('Performance Data'!$B:$B, $B24,'Performance Data'!AC:AC)</f>
        <v>0</v>
      </c>
      <c r="W24" s="10">
        <f>SUMIF('Performance Data'!$B:$B, $B24,'Performance Data'!AD:AD)</f>
        <v>0</v>
      </c>
      <c r="X24" s="10">
        <f>SUMIF('Performance Data'!$B:$B, $B24,'Performance Data'!AE:AE)</f>
        <v>0</v>
      </c>
      <c r="Y24" s="10">
        <f>SUMIF('Performance Data'!$B:$B, $B24,'Performance Data'!AG:AG)</f>
        <v>0</v>
      </c>
      <c r="Z24" s="10">
        <f t="shared" si="19"/>
        <v>1213.0999999999999</v>
      </c>
      <c r="AA24" s="10">
        <f t="shared" si="20"/>
        <v>10000</v>
      </c>
      <c r="AC24" s="41" t="e">
        <f t="shared" si="21"/>
        <v>#DIV/0!</v>
      </c>
      <c r="AD24" s="41" t="e">
        <f t="shared" si="22"/>
        <v>#DIV/0!</v>
      </c>
      <c r="AE24" s="41">
        <f t="shared" si="23"/>
        <v>7.2433435001236504</v>
      </c>
      <c r="AG24" s="6">
        <f t="shared" si="9"/>
        <v>800</v>
      </c>
      <c r="AH24" s="6">
        <f t="shared" si="9"/>
        <v>800</v>
      </c>
      <c r="AI24" s="6">
        <f t="shared" si="9"/>
        <v>900</v>
      </c>
      <c r="AJ24" s="6">
        <f t="shared" si="9"/>
        <v>900</v>
      </c>
      <c r="AK24" s="6">
        <f t="shared" si="9"/>
        <v>900</v>
      </c>
      <c r="AL24" s="6">
        <f t="shared" si="9"/>
        <v>750</v>
      </c>
      <c r="AM24" s="6">
        <f t="shared" si="9"/>
        <v>700.00000000000011</v>
      </c>
      <c r="AN24" s="6">
        <f t="shared" si="9"/>
        <v>600</v>
      </c>
      <c r="AO24" s="6">
        <f t="shared" si="9"/>
        <v>950</v>
      </c>
      <c r="AP24" s="6">
        <f t="shared" si="9"/>
        <v>1050</v>
      </c>
      <c r="AQ24" s="6">
        <f t="shared" si="9"/>
        <v>900</v>
      </c>
      <c r="AR24" s="6">
        <f t="shared" si="9"/>
        <v>750</v>
      </c>
    </row>
    <row r="25" spans="2:58">
      <c r="B25" t="s">
        <v>56</v>
      </c>
      <c r="C25" t="s">
        <v>57</v>
      </c>
      <c r="D25" t="s">
        <v>58</v>
      </c>
      <c r="E25" t="s">
        <v>10</v>
      </c>
      <c r="G25" s="47">
        <v>2025</v>
      </c>
      <c r="I25" t="s">
        <v>56</v>
      </c>
      <c r="O25" s="10">
        <v>0</v>
      </c>
      <c r="P25" s="10">
        <v>0</v>
      </c>
      <c r="Q25" s="10">
        <f>SUMIF('Performance Data'!$B:$B, $B25,'Performance Data'!P:P)</f>
        <v>120000</v>
      </c>
      <c r="S25" s="41" t="e">
        <f>$P25/O25-1</f>
        <v>#DIV/0!</v>
      </c>
      <c r="T25" s="41">
        <f>P25/Q25-1</f>
        <v>-1</v>
      </c>
      <c r="V25" s="10">
        <v>0</v>
      </c>
      <c r="W25" s="10">
        <v>0</v>
      </c>
      <c r="X25" s="10">
        <v>0</v>
      </c>
      <c r="Y25" s="10">
        <f>SUMIF('Performance Data'!$B:$B, $B25,'Performance Data'!AG:AG)</f>
        <v>120000</v>
      </c>
      <c r="Z25" s="10">
        <f>J25</f>
        <v>0</v>
      </c>
      <c r="AA25" s="10">
        <f>K25</f>
        <v>0</v>
      </c>
      <c r="AC25" s="41" t="e">
        <f>Z25/X25-1</f>
        <v>#DIV/0!</v>
      </c>
      <c r="AD25" s="41">
        <f>Z25/Y25-1</f>
        <v>-1</v>
      </c>
      <c r="AE25" s="41" t="e">
        <f>AA25/Z25-1</f>
        <v>#DIV/0!</v>
      </c>
      <c r="AG25" s="6">
        <f t="shared" si="9"/>
        <v>0</v>
      </c>
      <c r="AH25" s="6">
        <f t="shared" si="9"/>
        <v>0</v>
      </c>
      <c r="AI25" s="6">
        <f t="shared" si="9"/>
        <v>0</v>
      </c>
      <c r="AJ25" s="6">
        <f t="shared" si="9"/>
        <v>0</v>
      </c>
      <c r="AK25" s="6">
        <f t="shared" si="9"/>
        <v>0</v>
      </c>
      <c r="AL25" s="6">
        <f t="shared" si="9"/>
        <v>0</v>
      </c>
      <c r="AM25" s="6">
        <f t="shared" si="9"/>
        <v>0</v>
      </c>
      <c r="AN25" s="6">
        <f t="shared" si="9"/>
        <v>0</v>
      </c>
      <c r="AO25" s="6">
        <f t="shared" si="9"/>
        <v>0</v>
      </c>
      <c r="AP25" s="6">
        <f t="shared" si="9"/>
        <v>0</v>
      </c>
      <c r="AQ25" s="6">
        <f t="shared" si="9"/>
        <v>0</v>
      </c>
      <c r="AR25" s="6">
        <f t="shared" si="9"/>
        <v>0</v>
      </c>
    </row>
    <row r="27" spans="2:58">
      <c r="B27" s="42" t="s">
        <v>59</v>
      </c>
      <c r="C27" s="42"/>
      <c r="D27" s="42"/>
      <c r="E27" s="42"/>
      <c r="F27" s="42"/>
      <c r="G27" s="43"/>
      <c r="H27" s="45">
        <f>COUNTIF(H17:H21, "Yes")+H25</f>
        <v>0</v>
      </c>
      <c r="I27" s="43"/>
      <c r="J27" s="45">
        <f>SUM(J17:J25)</f>
        <v>71295.279999999984</v>
      </c>
      <c r="K27" s="16">
        <f>SUM(K17:K25)</f>
        <v>109000</v>
      </c>
      <c r="L27" s="42"/>
      <c r="M27" s="42"/>
      <c r="N27" s="42"/>
      <c r="O27" s="16">
        <f>SUM(O17:O25)</f>
        <v>0</v>
      </c>
      <c r="P27" s="16">
        <f>SUM(P17:P25)</f>
        <v>71295.279999999984</v>
      </c>
      <c r="Q27" s="16">
        <f>SUM(Q17:Q25)</f>
        <v>120000</v>
      </c>
      <c r="R27" s="42"/>
      <c r="S27" s="44" t="e">
        <f>$P27/O27-1</f>
        <v>#DIV/0!</v>
      </c>
      <c r="T27" s="44">
        <f>P27/Q27-1</f>
        <v>-0.40587266666666677</v>
      </c>
      <c r="U27" s="42"/>
      <c r="V27" s="16">
        <f t="shared" ref="V27:AA27" si="24">SUM(V17:V25)</f>
        <v>0</v>
      </c>
      <c r="W27" s="16">
        <f t="shared" si="24"/>
        <v>0</v>
      </c>
      <c r="X27" s="16">
        <f t="shared" si="24"/>
        <v>0</v>
      </c>
      <c r="Y27" s="16">
        <f t="shared" si="24"/>
        <v>120000</v>
      </c>
      <c r="Z27" s="16">
        <f t="shared" si="24"/>
        <v>71295.279999999984</v>
      </c>
      <c r="AA27" s="16">
        <f t="shared" si="24"/>
        <v>109000</v>
      </c>
      <c r="AB27" s="42"/>
      <c r="AC27" s="44" t="e">
        <f>Z27/X27-1</f>
        <v>#DIV/0!</v>
      </c>
      <c r="AD27" s="44">
        <f>Z27/Y27-1</f>
        <v>-0.40587266666666677</v>
      </c>
      <c r="AE27" s="44">
        <f>AA27/Z27-1</f>
        <v>0.52885296193520848</v>
      </c>
      <c r="AG27" s="16">
        <f t="shared" ref="AG27:AR27" si="25">SUM(AG17:AG25)</f>
        <v>8720</v>
      </c>
      <c r="AH27" s="16">
        <f t="shared" si="25"/>
        <v>8720</v>
      </c>
      <c r="AI27" s="16">
        <f t="shared" si="25"/>
        <v>9810</v>
      </c>
      <c r="AJ27" s="16">
        <f t="shared" si="25"/>
        <v>9810</v>
      </c>
      <c r="AK27" s="16">
        <f t="shared" si="25"/>
        <v>9810</v>
      </c>
      <c r="AL27" s="16">
        <f t="shared" si="25"/>
        <v>8175</v>
      </c>
      <c r="AM27" s="16">
        <f t="shared" si="25"/>
        <v>7630</v>
      </c>
      <c r="AN27" s="16">
        <f t="shared" si="25"/>
        <v>6540</v>
      </c>
      <c r="AO27" s="16">
        <f t="shared" si="25"/>
        <v>10355</v>
      </c>
      <c r="AP27" s="16">
        <f t="shared" si="25"/>
        <v>11445</v>
      </c>
      <c r="AQ27" s="16">
        <f t="shared" si="25"/>
        <v>9810</v>
      </c>
      <c r="AR27" s="16">
        <f t="shared" si="25"/>
        <v>8175</v>
      </c>
    </row>
    <row r="30" spans="2:58">
      <c r="AY30">
        <f>AV31</f>
        <v>1</v>
      </c>
      <c r="AZ30">
        <f>AW31</f>
        <v>1</v>
      </c>
      <c r="BA30">
        <f>AX31+AV31</f>
        <v>2</v>
      </c>
      <c r="BB30">
        <f>AY31+AW31</f>
        <v>2</v>
      </c>
      <c r="BC30">
        <f>AZ31+AX31+AV31</f>
        <v>3</v>
      </c>
      <c r="BD30">
        <f>BA31+AY31+AW31</f>
        <v>3</v>
      </c>
      <c r="BE30">
        <f>BB31+AZ31+AX31+AV31</f>
        <v>4</v>
      </c>
      <c r="BF30">
        <f>BC31+BA31+AY31+AW31</f>
        <v>4</v>
      </c>
    </row>
    <row r="31" spans="2:58">
      <c r="B31" t="s">
        <v>60</v>
      </c>
      <c r="C31" t="s">
        <v>61</v>
      </c>
      <c r="D31" t="s">
        <v>58</v>
      </c>
      <c r="E31" t="s">
        <v>10</v>
      </c>
      <c r="G31" s="47">
        <v>2026</v>
      </c>
      <c r="H31" s="40">
        <v>10</v>
      </c>
      <c r="I31" t="s">
        <v>60</v>
      </c>
      <c r="K31" s="46">
        <v>100000</v>
      </c>
      <c r="O31" s="10">
        <v>0</v>
      </c>
      <c r="P31" s="10">
        <v>0</v>
      </c>
      <c r="Q31" s="10">
        <v>0</v>
      </c>
      <c r="S31" s="41" t="e">
        <f>$P31/O31-1</f>
        <v>#DIV/0!</v>
      </c>
      <c r="T31" s="41" t="e">
        <f>P31/Q31-1</f>
        <v>#DIV/0!</v>
      </c>
      <c r="V31" s="10">
        <v>0</v>
      </c>
      <c r="W31" s="10">
        <v>0</v>
      </c>
      <c r="X31" s="10">
        <v>0</v>
      </c>
      <c r="Y31" s="10">
        <v>0</v>
      </c>
      <c r="Z31" s="10">
        <f>J31</f>
        <v>0</v>
      </c>
      <c r="AA31" s="10">
        <f>K31</f>
        <v>100000</v>
      </c>
      <c r="AC31" s="41" t="e">
        <f>Z31/X31-1</f>
        <v>#DIV/0!</v>
      </c>
      <c r="AD31" s="41" t="e">
        <f>Z31/Y31-1</f>
        <v>#DIV/0!</v>
      </c>
      <c r="AE31" s="41" t="e">
        <f>AA31/Z31-1</f>
        <v>#DIV/0!</v>
      </c>
      <c r="AG31">
        <f>AU31*4000+AU30*3000</f>
        <v>0</v>
      </c>
      <c r="AH31">
        <f t="shared" ref="AH31:AR31" si="26">AV31*4000+AV30*3000</f>
        <v>4000</v>
      </c>
      <c r="AI31">
        <f t="shared" si="26"/>
        <v>4000</v>
      </c>
      <c r="AJ31">
        <f t="shared" si="26"/>
        <v>4000</v>
      </c>
      <c r="AK31">
        <f t="shared" si="26"/>
        <v>7000</v>
      </c>
      <c r="AL31">
        <f t="shared" si="26"/>
        <v>7000</v>
      </c>
      <c r="AM31">
        <f t="shared" si="26"/>
        <v>10000</v>
      </c>
      <c r="AN31">
        <f t="shared" si="26"/>
        <v>10000</v>
      </c>
      <c r="AO31">
        <f t="shared" si="26"/>
        <v>13000</v>
      </c>
      <c r="AP31">
        <f t="shared" si="26"/>
        <v>13000</v>
      </c>
      <c r="AQ31">
        <f t="shared" si="26"/>
        <v>16000</v>
      </c>
      <c r="AR31">
        <f t="shared" si="26"/>
        <v>12000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</row>
    <row r="33" spans="2:44">
      <c r="B33" s="42" t="s">
        <v>62</v>
      </c>
      <c r="C33" s="42"/>
      <c r="D33" s="42"/>
      <c r="E33" s="42"/>
      <c r="F33" s="42"/>
      <c r="G33" s="43"/>
      <c r="H33" s="45">
        <f>COUNTIF(H30:H30, "Yes")+H31</f>
        <v>10</v>
      </c>
      <c r="I33" s="43"/>
      <c r="J33" s="45">
        <f t="shared" ref="J33:K33" si="27">SUM(J30:J31)</f>
        <v>0</v>
      </c>
      <c r="K33" s="16">
        <f t="shared" si="27"/>
        <v>100000</v>
      </c>
      <c r="L33" s="42"/>
      <c r="M33" s="42"/>
      <c r="N33" s="42"/>
      <c r="O33" s="16">
        <f t="shared" ref="O33:Q33" si="28">SUM(O30:O31)</f>
        <v>0</v>
      </c>
      <c r="P33" s="16">
        <f t="shared" si="28"/>
        <v>0</v>
      </c>
      <c r="Q33" s="16">
        <f t="shared" si="28"/>
        <v>0</v>
      </c>
      <c r="R33" s="42"/>
      <c r="S33" s="44" t="e">
        <f>$P33/O33-1</f>
        <v>#DIV/0!</v>
      </c>
      <c r="T33" s="44" t="e">
        <f>P33/Q33-1</f>
        <v>#DIV/0!</v>
      </c>
      <c r="U33" s="42"/>
      <c r="V33" s="16">
        <f>SUM(V30:V31)</f>
        <v>0</v>
      </c>
      <c r="W33" s="16">
        <f t="shared" ref="W33:AA33" si="29">SUM(W30:W31)</f>
        <v>0</v>
      </c>
      <c r="X33" s="16">
        <f t="shared" si="29"/>
        <v>0</v>
      </c>
      <c r="Y33" s="16">
        <f t="shared" si="29"/>
        <v>0</v>
      </c>
      <c r="Z33" s="16">
        <f t="shared" si="29"/>
        <v>0</v>
      </c>
      <c r="AA33" s="16">
        <f t="shared" si="29"/>
        <v>100000</v>
      </c>
      <c r="AB33" s="42"/>
      <c r="AC33" s="44" t="e">
        <f>Z33/X33-1</f>
        <v>#DIV/0!</v>
      </c>
      <c r="AD33" s="44" t="e">
        <f>Z33/Y33-1</f>
        <v>#DIV/0!</v>
      </c>
      <c r="AE33" s="44" t="e">
        <f>AA33/Z33-1</f>
        <v>#DIV/0!</v>
      </c>
      <c r="AG33" s="16">
        <f t="shared" ref="AG33:AR33" si="30">SUM(AG30:AG31)</f>
        <v>0</v>
      </c>
      <c r="AH33" s="16">
        <f t="shared" si="30"/>
        <v>4000</v>
      </c>
      <c r="AI33" s="16">
        <f t="shared" si="30"/>
        <v>4000</v>
      </c>
      <c r="AJ33" s="16">
        <f t="shared" si="30"/>
        <v>4000</v>
      </c>
      <c r="AK33" s="16">
        <f t="shared" si="30"/>
        <v>7000</v>
      </c>
      <c r="AL33" s="16">
        <f t="shared" si="30"/>
        <v>7000</v>
      </c>
      <c r="AM33" s="16">
        <f t="shared" si="30"/>
        <v>10000</v>
      </c>
      <c r="AN33" s="16">
        <f t="shared" si="30"/>
        <v>10000</v>
      </c>
      <c r="AO33" s="16">
        <f t="shared" si="30"/>
        <v>13000</v>
      </c>
      <c r="AP33" s="16">
        <f t="shared" si="30"/>
        <v>13000</v>
      </c>
      <c r="AQ33" s="16">
        <f t="shared" si="30"/>
        <v>16000</v>
      </c>
      <c r="AR33" s="16">
        <f t="shared" si="30"/>
        <v>12000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60D1E0F-66D3-4F9D-93F2-6B9ED2D7739C}">
          <x14:formula1>
            <xm:f>List!$B:$B</xm:f>
          </x14:formula1>
          <xm:sqref>H3:H12 H17:H24</xm:sqref>
        </x14:dataValidation>
        <x14:dataValidation type="list" allowBlank="1" showInputMessage="1" showErrorMessage="1" xr:uid="{8A15CC20-602C-434D-8157-43AA3B917BE0}">
          <x14:formula1>
            <xm:f>List!$D:$D</xm:f>
          </x14:formula1>
          <xm:sqref>M3:M12 M17:M24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F20B-1469-496F-AC69-F89CA9741C24}">
  <dimension ref="B1:AR18"/>
  <sheetViews>
    <sheetView showGridLines="0" topLeftCell="S1" workbookViewId="0">
      <selection activeCell="AG1" sqref="AG1:AR3"/>
    </sheetView>
  </sheetViews>
  <sheetFormatPr defaultRowHeight="15"/>
  <cols>
    <col min="2" max="2" width="10.7109375" customWidth="1"/>
    <col min="3" max="3" width="39.42578125" bestFit="1" customWidth="1"/>
    <col min="4" max="5" width="16.85546875" customWidth="1"/>
    <col min="6" max="6" width="16.8554687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customWidth="1"/>
    <col min="15" max="17" width="13" customWidth="1"/>
    <col min="18" max="18" width="2" customWidth="1"/>
    <col min="19" max="20" width="13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44">
      <c r="O1" t="s">
        <v>15</v>
      </c>
      <c r="P1" t="s">
        <v>15</v>
      </c>
      <c r="Q1" t="s">
        <v>15</v>
      </c>
      <c r="S1" t="s">
        <v>15</v>
      </c>
      <c r="T1" t="s">
        <v>15</v>
      </c>
      <c r="V1" t="s">
        <v>16</v>
      </c>
      <c r="W1" t="s">
        <v>16</v>
      </c>
      <c r="X1" t="s">
        <v>16</v>
      </c>
      <c r="Y1" t="s">
        <v>16</v>
      </c>
      <c r="Z1" t="s">
        <v>16</v>
      </c>
      <c r="AA1" t="s">
        <v>16</v>
      </c>
      <c r="AC1" t="s">
        <v>16</v>
      </c>
      <c r="AD1" t="s">
        <v>16</v>
      </c>
      <c r="AE1" t="s">
        <v>16</v>
      </c>
      <c r="AG1" s="50">
        <v>0.08</v>
      </c>
      <c r="AH1" s="50">
        <v>0.08</v>
      </c>
      <c r="AI1" s="50">
        <v>0.09</v>
      </c>
      <c r="AJ1" s="50">
        <v>0.09</v>
      </c>
      <c r="AK1" s="50">
        <v>0.09</v>
      </c>
      <c r="AL1" s="50">
        <v>7.4999999999999997E-2</v>
      </c>
      <c r="AM1" s="50">
        <v>7.0000000000000007E-2</v>
      </c>
      <c r="AN1" s="50">
        <v>0.06</v>
      </c>
      <c r="AO1" s="50">
        <v>9.5000000000000001E-2</v>
      </c>
      <c r="AP1" s="50">
        <v>0.105</v>
      </c>
      <c r="AQ1" s="50">
        <v>0.09</v>
      </c>
      <c r="AR1" s="50">
        <v>7.4999999999999997E-2</v>
      </c>
    </row>
    <row r="2" spans="2:44" ht="30">
      <c r="B2" s="33" t="s">
        <v>17</v>
      </c>
      <c r="C2" s="33" t="s">
        <v>18</v>
      </c>
      <c r="D2" s="22" t="s">
        <v>19</v>
      </c>
      <c r="E2" s="22" t="s">
        <v>20</v>
      </c>
      <c r="F2" s="22" t="s">
        <v>21</v>
      </c>
      <c r="G2" s="22" t="s">
        <v>22</v>
      </c>
      <c r="H2" s="34" t="s">
        <v>23</v>
      </c>
      <c r="I2" s="22" t="s">
        <v>24</v>
      </c>
      <c r="J2" s="22" t="s">
        <v>25</v>
      </c>
      <c r="K2" s="34" t="s">
        <v>26</v>
      </c>
      <c r="L2" s="22" t="s">
        <v>27</v>
      </c>
      <c r="M2" s="34" t="s">
        <v>28</v>
      </c>
      <c r="N2" s="22"/>
      <c r="O2" s="22" t="s">
        <v>29</v>
      </c>
      <c r="P2" s="22" t="s">
        <v>30</v>
      </c>
      <c r="Q2" s="22" t="s">
        <v>31</v>
      </c>
      <c r="R2" s="22"/>
      <c r="S2" s="22" t="s">
        <v>32</v>
      </c>
      <c r="T2" s="22" t="s">
        <v>33</v>
      </c>
      <c r="U2" s="22"/>
      <c r="V2" s="38">
        <v>2022</v>
      </c>
      <c r="W2" s="38">
        <v>2023</v>
      </c>
      <c r="X2" s="38">
        <v>2024</v>
      </c>
      <c r="Y2" s="38" t="s">
        <v>34</v>
      </c>
      <c r="Z2" s="38" t="s">
        <v>25</v>
      </c>
      <c r="AA2" s="38" t="s">
        <v>26</v>
      </c>
      <c r="AB2" s="22"/>
      <c r="AC2" s="22" t="s">
        <v>32</v>
      </c>
      <c r="AD2" s="22" t="s">
        <v>33</v>
      </c>
      <c r="AE2" s="22" t="s">
        <v>36</v>
      </c>
      <c r="AG2" s="2">
        <v>46023</v>
      </c>
      <c r="AH2" s="2">
        <v>46054</v>
      </c>
      <c r="AI2" s="2">
        <v>46082</v>
      </c>
      <c r="AJ2" s="2">
        <v>46113</v>
      </c>
      <c r="AK2" s="2">
        <v>46143</v>
      </c>
      <c r="AL2" s="2">
        <v>46174</v>
      </c>
      <c r="AM2" s="2">
        <v>46204</v>
      </c>
      <c r="AN2" s="2">
        <v>46235</v>
      </c>
      <c r="AO2" s="2">
        <v>46266</v>
      </c>
      <c r="AP2" s="2">
        <v>46296</v>
      </c>
      <c r="AQ2" s="2">
        <v>46327</v>
      </c>
      <c r="AR2" s="2">
        <v>46357</v>
      </c>
    </row>
    <row r="3" spans="2:44">
      <c r="B3">
        <v>51101</v>
      </c>
      <c r="C3" t="s">
        <v>63</v>
      </c>
      <c r="D3" t="str">
        <f>VLOOKUP($B3, 'Performance Data'!$B:$K, 3, 0)</f>
        <v>UK</v>
      </c>
      <c r="E3" t="str">
        <f>VLOOKUP($B3, 'Performance Data'!$B:$K, 5, 0)</f>
        <v>Retail</v>
      </c>
      <c r="F3" t="str">
        <f>VLOOKUP($B3, 'Performance Data'!$B:$K, 6, 0)</f>
        <v>Retail</v>
      </c>
      <c r="G3" t="str">
        <f>VLOOKUP($B3, 'Performance Data'!$B:$K, 9, 0)</f>
        <v>Pre-2022</v>
      </c>
      <c r="H3" s="40"/>
      <c r="I3" s="39" t="str">
        <f>VLOOKUP($B3, 'Performance Data'!$B:$K, 7, 0)</f>
        <v>AA</v>
      </c>
      <c r="J3" s="4">
        <f>P3</f>
        <v>104135.51999999999</v>
      </c>
      <c r="K3" s="40">
        <v>118000</v>
      </c>
      <c r="M3" s="40"/>
      <c r="O3" s="10">
        <f>SUMIF('Performance Data'!$B:$B, $B3,'Performance Data'!N:N)</f>
        <v>106390.93</v>
      </c>
      <c r="P3" s="10">
        <f>SUMIF('Performance Data'!$B:$B, $B3,'Performance Data'!O:O)</f>
        <v>104135.51999999999</v>
      </c>
      <c r="Q3" s="10">
        <f>SUMIF('Performance Data'!$B:$B, $B3,'Performance Data'!P:P)</f>
        <v>100000</v>
      </c>
      <c r="S3" s="41">
        <f t="shared" ref="S3:S6" si="0">$P3/O3-1</f>
        <v>-2.1199269524197262E-2</v>
      </c>
      <c r="T3" s="41">
        <f t="shared" ref="T3:T6" si="1">P3/Q3-1</f>
        <v>4.1355199999999925E-2</v>
      </c>
      <c r="V3" s="10">
        <f>SUMIF('Performance Data'!$B:$B, $B3,'Performance Data'!AC:AC)</f>
        <v>0</v>
      </c>
      <c r="W3" s="10">
        <f>SUMIF('Performance Data'!$B:$B, $B3,'Performance Data'!AD:AD)</f>
        <v>108670.27999999998</v>
      </c>
      <c r="X3" s="10">
        <f>SUMIF('Performance Data'!$B:$B, $B3,'Performance Data'!AE:AE)</f>
        <v>106390.93</v>
      </c>
      <c r="Y3" s="10">
        <f>SUMIF('Performance Data'!$B:$B, $B3,'Performance Data'!AG:AG)</f>
        <v>100000</v>
      </c>
      <c r="Z3" s="10">
        <f t="shared" ref="Z3:AA5" si="2">J3</f>
        <v>104135.51999999999</v>
      </c>
      <c r="AA3" s="10">
        <f t="shared" si="2"/>
        <v>118000</v>
      </c>
      <c r="AC3" s="41">
        <f t="shared" ref="AC3:AC6" si="3">Z3/X3-1</f>
        <v>-2.1199269524197262E-2</v>
      </c>
      <c r="AD3" s="41">
        <f t="shared" ref="AD3:AE6" si="4">Z3/Y3-1</f>
        <v>4.1355199999999925E-2</v>
      </c>
      <c r="AE3" s="41">
        <f t="shared" si="4"/>
        <v>0.13313881757156465</v>
      </c>
      <c r="AG3" s="6">
        <f t="shared" ref="AG3:AR5" si="5">$AA3*AG$1</f>
        <v>9440</v>
      </c>
      <c r="AH3" s="6">
        <f t="shared" si="5"/>
        <v>9440</v>
      </c>
      <c r="AI3" s="6">
        <f t="shared" si="5"/>
        <v>10620</v>
      </c>
      <c r="AJ3" s="6">
        <f t="shared" si="5"/>
        <v>10620</v>
      </c>
      <c r="AK3" s="6">
        <f t="shared" si="5"/>
        <v>10620</v>
      </c>
      <c r="AL3" s="6">
        <f t="shared" si="5"/>
        <v>8850</v>
      </c>
      <c r="AM3" s="6">
        <f t="shared" si="5"/>
        <v>8260</v>
      </c>
      <c r="AN3" s="6">
        <f t="shared" si="5"/>
        <v>7080</v>
      </c>
      <c r="AO3" s="6">
        <f t="shared" si="5"/>
        <v>11210</v>
      </c>
      <c r="AP3" s="6">
        <f t="shared" si="5"/>
        <v>12390</v>
      </c>
      <c r="AQ3" s="6">
        <f t="shared" si="5"/>
        <v>10620</v>
      </c>
      <c r="AR3" s="6">
        <f t="shared" si="5"/>
        <v>8850</v>
      </c>
    </row>
    <row r="4" spans="2:44">
      <c r="B4">
        <v>51172</v>
      </c>
      <c r="C4" t="s">
        <v>64</v>
      </c>
      <c r="D4" t="str">
        <f>VLOOKUP($B4, 'Performance Data'!$B:$K, 3, 0)</f>
        <v>UK</v>
      </c>
      <c r="E4" t="str">
        <f>VLOOKUP($B4, 'Performance Data'!$B:$K, 5, 0)</f>
        <v>Retail</v>
      </c>
      <c r="F4" t="str">
        <f>VLOOKUP($B4, 'Performance Data'!$B:$K, 6, 0)</f>
        <v>Retail</v>
      </c>
      <c r="G4" t="str">
        <f>VLOOKUP($B4, 'Performance Data'!$B:$K, 9, 0)</f>
        <v>Pre-2022</v>
      </c>
      <c r="H4" s="40"/>
      <c r="I4" s="39" t="str">
        <f>VLOOKUP($B4, 'Performance Data'!$B:$K, 7, 0)</f>
        <v>AA</v>
      </c>
      <c r="J4" s="4">
        <f t="shared" ref="J4:J5" si="6">P4</f>
        <v>38041.620000000003</v>
      </c>
      <c r="K4" s="40">
        <v>40000</v>
      </c>
      <c r="M4" s="40"/>
      <c r="O4" s="10">
        <f>SUMIF('Performance Data'!$B:$B, $B4,'Performance Data'!N:N)</f>
        <v>39567.380000000005</v>
      </c>
      <c r="P4" s="10">
        <f>SUMIF('Performance Data'!$B:$B, $B4,'Performance Data'!O:O)</f>
        <v>38041.620000000003</v>
      </c>
      <c r="Q4" s="10">
        <f>SUMIF('Performance Data'!$B:$B, $B4,'Performance Data'!P:P)</f>
        <v>35000</v>
      </c>
      <c r="S4" s="41">
        <f t="shared" si="0"/>
        <v>-3.8561057113207897E-2</v>
      </c>
      <c r="T4" s="41">
        <f t="shared" si="1"/>
        <v>8.6903428571428742E-2</v>
      </c>
      <c r="V4" s="10">
        <f>SUMIF('Performance Data'!$B:$B, $B4,'Performance Data'!AC:AC)</f>
        <v>0</v>
      </c>
      <c r="W4" s="10">
        <f>SUMIF('Performance Data'!$B:$B, $B4,'Performance Data'!AD:AD)</f>
        <v>24702.52</v>
      </c>
      <c r="X4" s="10">
        <f>SUMIF('Performance Data'!$B:$B, $B4,'Performance Data'!AE:AE)</f>
        <v>39567.380000000005</v>
      </c>
      <c r="Y4" s="10">
        <f>SUMIF('Performance Data'!$B:$B, $B4,'Performance Data'!AG:AG)</f>
        <v>35000</v>
      </c>
      <c r="Z4" s="10">
        <f t="shared" si="2"/>
        <v>38041.620000000003</v>
      </c>
      <c r="AA4" s="10">
        <f t="shared" si="2"/>
        <v>40000</v>
      </c>
      <c r="AC4" s="41">
        <f t="shared" si="3"/>
        <v>-3.8561057113207897E-2</v>
      </c>
      <c r="AD4" s="41">
        <f t="shared" si="4"/>
        <v>8.6903428571428742E-2</v>
      </c>
      <c r="AE4" s="41">
        <f t="shared" si="4"/>
        <v>5.1479931716893246E-2</v>
      </c>
      <c r="AG4" s="6">
        <f t="shared" si="5"/>
        <v>3200</v>
      </c>
      <c r="AH4" s="6">
        <f t="shared" si="5"/>
        <v>3200</v>
      </c>
      <c r="AI4" s="6">
        <f t="shared" si="5"/>
        <v>3600</v>
      </c>
      <c r="AJ4" s="6">
        <f t="shared" si="5"/>
        <v>3600</v>
      </c>
      <c r="AK4" s="6">
        <f t="shared" si="5"/>
        <v>3600</v>
      </c>
      <c r="AL4" s="6">
        <f t="shared" si="5"/>
        <v>3000</v>
      </c>
      <c r="AM4" s="6">
        <f t="shared" si="5"/>
        <v>2800.0000000000005</v>
      </c>
      <c r="AN4" s="6">
        <f t="shared" si="5"/>
        <v>2400</v>
      </c>
      <c r="AO4" s="6">
        <f t="shared" si="5"/>
        <v>3800</v>
      </c>
      <c r="AP4" s="6">
        <f t="shared" si="5"/>
        <v>4200</v>
      </c>
      <c r="AQ4" s="6">
        <f t="shared" si="5"/>
        <v>3600</v>
      </c>
      <c r="AR4" s="6">
        <f t="shared" si="5"/>
        <v>3000</v>
      </c>
    </row>
    <row r="5" spans="2:44">
      <c r="B5">
        <v>51183</v>
      </c>
      <c r="C5" t="s">
        <v>65</v>
      </c>
      <c r="D5" t="str">
        <f>VLOOKUP($B5, 'Performance Data'!$B:$K, 3, 0)</f>
        <v>UK</v>
      </c>
      <c r="E5" t="str">
        <f>VLOOKUP($B5, 'Performance Data'!$B:$K, 5, 0)</f>
        <v>Retail</v>
      </c>
      <c r="F5" t="str">
        <f>VLOOKUP($B5, 'Performance Data'!$B:$K, 6, 0)</f>
        <v>Retail</v>
      </c>
      <c r="G5">
        <f>VLOOKUP($B5, 'Performance Data'!$B:$K, 9, 0)</f>
        <v>2022</v>
      </c>
      <c r="H5" s="40"/>
      <c r="I5" s="39" t="str">
        <f>VLOOKUP($B5, 'Performance Data'!$B:$K, 7, 0)</f>
        <v>CC</v>
      </c>
      <c r="J5" s="4">
        <f t="shared" si="6"/>
        <v>1569.42</v>
      </c>
      <c r="K5" s="40">
        <v>2000</v>
      </c>
      <c r="M5" s="40"/>
      <c r="O5" s="10">
        <f>SUMIF('Performance Data'!$B:$B, $B5,'Performance Data'!N:N)</f>
        <v>1708.9499999999998</v>
      </c>
      <c r="P5" s="10">
        <f>SUMIF('Performance Data'!$B:$B, $B5,'Performance Data'!O:O)</f>
        <v>1569.42</v>
      </c>
      <c r="Q5" s="10">
        <f>SUMIF('Performance Data'!$B:$B, $B5,'Performance Data'!P:P)</f>
        <v>2000</v>
      </c>
      <c r="S5" s="41">
        <f t="shared" si="0"/>
        <v>-8.1646625120687988E-2</v>
      </c>
      <c r="T5" s="41">
        <f t="shared" si="1"/>
        <v>-0.21528999999999998</v>
      </c>
      <c r="V5" s="10">
        <f>SUMIF('Performance Data'!$B:$B, $B5,'Performance Data'!AC:AC)</f>
        <v>0</v>
      </c>
      <c r="W5" s="10">
        <f>SUMIF('Performance Data'!$B:$B, $B5,'Performance Data'!AD:AD)</f>
        <v>3526.98</v>
      </c>
      <c r="X5" s="10">
        <f>SUMIF('Performance Data'!$B:$B, $B5,'Performance Data'!AE:AE)</f>
        <v>1708.9499999999998</v>
      </c>
      <c r="Y5" s="10">
        <f>SUMIF('Performance Data'!$B:$B, $B5,'Performance Data'!AG:AG)</f>
        <v>2000</v>
      </c>
      <c r="Z5" s="10">
        <f t="shared" si="2"/>
        <v>1569.42</v>
      </c>
      <c r="AA5" s="10">
        <f t="shared" si="2"/>
        <v>2000</v>
      </c>
      <c r="AC5" s="41">
        <f t="shared" si="3"/>
        <v>-8.1646625120687988E-2</v>
      </c>
      <c r="AD5" s="41">
        <f t="shared" si="4"/>
        <v>-0.21528999999999998</v>
      </c>
      <c r="AE5" s="41">
        <f t="shared" si="4"/>
        <v>0.27435613156452687</v>
      </c>
      <c r="AG5" s="6">
        <f t="shared" si="5"/>
        <v>160</v>
      </c>
      <c r="AH5" s="6">
        <f t="shared" si="5"/>
        <v>160</v>
      </c>
      <c r="AI5" s="6">
        <f t="shared" si="5"/>
        <v>180</v>
      </c>
      <c r="AJ5" s="6">
        <f t="shared" si="5"/>
        <v>180</v>
      </c>
      <c r="AK5" s="6">
        <f t="shared" si="5"/>
        <v>180</v>
      </c>
      <c r="AL5" s="6">
        <f t="shared" si="5"/>
        <v>150</v>
      </c>
      <c r="AM5" s="6">
        <f t="shared" si="5"/>
        <v>140</v>
      </c>
      <c r="AN5" s="6">
        <f t="shared" si="5"/>
        <v>120</v>
      </c>
      <c r="AO5" s="6">
        <f t="shared" si="5"/>
        <v>190</v>
      </c>
      <c r="AP5" s="6">
        <f t="shared" si="5"/>
        <v>210</v>
      </c>
      <c r="AQ5" s="6">
        <f t="shared" si="5"/>
        <v>180</v>
      </c>
      <c r="AR5" s="6">
        <f t="shared" si="5"/>
        <v>150</v>
      </c>
    </row>
    <row r="6" spans="2:44">
      <c r="B6" s="42" t="s">
        <v>47</v>
      </c>
      <c r="C6" s="42"/>
      <c r="D6" s="42"/>
      <c r="E6" s="42"/>
      <c r="F6" s="42"/>
      <c r="G6" s="43"/>
      <c r="H6" s="16">
        <f>COUNTIF(H3:H5, "Yes")</f>
        <v>0</v>
      </c>
      <c r="I6" s="43"/>
      <c r="J6" s="45">
        <f>SUM(J3:J5)</f>
        <v>143746.56</v>
      </c>
      <c r="K6" s="16">
        <f>SUM(K3:K5)</f>
        <v>160000</v>
      </c>
      <c r="L6" s="42"/>
      <c r="M6" s="42"/>
      <c r="N6" s="42"/>
      <c r="O6" s="16">
        <f>SUM(O3:O5)</f>
        <v>147667.26</v>
      </c>
      <c r="P6" s="16">
        <f>SUM(P3:P5)</f>
        <v>143746.56</v>
      </c>
      <c r="Q6" s="16">
        <f>SUM(Q3:Q5)</f>
        <v>137000</v>
      </c>
      <c r="R6" s="42"/>
      <c r="S6" s="44">
        <f t="shared" si="0"/>
        <v>-2.6550909118243315E-2</v>
      </c>
      <c r="T6" s="44">
        <f t="shared" si="1"/>
        <v>4.9244963503649597E-2</v>
      </c>
      <c r="U6" s="42"/>
      <c r="V6" s="16">
        <f>SUMIF('Performance Data'!$B:$B, $B6,'Performance Data'!AC:AC)</f>
        <v>0</v>
      </c>
      <c r="W6" s="16">
        <f>SUM(W3:W5)</f>
        <v>136899.78</v>
      </c>
      <c r="X6" s="16">
        <f>SUM(X3:X5)</f>
        <v>147667.26</v>
      </c>
      <c r="Y6" s="16">
        <f>SUM(Y3:Y5)</f>
        <v>137000</v>
      </c>
      <c r="Z6" s="16">
        <f>SUM(Z3:Z5)</f>
        <v>143746.56</v>
      </c>
      <c r="AA6" s="16">
        <f>SUM(AA3:AA5)</f>
        <v>160000</v>
      </c>
      <c r="AB6" s="42"/>
      <c r="AC6" s="44">
        <f t="shared" si="3"/>
        <v>-2.6550909118243315E-2</v>
      </c>
      <c r="AD6" s="44">
        <f t="shared" si="4"/>
        <v>4.9244963503649597E-2</v>
      </c>
      <c r="AE6" s="44">
        <f t="shared" si="4"/>
        <v>0.11307011451265336</v>
      </c>
      <c r="AG6" s="16">
        <f t="shared" ref="AG6:AR6" si="7">SUM(AG3:AG5)</f>
        <v>12800</v>
      </c>
      <c r="AH6" s="16">
        <f t="shared" si="7"/>
        <v>12800</v>
      </c>
      <c r="AI6" s="16">
        <f t="shared" si="7"/>
        <v>14400</v>
      </c>
      <c r="AJ6" s="16">
        <f t="shared" si="7"/>
        <v>14400</v>
      </c>
      <c r="AK6" s="16">
        <f t="shared" si="7"/>
        <v>14400</v>
      </c>
      <c r="AL6" s="16">
        <f t="shared" si="7"/>
        <v>12000</v>
      </c>
      <c r="AM6" s="16">
        <f t="shared" si="7"/>
        <v>11200</v>
      </c>
      <c r="AN6" s="16">
        <f t="shared" si="7"/>
        <v>9600</v>
      </c>
      <c r="AO6" s="16">
        <f t="shared" si="7"/>
        <v>15200</v>
      </c>
      <c r="AP6" s="16">
        <f t="shared" si="7"/>
        <v>16800</v>
      </c>
      <c r="AQ6" s="16">
        <f t="shared" si="7"/>
        <v>14400</v>
      </c>
      <c r="AR6" s="16">
        <f t="shared" si="7"/>
        <v>12000</v>
      </c>
    </row>
    <row r="7" spans="2:44">
      <c r="G7" s="39"/>
      <c r="I7" s="39"/>
      <c r="O7" s="10"/>
      <c r="P7" s="10"/>
      <c r="Q7" s="10"/>
      <c r="S7" s="41"/>
      <c r="T7" s="41"/>
      <c r="V7" s="10"/>
      <c r="W7" s="10"/>
      <c r="X7" s="10"/>
      <c r="Y7" s="10"/>
      <c r="Z7" s="10"/>
      <c r="AA7" s="10"/>
      <c r="AC7" s="41"/>
      <c r="AD7" s="41"/>
      <c r="AE7" s="41"/>
    </row>
    <row r="10" spans="2:44">
      <c r="B10" t="s">
        <v>56</v>
      </c>
      <c r="C10" t="s">
        <v>57</v>
      </c>
      <c r="D10" t="s">
        <v>58</v>
      </c>
      <c r="E10" t="s">
        <v>11</v>
      </c>
      <c r="G10" s="47">
        <v>2025</v>
      </c>
      <c r="H10" s="40"/>
      <c r="I10" t="s">
        <v>56</v>
      </c>
      <c r="K10" s="40"/>
      <c r="O10" s="10">
        <v>0</v>
      </c>
      <c r="P10" s="10">
        <v>0</v>
      </c>
      <c r="Q10" s="10">
        <v>0</v>
      </c>
      <c r="S10" s="41" t="e">
        <f>$P10/O10-1</f>
        <v>#DIV/0!</v>
      </c>
      <c r="T10" s="41" t="e">
        <f>P10/Q10-1</f>
        <v>#DIV/0!</v>
      </c>
      <c r="V10" s="10">
        <v>0</v>
      </c>
      <c r="W10" s="10">
        <v>0</v>
      </c>
      <c r="X10" s="10">
        <v>0</v>
      </c>
      <c r="Y10" s="10">
        <v>0</v>
      </c>
      <c r="Z10" s="10">
        <f>J10</f>
        <v>0</v>
      </c>
      <c r="AA10" s="10">
        <f>K10</f>
        <v>0</v>
      </c>
      <c r="AC10" s="41" t="e">
        <f>Z10/X10-1</f>
        <v>#DIV/0!</v>
      </c>
      <c r="AD10" s="41" t="e">
        <f>Z10/Y10-1</f>
        <v>#DIV/0!</v>
      </c>
      <c r="AE10" s="41" t="e">
        <f>AA10/Z10-1</f>
        <v>#DIV/0!</v>
      </c>
    </row>
    <row r="12" spans="2:44">
      <c r="B12" s="42" t="s">
        <v>59</v>
      </c>
      <c r="C12" s="42"/>
      <c r="D12" s="42"/>
      <c r="E12" s="42"/>
      <c r="F12" s="42"/>
      <c r="G12" s="43"/>
      <c r="H12" s="45">
        <f>COUNTIF(H9, "Yes")+H10</f>
        <v>0</v>
      </c>
      <c r="I12" s="43"/>
      <c r="J12" s="45">
        <f>SUM(J10:J10)</f>
        <v>0</v>
      </c>
      <c r="K12" s="16">
        <f>SUM(K10:K10)</f>
        <v>0</v>
      </c>
      <c r="L12" s="42"/>
      <c r="M12" s="42"/>
      <c r="N12" s="42"/>
      <c r="O12" s="16">
        <f>SUM(O10:O10)</f>
        <v>0</v>
      </c>
      <c r="P12" s="16">
        <f>SUM(P10:P10)</f>
        <v>0</v>
      </c>
      <c r="Q12" s="16">
        <f>SUM(Q10:Q10)</f>
        <v>0</v>
      </c>
      <c r="R12" s="42"/>
      <c r="S12" s="44" t="e">
        <f>$P12/O12-1</f>
        <v>#DIV/0!</v>
      </c>
      <c r="T12" s="44" t="e">
        <f>P12/Q12-1</f>
        <v>#DIV/0!</v>
      </c>
      <c r="U12" s="42"/>
      <c r="V12" s="16">
        <f t="shared" ref="V12:AA12" si="8">SUM(V10:V10)</f>
        <v>0</v>
      </c>
      <c r="W12" s="16">
        <f t="shared" si="8"/>
        <v>0</v>
      </c>
      <c r="X12" s="16">
        <f t="shared" si="8"/>
        <v>0</v>
      </c>
      <c r="Y12" s="16">
        <f t="shared" si="8"/>
        <v>0</v>
      </c>
      <c r="Z12" s="16">
        <f t="shared" si="8"/>
        <v>0</v>
      </c>
      <c r="AA12" s="16">
        <f t="shared" si="8"/>
        <v>0</v>
      </c>
      <c r="AB12" s="42"/>
      <c r="AC12" s="44" t="e">
        <f>Z12/X12-1</f>
        <v>#DIV/0!</v>
      </c>
      <c r="AD12" s="44" t="e">
        <f>Z12/Y12-1</f>
        <v>#DIV/0!</v>
      </c>
      <c r="AE12" s="44" t="e">
        <f>AA12/Z12-1</f>
        <v>#DIV/0!</v>
      </c>
    </row>
    <row r="16" spans="2:44">
      <c r="B16" t="s">
        <v>60</v>
      </c>
      <c r="C16" t="s">
        <v>61</v>
      </c>
      <c r="D16" t="s">
        <v>58</v>
      </c>
      <c r="E16" t="s">
        <v>11</v>
      </c>
      <c r="G16" s="47">
        <v>2026</v>
      </c>
      <c r="H16" s="40">
        <v>0</v>
      </c>
      <c r="I16" t="s">
        <v>60</v>
      </c>
      <c r="K16" s="46">
        <v>0</v>
      </c>
      <c r="O16" s="10">
        <v>0</v>
      </c>
      <c r="P16" s="10">
        <v>0</v>
      </c>
      <c r="Q16" s="10">
        <v>0</v>
      </c>
      <c r="S16" s="41" t="e">
        <f>$P16/O16-1</f>
        <v>#DIV/0!</v>
      </c>
      <c r="T16" s="41" t="e">
        <f>P16/Q16-1</f>
        <v>#DIV/0!</v>
      </c>
      <c r="V16" s="10">
        <v>0</v>
      </c>
      <c r="W16" s="10">
        <v>0</v>
      </c>
      <c r="X16" s="10">
        <v>0</v>
      </c>
      <c r="Y16" s="10">
        <v>0</v>
      </c>
      <c r="Z16" s="10">
        <f>J16</f>
        <v>0</v>
      </c>
      <c r="AA16" s="10">
        <f>K16</f>
        <v>0</v>
      </c>
      <c r="AC16" s="41" t="e">
        <f>Z16/X16-1</f>
        <v>#DIV/0!</v>
      </c>
      <c r="AD16" s="41" t="e">
        <f>Z16/Y16-1</f>
        <v>#DIV/0!</v>
      </c>
      <c r="AE16" s="41" t="e">
        <f>AA16/Z16-1</f>
        <v>#DIV/0!</v>
      </c>
    </row>
    <row r="18" spans="2:31">
      <c r="B18" s="42" t="s">
        <v>62</v>
      </c>
      <c r="C18" s="42"/>
      <c r="D18" s="42"/>
      <c r="E18" s="42"/>
      <c r="F18" s="42"/>
      <c r="G18" s="43"/>
      <c r="H18" s="45">
        <f>COUNTIF(H15:H15, "Yes")+H16</f>
        <v>0</v>
      </c>
      <c r="I18" s="43"/>
      <c r="J18" s="45">
        <f t="shared" ref="J18:K18" si="9">SUM(J15:J16)</f>
        <v>0</v>
      </c>
      <c r="K18" s="16">
        <f t="shared" si="9"/>
        <v>0</v>
      </c>
      <c r="L18" s="42"/>
      <c r="M18" s="42"/>
      <c r="N18" s="42"/>
      <c r="O18" s="16">
        <f t="shared" ref="O18:Q18" si="10">SUM(O15:O16)</f>
        <v>0</v>
      </c>
      <c r="P18" s="16">
        <f t="shared" si="10"/>
        <v>0</v>
      </c>
      <c r="Q18" s="16">
        <f t="shared" si="10"/>
        <v>0</v>
      </c>
      <c r="R18" s="42"/>
      <c r="S18" s="44" t="e">
        <f>$P18/O18-1</f>
        <v>#DIV/0!</v>
      </c>
      <c r="T18" s="44" t="e">
        <f>P18/Q18-1</f>
        <v>#DIV/0!</v>
      </c>
      <c r="U18" s="42"/>
      <c r="V18" s="16">
        <f>SUM(V15:V16)</f>
        <v>0</v>
      </c>
      <c r="W18" s="16">
        <f t="shared" ref="W18:AA18" si="11">SUM(W15:W16)</f>
        <v>0</v>
      </c>
      <c r="X18" s="16">
        <f t="shared" si="11"/>
        <v>0</v>
      </c>
      <c r="Y18" s="16">
        <f t="shared" si="11"/>
        <v>0</v>
      </c>
      <c r="Z18" s="16">
        <f t="shared" si="11"/>
        <v>0</v>
      </c>
      <c r="AA18" s="16">
        <f t="shared" si="11"/>
        <v>0</v>
      </c>
      <c r="AB18" s="42"/>
      <c r="AC18" s="44" t="e">
        <f>Z18/X18-1</f>
        <v>#DIV/0!</v>
      </c>
      <c r="AD18" s="44" t="e">
        <f>Z18/Y18-1</f>
        <v>#DIV/0!</v>
      </c>
      <c r="AE18" s="44" t="e">
        <f>AA18/Z18-1</f>
        <v>#DIV/0!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03E8A0-81BE-4B81-B06F-A1D2AB4A28C9}">
          <x14:formula1>
            <xm:f>List!$D:$D</xm:f>
          </x14:formula1>
          <xm:sqref>M3:M5</xm:sqref>
        </x14:dataValidation>
        <x14:dataValidation type="list" allowBlank="1" showInputMessage="1" showErrorMessage="1" xr:uid="{342284C7-290D-4C7F-9192-169F7EFBCA59}">
          <x14:formula1>
            <xm:f>List!$B:$B</xm:f>
          </x14:formula1>
          <xm:sqref>H3:H5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C012-2866-47EA-9682-FD971CCDB013}">
  <dimension ref="B1:AR17"/>
  <sheetViews>
    <sheetView showGridLines="0" topLeftCell="T1" workbookViewId="0">
      <selection activeCell="AG5" sqref="AG5:AR5"/>
    </sheetView>
  </sheetViews>
  <sheetFormatPr defaultRowHeight="15"/>
  <cols>
    <col min="2" max="2" width="10.7109375" customWidth="1"/>
    <col min="3" max="3" width="39.42578125" bestFit="1" customWidth="1"/>
    <col min="4" max="5" width="16.85546875" customWidth="1"/>
    <col min="6" max="6" width="16.85546875" bestFit="1" customWidth="1"/>
    <col min="7" max="7" width="15.85546875" customWidth="1"/>
    <col min="8" max="8" width="14.85546875" customWidth="1"/>
    <col min="9" max="11" width="12.85546875" customWidth="1"/>
    <col min="12" max="12" width="9" bestFit="1" customWidth="1"/>
    <col min="13" max="13" width="14.28515625" customWidth="1"/>
    <col min="14" max="14" width="4.28515625" customWidth="1"/>
    <col min="15" max="17" width="13" customWidth="1"/>
    <col min="18" max="18" width="2" customWidth="1"/>
    <col min="19" max="20" width="13" customWidth="1"/>
    <col min="21" max="21" width="2" customWidth="1"/>
    <col min="22" max="27" width="13" customWidth="1"/>
    <col min="28" max="28" width="2" customWidth="1"/>
    <col min="29" max="31" width="13" customWidth="1"/>
  </cols>
  <sheetData>
    <row r="1" spans="2:44">
      <c r="O1" t="s">
        <v>15</v>
      </c>
      <c r="P1" t="s">
        <v>15</v>
      </c>
      <c r="Q1" t="s">
        <v>15</v>
      </c>
      <c r="S1" t="s">
        <v>15</v>
      </c>
      <c r="T1" t="s">
        <v>15</v>
      </c>
      <c r="V1" t="s">
        <v>16</v>
      </c>
      <c r="W1" t="s">
        <v>16</v>
      </c>
      <c r="X1" t="s">
        <v>16</v>
      </c>
      <c r="Y1" t="s">
        <v>16</v>
      </c>
      <c r="Z1" t="s">
        <v>16</v>
      </c>
      <c r="AA1" t="s">
        <v>16</v>
      </c>
      <c r="AC1" t="s">
        <v>16</v>
      </c>
      <c r="AD1" t="s">
        <v>16</v>
      </c>
      <c r="AE1" t="s">
        <v>16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</row>
    <row r="2" spans="2:44" ht="30">
      <c r="B2" s="33" t="s">
        <v>17</v>
      </c>
      <c r="C2" s="33" t="s">
        <v>18</v>
      </c>
      <c r="D2" s="22" t="s">
        <v>19</v>
      </c>
      <c r="E2" s="22" t="s">
        <v>20</v>
      </c>
      <c r="F2" s="22" t="s">
        <v>21</v>
      </c>
      <c r="G2" s="22" t="s">
        <v>22</v>
      </c>
      <c r="H2" s="34" t="s">
        <v>23</v>
      </c>
      <c r="I2" s="22" t="s">
        <v>24</v>
      </c>
      <c r="J2" s="22" t="s">
        <v>25</v>
      </c>
      <c r="K2" s="34" t="s">
        <v>26</v>
      </c>
      <c r="L2" s="22" t="s">
        <v>27</v>
      </c>
      <c r="M2" s="34" t="s">
        <v>28</v>
      </c>
      <c r="N2" s="22"/>
      <c r="O2" s="22" t="s">
        <v>29</v>
      </c>
      <c r="P2" s="22" t="s">
        <v>30</v>
      </c>
      <c r="Q2" s="22" t="s">
        <v>31</v>
      </c>
      <c r="R2" s="22"/>
      <c r="S2" s="22" t="s">
        <v>32</v>
      </c>
      <c r="T2" s="22" t="s">
        <v>33</v>
      </c>
      <c r="U2" s="22"/>
      <c r="V2" s="38">
        <v>2022</v>
      </c>
      <c r="W2" s="38">
        <v>2023</v>
      </c>
      <c r="X2" s="38">
        <v>2024</v>
      </c>
      <c r="Y2" s="38" t="s">
        <v>34</v>
      </c>
      <c r="Z2" s="38" t="s">
        <v>25</v>
      </c>
      <c r="AA2" s="38" t="s">
        <v>26</v>
      </c>
      <c r="AB2" s="22"/>
      <c r="AC2" s="22" t="s">
        <v>32</v>
      </c>
      <c r="AD2" s="22" t="s">
        <v>33</v>
      </c>
      <c r="AE2" s="22" t="s">
        <v>36</v>
      </c>
      <c r="AG2" s="2">
        <v>46023</v>
      </c>
      <c r="AH2" s="2">
        <v>46054</v>
      </c>
      <c r="AI2" s="2">
        <v>46082</v>
      </c>
      <c r="AJ2" s="2">
        <v>46113</v>
      </c>
      <c r="AK2" s="2">
        <v>46143</v>
      </c>
      <c r="AL2" s="2">
        <v>46174</v>
      </c>
      <c r="AM2" s="2">
        <v>46204</v>
      </c>
      <c r="AN2" s="2">
        <v>46235</v>
      </c>
      <c r="AO2" s="2">
        <v>46266</v>
      </c>
      <c r="AP2" s="2">
        <v>46296</v>
      </c>
      <c r="AQ2" s="2">
        <v>46327</v>
      </c>
      <c r="AR2" s="2">
        <v>46357</v>
      </c>
    </row>
    <row r="3" spans="2:44">
      <c r="B3">
        <v>51175</v>
      </c>
      <c r="C3" t="s">
        <v>66</v>
      </c>
      <c r="D3" t="str">
        <f>VLOOKUP($B3, 'Performance Data'!$B:$K, 3, 0)</f>
        <v>UK</v>
      </c>
      <c r="E3" t="str">
        <f>VLOOKUP($B3, 'Performance Data'!$B:$K, 5, 0)</f>
        <v>eTailers</v>
      </c>
      <c r="F3" t="str">
        <f>VLOOKUP($B3, 'Performance Data'!$B:$K, 6, 0)</f>
        <v>eTailers</v>
      </c>
      <c r="G3" t="str">
        <f>VLOOKUP($B3, 'Performance Data'!$B:$K, 9, 0)</f>
        <v>Pre-2022</v>
      </c>
      <c r="H3" s="40"/>
      <c r="I3" s="39" t="str">
        <f>VLOOKUP($B3, 'Performance Data'!$B:$K, 7, 0)</f>
        <v>BC</v>
      </c>
      <c r="J3" s="4">
        <f>P3</f>
        <v>0</v>
      </c>
      <c r="K3" s="40"/>
      <c r="M3" s="40"/>
      <c r="O3" s="10">
        <f>SUMIF('Performance Data'!$B:$B, $B3,'Performance Data'!N:N)</f>
        <v>-6663.15</v>
      </c>
      <c r="P3" s="10">
        <f>SUMIF('Performance Data'!$B:$B, $B3,'Performance Data'!O:O)</f>
        <v>0</v>
      </c>
      <c r="Q3" s="10">
        <f>SUMIF('Performance Data'!$B:$B, $B3,'Performance Data'!P:P)</f>
        <v>5000</v>
      </c>
      <c r="S3" s="41">
        <f t="shared" ref="S3:S5" si="0">$P3/O3-1</f>
        <v>-1</v>
      </c>
      <c r="T3" s="41">
        <f t="shared" ref="T3:T5" si="1">P3/Q3-1</f>
        <v>-1</v>
      </c>
      <c r="V3" s="10">
        <f>SUMIF('Performance Data'!$B:$B, $B3,'Performance Data'!AC:AC)</f>
        <v>0</v>
      </c>
      <c r="W3" s="10">
        <f>SUMIF('Performance Data'!$B:$B, $B3,'Performance Data'!AD:AD)</f>
        <v>45672.350000000006</v>
      </c>
      <c r="X3" s="10">
        <f>SUMIF('Performance Data'!$B:$B, $B3,'Performance Data'!AE:AE)</f>
        <v>-6663.15</v>
      </c>
      <c r="Y3" s="10">
        <f>SUMIF('Performance Data'!$B:$B, $B3,'Performance Data'!AG:AG)</f>
        <v>5000</v>
      </c>
      <c r="Z3" s="10">
        <f t="shared" ref="Z3:AA4" si="2">J3</f>
        <v>0</v>
      </c>
      <c r="AA3" s="10">
        <f t="shared" si="2"/>
        <v>0</v>
      </c>
      <c r="AC3" s="41">
        <f t="shared" ref="AC3:AC5" si="3">Z3/X3-1</f>
        <v>-1</v>
      </c>
      <c r="AD3" s="41">
        <f t="shared" ref="AD3:AE5" si="4">Z3/Y3-1</f>
        <v>-1</v>
      </c>
      <c r="AE3" s="41" t="e">
        <f t="shared" si="4"/>
        <v>#DIV/0!</v>
      </c>
      <c r="AG3" s="6">
        <f>$AA3*1/12</f>
        <v>0</v>
      </c>
      <c r="AH3" s="6">
        <f t="shared" ref="AH3:AR4" si="5">$AA3*1/12</f>
        <v>0</v>
      </c>
      <c r="AI3" s="6">
        <f t="shared" si="5"/>
        <v>0</v>
      </c>
      <c r="AJ3" s="6">
        <f t="shared" si="5"/>
        <v>0</v>
      </c>
      <c r="AK3" s="6">
        <f t="shared" si="5"/>
        <v>0</v>
      </c>
      <c r="AL3" s="6">
        <f t="shared" si="5"/>
        <v>0</v>
      </c>
      <c r="AM3" s="6">
        <f t="shared" si="5"/>
        <v>0</v>
      </c>
      <c r="AN3" s="6">
        <f t="shared" si="5"/>
        <v>0</v>
      </c>
      <c r="AO3" s="6">
        <f t="shared" si="5"/>
        <v>0</v>
      </c>
      <c r="AP3" s="6">
        <f t="shared" si="5"/>
        <v>0</v>
      </c>
      <c r="AQ3" s="6">
        <f t="shared" si="5"/>
        <v>0</v>
      </c>
      <c r="AR3" s="6">
        <f t="shared" si="5"/>
        <v>0</v>
      </c>
    </row>
    <row r="4" spans="2:44">
      <c r="B4">
        <v>51176</v>
      </c>
      <c r="C4" t="s">
        <v>67</v>
      </c>
      <c r="D4" t="str">
        <f>VLOOKUP($B4, 'Performance Data'!$B:$K, 3, 0)</f>
        <v>UK</v>
      </c>
      <c r="E4" t="str">
        <f>VLOOKUP($B4, 'Performance Data'!$B:$K, 5, 0)</f>
        <v>eTailers</v>
      </c>
      <c r="F4" t="str">
        <f>VLOOKUP($B4, 'Performance Data'!$B:$K, 6, 0)</f>
        <v>eTailers</v>
      </c>
      <c r="G4" t="str">
        <f>VLOOKUP($B4, 'Performance Data'!$B:$K, 9, 0)</f>
        <v>Pre-2022</v>
      </c>
      <c r="H4" s="40"/>
      <c r="I4" s="39" t="str">
        <f>VLOOKUP($B4, 'Performance Data'!$B:$K, 7, 0)</f>
        <v>BC</v>
      </c>
      <c r="J4" s="4">
        <f>P4</f>
        <v>28083.11</v>
      </c>
      <c r="K4" s="40">
        <v>30000</v>
      </c>
      <c r="M4" s="40"/>
      <c r="O4" s="10">
        <f>SUMIF('Performance Data'!$B:$B, $B4,'Performance Data'!N:N)</f>
        <v>15312.810000000001</v>
      </c>
      <c r="P4" s="10">
        <f>SUMIF('Performance Data'!$B:$B, $B4,'Performance Data'!O:O)</f>
        <v>28083.11</v>
      </c>
      <c r="Q4" s="10">
        <f>SUMIF('Performance Data'!$B:$B, $B4,'Performance Data'!P:P)</f>
        <v>10000</v>
      </c>
      <c r="S4" s="41">
        <f t="shared" si="0"/>
        <v>0.83396189203679794</v>
      </c>
      <c r="T4" s="41">
        <f t="shared" si="1"/>
        <v>1.8083110000000002</v>
      </c>
      <c r="V4" s="10">
        <f>SUMIF('Performance Data'!$B:$B, $B4,'Performance Data'!AC:AC)</f>
        <v>0</v>
      </c>
      <c r="W4" s="10">
        <f>SUMIF('Performance Data'!$B:$B, $B4,'Performance Data'!AD:AD)</f>
        <v>31366.93</v>
      </c>
      <c r="X4" s="10">
        <f>SUMIF('Performance Data'!$B:$B, $B4,'Performance Data'!AE:AE)</f>
        <v>15312.810000000001</v>
      </c>
      <c r="Y4" s="10">
        <f>SUMIF('Performance Data'!$B:$B, $B4,'Performance Data'!AG:AG)</f>
        <v>10000</v>
      </c>
      <c r="Z4" s="10">
        <f t="shared" si="2"/>
        <v>28083.11</v>
      </c>
      <c r="AA4" s="10">
        <f t="shared" si="2"/>
        <v>30000</v>
      </c>
      <c r="AC4" s="41">
        <f t="shared" si="3"/>
        <v>0.83396189203679794</v>
      </c>
      <c r="AD4" s="41">
        <f t="shared" si="4"/>
        <v>1.8083110000000002</v>
      </c>
      <c r="AE4" s="41">
        <f t="shared" si="4"/>
        <v>6.8257753503796481E-2</v>
      </c>
      <c r="AG4" s="6">
        <f>$AA4*1/12</f>
        <v>2500</v>
      </c>
      <c r="AH4" s="6">
        <f t="shared" si="5"/>
        <v>2500</v>
      </c>
      <c r="AI4" s="6">
        <f t="shared" si="5"/>
        <v>2500</v>
      </c>
      <c r="AJ4" s="6">
        <f t="shared" si="5"/>
        <v>2500</v>
      </c>
      <c r="AK4" s="6">
        <f t="shared" si="5"/>
        <v>2500</v>
      </c>
      <c r="AL4" s="6">
        <f t="shared" si="5"/>
        <v>2500</v>
      </c>
      <c r="AM4" s="6">
        <f t="shared" si="5"/>
        <v>2500</v>
      </c>
      <c r="AN4" s="6">
        <f t="shared" si="5"/>
        <v>2500</v>
      </c>
      <c r="AO4" s="6">
        <f t="shared" si="5"/>
        <v>2500</v>
      </c>
      <c r="AP4" s="6">
        <f t="shared" si="5"/>
        <v>2500</v>
      </c>
      <c r="AQ4" s="6">
        <f t="shared" si="5"/>
        <v>2500</v>
      </c>
      <c r="AR4" s="6">
        <f t="shared" si="5"/>
        <v>2500</v>
      </c>
    </row>
    <row r="5" spans="2:44">
      <c r="B5" s="42" t="s">
        <v>47</v>
      </c>
      <c r="C5" s="42"/>
      <c r="D5" s="42"/>
      <c r="E5" s="42"/>
      <c r="F5" s="42"/>
      <c r="G5" s="43"/>
      <c r="H5" s="16">
        <f>COUNTIF(H3:H4, "Yes")</f>
        <v>0</v>
      </c>
      <c r="I5" s="43"/>
      <c r="J5" s="45">
        <f>SUM(J3:J4)</f>
        <v>28083.11</v>
      </c>
      <c r="K5" s="16">
        <f>SUM(K3:K4)</f>
        <v>30000</v>
      </c>
      <c r="L5" s="42"/>
      <c r="M5" s="42"/>
      <c r="N5" s="42"/>
      <c r="O5" s="16">
        <f>SUM(O3:O4)</f>
        <v>8649.6600000000017</v>
      </c>
      <c r="P5" s="16">
        <f>SUM(P3:P4)</f>
        <v>28083.11</v>
      </c>
      <c r="Q5" s="16">
        <f>SUM(Q3:Q4)</f>
        <v>15000</v>
      </c>
      <c r="R5" s="42"/>
      <c r="S5" s="44">
        <f t="shared" si="0"/>
        <v>2.2467299292688954</v>
      </c>
      <c r="T5" s="44">
        <f t="shared" si="1"/>
        <v>0.87220733333333333</v>
      </c>
      <c r="U5" s="42"/>
      <c r="V5" s="16">
        <f>SUMIF('Performance Data'!$B:$B, $B5,'Performance Data'!AC:AC)</f>
        <v>0</v>
      </c>
      <c r="W5" s="16">
        <f>SUM(W3:W4)</f>
        <v>77039.28</v>
      </c>
      <c r="X5" s="16">
        <f>SUM(X3:X4)</f>
        <v>8649.6600000000017</v>
      </c>
      <c r="Y5" s="16">
        <f>SUM(Y3:Y4)</f>
        <v>15000</v>
      </c>
      <c r="Z5" s="16">
        <f>SUM(Z3:Z4)</f>
        <v>28083.11</v>
      </c>
      <c r="AA5" s="16">
        <f>SUM(AA3:AA4)</f>
        <v>30000</v>
      </c>
      <c r="AB5" s="42"/>
      <c r="AC5" s="44">
        <f t="shared" si="3"/>
        <v>2.2467299292688954</v>
      </c>
      <c r="AD5" s="44">
        <f t="shared" si="4"/>
        <v>0.87220733333333333</v>
      </c>
      <c r="AE5" s="44">
        <f t="shared" si="4"/>
        <v>6.8257753503796481E-2</v>
      </c>
      <c r="AG5" s="16">
        <f t="shared" ref="AG5:AR5" si="6">SUM(AG3:AG4)</f>
        <v>2500</v>
      </c>
      <c r="AH5" s="16">
        <f t="shared" si="6"/>
        <v>2500</v>
      </c>
      <c r="AI5" s="16">
        <f t="shared" si="6"/>
        <v>2500</v>
      </c>
      <c r="AJ5" s="16">
        <f t="shared" si="6"/>
        <v>2500</v>
      </c>
      <c r="AK5" s="16">
        <f t="shared" si="6"/>
        <v>2500</v>
      </c>
      <c r="AL5" s="16">
        <f t="shared" si="6"/>
        <v>2500</v>
      </c>
      <c r="AM5" s="16">
        <f t="shared" si="6"/>
        <v>2500</v>
      </c>
      <c r="AN5" s="16">
        <f t="shared" si="6"/>
        <v>2500</v>
      </c>
      <c r="AO5" s="16">
        <f t="shared" si="6"/>
        <v>2500</v>
      </c>
      <c r="AP5" s="16">
        <f t="shared" si="6"/>
        <v>2500</v>
      </c>
      <c r="AQ5" s="16">
        <f t="shared" si="6"/>
        <v>2500</v>
      </c>
      <c r="AR5" s="16">
        <f t="shared" si="6"/>
        <v>2500</v>
      </c>
    </row>
    <row r="6" spans="2:44">
      <c r="G6" s="39"/>
      <c r="I6" s="39"/>
      <c r="O6" s="10"/>
      <c r="P6" s="10"/>
      <c r="Q6" s="10"/>
      <c r="S6" s="41"/>
      <c r="T6" s="41"/>
      <c r="V6" s="10"/>
      <c r="W6" s="10"/>
      <c r="X6" s="10"/>
      <c r="Y6" s="10"/>
      <c r="Z6" s="10"/>
      <c r="AA6" s="10"/>
      <c r="AC6" s="41"/>
      <c r="AD6" s="41"/>
      <c r="AE6" s="41"/>
    </row>
    <row r="9" spans="2:44">
      <c r="B9" t="s">
        <v>56</v>
      </c>
      <c r="C9" t="s">
        <v>57</v>
      </c>
      <c r="D9" t="s">
        <v>58</v>
      </c>
      <c r="E9" t="s">
        <v>68</v>
      </c>
      <c r="G9" s="47">
        <v>2025</v>
      </c>
      <c r="H9" s="48">
        <v>0</v>
      </c>
      <c r="I9" t="s">
        <v>56</v>
      </c>
      <c r="J9" s="49">
        <v>0</v>
      </c>
      <c r="K9" s="48">
        <v>0</v>
      </c>
      <c r="O9" s="10">
        <v>0</v>
      </c>
      <c r="P9" s="10">
        <v>0</v>
      </c>
      <c r="Q9" s="10">
        <v>0</v>
      </c>
      <c r="S9" s="41" t="e">
        <f>$P9/O9-1</f>
        <v>#DIV/0!</v>
      </c>
      <c r="T9" s="41" t="e">
        <f>P9/Q9-1</f>
        <v>#DIV/0!</v>
      </c>
      <c r="V9" s="10">
        <v>0</v>
      </c>
      <c r="W9" s="10">
        <v>0</v>
      </c>
      <c r="X9" s="10">
        <v>0</v>
      </c>
      <c r="Y9" s="10">
        <v>0</v>
      </c>
      <c r="Z9" s="10">
        <f>J9</f>
        <v>0</v>
      </c>
      <c r="AA9" s="10">
        <f>K9</f>
        <v>0</v>
      </c>
      <c r="AC9" s="41" t="e">
        <f>Z9/X9-1</f>
        <v>#DIV/0!</v>
      </c>
      <c r="AD9" s="41" t="e">
        <f>Z9/Y9-1</f>
        <v>#DIV/0!</v>
      </c>
      <c r="AE9" s="41" t="e">
        <f>AA9/Z9-1</f>
        <v>#DIV/0!</v>
      </c>
    </row>
    <row r="11" spans="2:44">
      <c r="B11" s="42" t="s">
        <v>59</v>
      </c>
      <c r="C11" s="42"/>
      <c r="D11" s="42"/>
      <c r="E11" s="42"/>
      <c r="F11" s="42"/>
      <c r="G11" s="43"/>
      <c r="H11" s="45">
        <f>COUNTIF(H8, "Yes")+H9</f>
        <v>0</v>
      </c>
      <c r="I11" s="43"/>
      <c r="J11" s="45">
        <f>SUM(J9:J9)</f>
        <v>0</v>
      </c>
      <c r="K11" s="16">
        <f>SUM(K9:K9)</f>
        <v>0</v>
      </c>
      <c r="L11" s="42"/>
      <c r="M11" s="42"/>
      <c r="N11" s="42"/>
      <c r="O11" s="16">
        <f>SUM(O9:O9)</f>
        <v>0</v>
      </c>
      <c r="P11" s="16">
        <f>SUM(P9:P9)</f>
        <v>0</v>
      </c>
      <c r="Q11" s="16">
        <f>SUM(Q9:Q9)</f>
        <v>0</v>
      </c>
      <c r="R11" s="42"/>
      <c r="S11" s="44" t="e">
        <f>$P11/O11-1</f>
        <v>#DIV/0!</v>
      </c>
      <c r="T11" s="44" t="e">
        <f>P11/Q11-1</f>
        <v>#DIV/0!</v>
      </c>
      <c r="U11" s="42"/>
      <c r="V11" s="16">
        <f t="shared" ref="V11:AA11" si="7">SUM(V9:V9)</f>
        <v>0</v>
      </c>
      <c r="W11" s="16">
        <f t="shared" si="7"/>
        <v>0</v>
      </c>
      <c r="X11" s="16">
        <f t="shared" si="7"/>
        <v>0</v>
      </c>
      <c r="Y11" s="16">
        <f t="shared" si="7"/>
        <v>0</v>
      </c>
      <c r="Z11" s="16">
        <f t="shared" si="7"/>
        <v>0</v>
      </c>
      <c r="AA11" s="16">
        <f t="shared" si="7"/>
        <v>0</v>
      </c>
      <c r="AB11" s="42"/>
      <c r="AC11" s="44" t="e">
        <f>Z11/X11-1</f>
        <v>#DIV/0!</v>
      </c>
      <c r="AD11" s="44" t="e">
        <f>Z11/Y11-1</f>
        <v>#DIV/0!</v>
      </c>
      <c r="AE11" s="44" t="e">
        <f>AA11/Z11-1</f>
        <v>#DIV/0!</v>
      </c>
    </row>
    <row r="15" spans="2:44">
      <c r="B15" t="s">
        <v>60</v>
      </c>
      <c r="C15" t="s">
        <v>61</v>
      </c>
      <c r="D15" t="s">
        <v>58</v>
      </c>
      <c r="E15" t="s">
        <v>68</v>
      </c>
      <c r="G15" s="47">
        <v>2026</v>
      </c>
      <c r="H15" s="48">
        <v>0</v>
      </c>
      <c r="I15" t="s">
        <v>60</v>
      </c>
      <c r="K15" s="46">
        <v>0</v>
      </c>
      <c r="O15" s="10">
        <v>0</v>
      </c>
      <c r="P15" s="10">
        <v>0</v>
      </c>
      <c r="Q15" s="10">
        <v>0</v>
      </c>
      <c r="S15" s="41" t="e">
        <f>$P15/O15-1</f>
        <v>#DIV/0!</v>
      </c>
      <c r="T15" s="41" t="e">
        <f>P15/Q15-1</f>
        <v>#DIV/0!</v>
      </c>
      <c r="V15" s="10">
        <v>0</v>
      </c>
      <c r="W15" s="10">
        <v>0</v>
      </c>
      <c r="X15" s="10">
        <v>0</v>
      </c>
      <c r="Y15" s="10">
        <v>0</v>
      </c>
      <c r="Z15" s="10">
        <f>J15</f>
        <v>0</v>
      </c>
      <c r="AA15" s="10">
        <f>K15</f>
        <v>0</v>
      </c>
      <c r="AC15" s="41" t="e">
        <f>Z15/X15-1</f>
        <v>#DIV/0!</v>
      </c>
      <c r="AD15" s="41" t="e">
        <f>Z15/Y15-1</f>
        <v>#DIV/0!</v>
      </c>
      <c r="AE15" s="41" t="e">
        <f>AA15/Z15-1</f>
        <v>#DIV/0!</v>
      </c>
    </row>
    <row r="17" spans="2:31">
      <c r="B17" s="42" t="s">
        <v>62</v>
      </c>
      <c r="C17" s="42"/>
      <c r="D17" s="42"/>
      <c r="E17" s="42"/>
      <c r="F17" s="42"/>
      <c r="G17" s="43"/>
      <c r="H17" s="45">
        <f>COUNTIF(H14:H14, "Yes")+H15</f>
        <v>0</v>
      </c>
      <c r="I17" s="43"/>
      <c r="J17" s="45">
        <f t="shared" ref="J17:K17" si="8">SUM(J14:J15)</f>
        <v>0</v>
      </c>
      <c r="K17" s="16">
        <f t="shared" si="8"/>
        <v>0</v>
      </c>
      <c r="L17" s="42"/>
      <c r="M17" s="42"/>
      <c r="N17" s="42"/>
      <c r="O17" s="16">
        <f t="shared" ref="O17:Q17" si="9">SUM(O14:O15)</f>
        <v>0</v>
      </c>
      <c r="P17" s="16">
        <f t="shared" si="9"/>
        <v>0</v>
      </c>
      <c r="Q17" s="16">
        <f t="shared" si="9"/>
        <v>0</v>
      </c>
      <c r="R17" s="42"/>
      <c r="S17" s="44" t="e">
        <f>$P17/O17-1</f>
        <v>#DIV/0!</v>
      </c>
      <c r="T17" s="44" t="e">
        <f>P17/Q17-1</f>
        <v>#DIV/0!</v>
      </c>
      <c r="U17" s="42"/>
      <c r="V17" s="16">
        <f>SUM(V14:V15)</f>
        <v>0</v>
      </c>
      <c r="W17" s="16">
        <f t="shared" ref="W17:AA17" si="10">SUM(W14:W15)</f>
        <v>0</v>
      </c>
      <c r="X17" s="16">
        <f t="shared" si="10"/>
        <v>0</v>
      </c>
      <c r="Y17" s="16">
        <f t="shared" si="10"/>
        <v>0</v>
      </c>
      <c r="Z17" s="16">
        <f t="shared" si="10"/>
        <v>0</v>
      </c>
      <c r="AA17" s="16">
        <f t="shared" si="10"/>
        <v>0</v>
      </c>
      <c r="AB17" s="42"/>
      <c r="AC17" s="44" t="e">
        <f>Z17/X17-1</f>
        <v>#DIV/0!</v>
      </c>
      <c r="AD17" s="44" t="e">
        <f>Z17/Y17-1</f>
        <v>#DIV/0!</v>
      </c>
      <c r="AE17" s="44" t="e">
        <f>AA17/Z17-1</f>
        <v>#DIV/0!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5923DD3-9853-4BDF-B87B-A204A678A09C}">
          <x14:formula1>
            <xm:f>List!$B:$B</xm:f>
          </x14:formula1>
          <xm:sqref>H3:H4</xm:sqref>
        </x14:dataValidation>
        <x14:dataValidation type="list" allowBlank="1" showInputMessage="1" showErrorMessage="1" xr:uid="{B2B8E8C5-0E06-4B09-9EFB-28C4472CA66F}">
          <x14:formula1>
            <xm:f>List!$D:$D</xm:f>
          </x14:formula1>
          <xm:sqref>M3:M4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8288C-6A1B-416B-A5CF-66E8142CCA97}">
  <dimension ref="B1:AR28"/>
  <sheetViews>
    <sheetView showGridLines="0" workbookViewId="0">
      <selection activeCell="H17" sqref="H17:H20"/>
    </sheetView>
  </sheetViews>
  <sheetFormatPr defaultRowHeight="15"/>
  <cols>
    <col min="2" max="2" width="15" customWidth="1"/>
    <col min="3" max="3" width="27.85546875" bestFit="1" customWidth="1"/>
    <col min="4" max="6" width="15" customWidth="1"/>
    <col min="7" max="7" width="16.85546875" bestFit="1" customWidth="1"/>
    <col min="8" max="10" width="15" customWidth="1"/>
    <col min="11" max="11" width="14" bestFit="1" customWidth="1"/>
    <col min="12" max="16" width="11.5703125" customWidth="1"/>
    <col min="17" max="17" width="2.7109375" customWidth="1"/>
    <col min="18" max="22" width="11.5703125" customWidth="1"/>
    <col min="23" max="23" width="2.7109375" customWidth="1"/>
    <col min="24" max="27" width="11.5703125" customWidth="1"/>
    <col min="28" max="28" width="2.7109375" customWidth="1"/>
    <col min="29" max="33" width="11.5703125" customWidth="1"/>
    <col min="34" max="34" width="2.7109375" customWidth="1"/>
    <col min="35" max="39" width="11.5703125" customWidth="1"/>
    <col min="40" max="40" width="2.7109375" customWidth="1"/>
    <col min="41" max="44" width="11.5703125" customWidth="1"/>
  </cols>
  <sheetData>
    <row r="1" spans="2:44">
      <c r="B1" s="9"/>
      <c r="C1" s="9"/>
      <c r="D1" s="9"/>
      <c r="E1" s="9"/>
      <c r="F1" s="9"/>
      <c r="G1" s="9"/>
      <c r="L1" t="s">
        <v>15</v>
      </c>
      <c r="M1" t="s">
        <v>15</v>
      </c>
      <c r="N1" t="s">
        <v>15</v>
      </c>
      <c r="O1" t="s">
        <v>15</v>
      </c>
      <c r="P1" t="s">
        <v>15</v>
      </c>
      <c r="R1" t="s">
        <v>15</v>
      </c>
      <c r="S1" t="s">
        <v>15</v>
      </c>
      <c r="T1" t="s">
        <v>15</v>
      </c>
      <c r="U1" t="s">
        <v>15</v>
      </c>
      <c r="V1" t="s">
        <v>15</v>
      </c>
      <c r="X1" t="s">
        <v>15</v>
      </c>
      <c r="Y1" t="s">
        <v>15</v>
      </c>
      <c r="Z1" t="s">
        <v>15</v>
      </c>
      <c r="AA1" t="s">
        <v>15</v>
      </c>
      <c r="AC1" t="s">
        <v>16</v>
      </c>
      <c r="AD1" t="s">
        <v>16</v>
      </c>
      <c r="AE1" t="s">
        <v>16</v>
      </c>
      <c r="AF1" t="s">
        <v>16</v>
      </c>
      <c r="AG1" t="s">
        <v>16</v>
      </c>
      <c r="AI1" t="s">
        <v>16</v>
      </c>
      <c r="AJ1" t="s">
        <v>16</v>
      </c>
      <c r="AK1" t="s">
        <v>16</v>
      </c>
      <c r="AL1" t="s">
        <v>16</v>
      </c>
      <c r="AM1" t="s">
        <v>16</v>
      </c>
      <c r="AO1" t="s">
        <v>16</v>
      </c>
      <c r="AP1" t="s">
        <v>16</v>
      </c>
      <c r="AQ1" t="s">
        <v>16</v>
      </c>
      <c r="AR1" t="s">
        <v>16</v>
      </c>
    </row>
    <row r="2" spans="2:44" s="33" customFormat="1" ht="30">
      <c r="B2" s="33" t="s">
        <v>17</v>
      </c>
      <c r="C2" s="33" t="s">
        <v>18</v>
      </c>
      <c r="D2" s="22" t="s">
        <v>19</v>
      </c>
      <c r="E2" s="22" t="s">
        <v>20</v>
      </c>
      <c r="F2" s="22" t="s">
        <v>21</v>
      </c>
      <c r="G2" s="22" t="s">
        <v>69</v>
      </c>
      <c r="H2" s="22" t="s">
        <v>70</v>
      </c>
      <c r="I2" s="22" t="s">
        <v>71</v>
      </c>
      <c r="J2" s="22" t="s">
        <v>22</v>
      </c>
      <c r="K2" s="22" t="s">
        <v>72</v>
      </c>
      <c r="L2" s="22" t="s">
        <v>73</v>
      </c>
      <c r="M2" s="22" t="s">
        <v>74</v>
      </c>
      <c r="N2" s="22" t="s">
        <v>29</v>
      </c>
      <c r="O2" s="22" t="s">
        <v>30</v>
      </c>
      <c r="P2" s="22" t="s">
        <v>31</v>
      </c>
      <c r="Q2" s="22"/>
      <c r="R2" s="22" t="s">
        <v>32</v>
      </c>
      <c r="S2" s="22" t="s">
        <v>75</v>
      </c>
      <c r="T2" s="22" t="s">
        <v>76</v>
      </c>
      <c r="U2" s="22" t="s">
        <v>33</v>
      </c>
      <c r="V2" s="22" t="s">
        <v>77</v>
      </c>
      <c r="W2" s="22"/>
      <c r="X2" s="22" t="s">
        <v>78</v>
      </c>
      <c r="Y2" s="22" t="s">
        <v>79</v>
      </c>
      <c r="Z2" s="22" t="s">
        <v>80</v>
      </c>
      <c r="AA2" s="22" t="s">
        <v>81</v>
      </c>
      <c r="AB2" s="22"/>
      <c r="AC2" s="22">
        <v>2022</v>
      </c>
      <c r="AD2" s="22">
        <v>2023</v>
      </c>
      <c r="AE2" s="22">
        <v>2024</v>
      </c>
      <c r="AF2" s="22" t="s">
        <v>25</v>
      </c>
      <c r="AG2" s="22" t="s">
        <v>34</v>
      </c>
      <c r="AH2" s="22"/>
      <c r="AI2" s="22" t="s">
        <v>32</v>
      </c>
      <c r="AJ2" s="22" t="s">
        <v>75</v>
      </c>
      <c r="AK2" s="22" t="s">
        <v>76</v>
      </c>
      <c r="AL2" s="22" t="s">
        <v>33</v>
      </c>
      <c r="AM2" s="22" t="s">
        <v>77</v>
      </c>
      <c r="AN2" s="22"/>
      <c r="AO2" s="22" t="s">
        <v>78</v>
      </c>
      <c r="AP2" s="22" t="s">
        <v>79</v>
      </c>
      <c r="AQ2" s="22" t="s">
        <v>80</v>
      </c>
      <c r="AR2" s="22" t="s">
        <v>81</v>
      </c>
    </row>
    <row r="3" spans="2:44">
      <c r="B3">
        <v>51184</v>
      </c>
      <c r="C3" t="s">
        <v>37</v>
      </c>
      <c r="D3" s="9" t="s">
        <v>58</v>
      </c>
      <c r="E3" s="9" t="s">
        <v>58</v>
      </c>
      <c r="F3" s="9" t="str">
        <f>VLOOKUP($B3, '2025'!$B:$E, 3, 0)</f>
        <v>Spa</v>
      </c>
      <c r="G3" s="9" t="str">
        <f>VLOOKUP($B3, '2025'!$B:$E, 4, 0)</f>
        <v>Spas / Hotels</v>
      </c>
      <c r="H3" t="s">
        <v>82</v>
      </c>
      <c r="I3" t="s">
        <v>83</v>
      </c>
      <c r="J3">
        <v>2023</v>
      </c>
      <c r="K3" s="36">
        <v>45261</v>
      </c>
      <c r="L3" s="10">
        <f>SUMIF('2022'!$B:$B, $B3,'2022'!$AF:$AF)</f>
        <v>0</v>
      </c>
      <c r="M3" s="10">
        <f>SUMIF('2023'!$B:$B, $B3,'2023'!$AF:$AF)</f>
        <v>6655.7</v>
      </c>
      <c r="N3" s="10">
        <f>SUMIF('2024'!$B:$B, $B3,'2024'!$AF:$AF)</f>
        <v>26665.909999999996</v>
      </c>
      <c r="O3" s="10">
        <f>SUMIF('2025'!$B:$B, $B3,'2025'!$AF:$AF)</f>
        <v>19779.420000000002</v>
      </c>
      <c r="P3" s="10">
        <f>SUMIF('2025B'!$B:$B, $B3,'2025B'!$AF:$AF)</f>
        <v>20000</v>
      </c>
      <c r="Q3" s="35"/>
      <c r="R3" s="35">
        <f>IFERROR($O3/N3-1, "N/A")</f>
        <v>-0.25825070286369356</v>
      </c>
      <c r="S3" s="35">
        <f>IFERROR($O3/M3-1, "N/A")</f>
        <v>1.971801613654462</v>
      </c>
      <c r="T3" s="35" t="str">
        <f>IFERROR($O3/L3-1, "N/A")</f>
        <v>N/A</v>
      </c>
      <c r="U3" s="35">
        <f>IFERROR($O3/P3-1, "N/A")</f>
        <v>-1.1028999999999956E-2</v>
      </c>
      <c r="V3" s="35" t="str">
        <f>IFERROR(_xlfn.RRI(4,L3,O3), "N/A")</f>
        <v>N/A</v>
      </c>
      <c r="W3" s="35"/>
      <c r="X3" s="4">
        <f>$O3-N3</f>
        <v>-6886.4899999999943</v>
      </c>
      <c r="Y3" s="4">
        <f>$O3-M3</f>
        <v>13123.720000000001</v>
      </c>
      <c r="Z3" s="4">
        <f>$O3-L3</f>
        <v>19779.420000000002</v>
      </c>
      <c r="AA3" s="4">
        <f>$O3-P3</f>
        <v>-220.57999999999811</v>
      </c>
      <c r="AB3" s="35"/>
      <c r="AC3" s="10">
        <f>SUMIF('2022'!$B:$B, $B3,'2022'!$AF:$AF)</f>
        <v>0</v>
      </c>
      <c r="AD3" s="10">
        <f>SUMIF('2023'!$B:$B, $B3,'2023'!$AF:$AF)</f>
        <v>6655.7</v>
      </c>
      <c r="AE3" s="10">
        <f>SUMIF('2024'!$B:$B, $B3,'2024'!$AF:$AF)</f>
        <v>26665.909999999996</v>
      </c>
      <c r="AF3" s="10">
        <f>O3</f>
        <v>19779.420000000002</v>
      </c>
      <c r="AG3" s="10">
        <f>SUMIF('2025B'!$B:$B, $B3,'2025B'!$AF:$AF)</f>
        <v>20000</v>
      </c>
      <c r="AH3" s="35"/>
      <c r="AI3" s="35">
        <f t="shared" ref="AI3" si="0">IFERROR($AF3/AE3-1, "N/A")</f>
        <v>-0.25825070286369356</v>
      </c>
      <c r="AJ3" s="35">
        <f t="shared" ref="AJ3" si="1">IFERROR($AF3/AD3-1, "N/A")</f>
        <v>1.971801613654462</v>
      </c>
      <c r="AK3" s="35" t="str">
        <f t="shared" ref="AK3" si="2">IFERROR($AF3/AC3-1, "N/A")</f>
        <v>N/A</v>
      </c>
      <c r="AL3" s="35">
        <f t="shared" ref="AL3" si="3">IFERROR($AF3/AG3-1, "N/A")</f>
        <v>-1.1028999999999956E-2</v>
      </c>
      <c r="AM3" s="35" t="str">
        <f>IFERROR(_xlfn.RRI(4,AC3,AF3), "N/A")</f>
        <v>N/A</v>
      </c>
      <c r="AN3" s="35"/>
      <c r="AO3" s="4">
        <f t="shared" ref="AO3" si="4">$AF3-AE3</f>
        <v>-6886.4899999999943</v>
      </c>
      <c r="AP3" s="4">
        <f t="shared" ref="AP3" si="5">$AF3-AD3</f>
        <v>13123.720000000001</v>
      </c>
      <c r="AQ3" s="4">
        <f t="shared" ref="AQ3" si="6">$AF3-AC3</f>
        <v>19779.420000000002</v>
      </c>
      <c r="AR3" s="4">
        <f t="shared" ref="AR3" si="7">$AF3-AG3</f>
        <v>-220.57999999999811</v>
      </c>
    </row>
    <row r="4" spans="2:44">
      <c r="B4">
        <v>51185</v>
      </c>
      <c r="C4" t="s">
        <v>38</v>
      </c>
      <c r="D4" s="9" t="s">
        <v>58</v>
      </c>
      <c r="E4" s="9" t="s">
        <v>58</v>
      </c>
      <c r="F4" s="9" t="str">
        <f>VLOOKUP($B4, '2025'!$B:$E, 3, 0)</f>
        <v>Spa</v>
      </c>
      <c r="G4" s="9" t="str">
        <f>VLOOKUP($B4, '2025'!$B:$E, 4, 0)</f>
        <v>Spas / Hotels</v>
      </c>
      <c r="H4" t="s">
        <v>84</v>
      </c>
      <c r="I4" t="s">
        <v>83</v>
      </c>
      <c r="J4">
        <v>2024</v>
      </c>
      <c r="K4" s="36">
        <v>45352</v>
      </c>
      <c r="L4" s="10">
        <f>SUMIF('2022'!$B:$B, $B4,'2022'!$AF:$AF)</f>
        <v>0</v>
      </c>
      <c r="M4" s="10">
        <f>SUMIF('2023'!$B:$B, $B4,'2023'!$AF:$AF)</f>
        <v>0</v>
      </c>
      <c r="N4" s="10">
        <f>SUMIF('2024'!$B:$B, $B4,'2024'!$AF:$AF)</f>
        <v>4761.01</v>
      </c>
      <c r="O4" s="10">
        <f>SUMIF('2025'!$B:$B, $B4,'2025'!$AF:$AF)</f>
        <v>3448.5899999999992</v>
      </c>
      <c r="P4" s="10">
        <f>SUMIF('2025B'!$B:$B, $B4,'2025B'!$AF:$AF)</f>
        <v>5000</v>
      </c>
      <c r="R4" s="35">
        <f t="shared" ref="R4:R17" si="8">IFERROR($O4/N4-1, "N/A")</f>
        <v>-0.27565999651334505</v>
      </c>
      <c r="S4" s="35" t="str">
        <f t="shared" ref="S4:S17" si="9">IFERROR($O4/M4-1, "N/A")</f>
        <v>N/A</v>
      </c>
      <c r="T4" s="35" t="str">
        <f t="shared" ref="T4:T17" si="10">IFERROR($O4/L4-1, "N/A")</f>
        <v>N/A</v>
      </c>
      <c r="U4" s="35">
        <f t="shared" ref="U4:U17" si="11">IFERROR($O4/P4-1, "N/A")</f>
        <v>-0.31028200000000017</v>
      </c>
      <c r="V4" s="35" t="str">
        <f t="shared" ref="V4:V17" si="12">IFERROR(_xlfn.RRI(4,L4,O4), "N/A")</f>
        <v>N/A</v>
      </c>
      <c r="W4" s="35"/>
      <c r="X4" s="4">
        <f t="shared" ref="X4:X17" si="13">$O4-N4</f>
        <v>-1312.420000000001</v>
      </c>
      <c r="Y4" s="4">
        <f t="shared" ref="Y4:Y17" si="14">$O4-M4</f>
        <v>3448.5899999999992</v>
      </c>
      <c r="Z4" s="4">
        <f t="shared" ref="Z4:Z17" si="15">$O4-L4</f>
        <v>3448.5899999999992</v>
      </c>
      <c r="AA4" s="4">
        <f t="shared" ref="AA4:AA17" si="16">$O4-P4</f>
        <v>-1551.4100000000008</v>
      </c>
      <c r="AC4" s="10">
        <f>SUMIF('2022'!$B:$B, $B4,'2022'!$AF:$AF)</f>
        <v>0</v>
      </c>
      <c r="AD4" s="10">
        <f>SUMIF('2023'!$B:$B, $B4,'2023'!$AF:$AF)</f>
        <v>0</v>
      </c>
      <c r="AE4" s="10">
        <f>SUMIF('2024'!$B:$B, $B4,'2024'!$AF:$AF)</f>
        <v>4761.01</v>
      </c>
      <c r="AF4" s="10">
        <f t="shared" ref="AF4:AF26" si="17">O4</f>
        <v>3448.5899999999992</v>
      </c>
      <c r="AG4" s="10">
        <f>SUMIF('2025B'!$B:$B, $B4,'2025B'!$AF:$AF)</f>
        <v>5000</v>
      </c>
      <c r="AI4" s="35">
        <f t="shared" ref="AI4:AI17" si="18">IFERROR($AF4/AE4-1, "N/A")</f>
        <v>-0.27565999651334505</v>
      </c>
      <c r="AJ4" s="35" t="str">
        <f t="shared" ref="AJ4:AJ17" si="19">IFERROR($AF4/AD4-1, "N/A")</f>
        <v>N/A</v>
      </c>
      <c r="AK4" s="35" t="str">
        <f t="shared" ref="AK4:AK17" si="20">IFERROR($AF4/AC4-1, "N/A")</f>
        <v>N/A</v>
      </c>
      <c r="AL4" s="35">
        <f t="shared" ref="AL4:AL17" si="21">IFERROR($AF4/AG4-1, "N/A")</f>
        <v>-0.31028200000000017</v>
      </c>
      <c r="AM4" s="35" t="str">
        <f t="shared" ref="AM4:AM17" si="22">IFERROR(_xlfn.RRI(4,AC4,AF4), "N/A")</f>
        <v>N/A</v>
      </c>
      <c r="AN4" s="35"/>
      <c r="AO4" s="4">
        <f t="shared" ref="AO4:AO17" si="23">$AF4-AE4</f>
        <v>-1312.420000000001</v>
      </c>
      <c r="AP4" s="4">
        <f t="shared" ref="AP4:AP17" si="24">$AF4-AD4</f>
        <v>3448.5899999999992</v>
      </c>
      <c r="AQ4" s="4">
        <f t="shared" ref="AQ4:AQ17" si="25">$AF4-AC4</f>
        <v>3448.5899999999992</v>
      </c>
      <c r="AR4" s="4">
        <f t="shared" ref="AR4:AR17" si="26">$AF4-AG4</f>
        <v>-1551.4100000000008</v>
      </c>
    </row>
    <row r="5" spans="2:44">
      <c r="B5">
        <v>51186</v>
      </c>
      <c r="C5" t="s">
        <v>39</v>
      </c>
      <c r="D5" s="9" t="s">
        <v>58</v>
      </c>
      <c r="E5" s="9" t="s">
        <v>58</v>
      </c>
      <c r="F5" s="9" t="str">
        <f>VLOOKUP($B5, '2025'!$B:$E, 3, 0)</f>
        <v>Spa</v>
      </c>
      <c r="G5" s="9" t="str">
        <f>VLOOKUP($B5, '2025'!$B:$E, 4, 0)</f>
        <v>Spas / Hotels</v>
      </c>
      <c r="H5" t="s">
        <v>82</v>
      </c>
      <c r="I5" t="s">
        <v>83</v>
      </c>
      <c r="J5">
        <v>2023</v>
      </c>
      <c r="K5" s="36">
        <v>45231</v>
      </c>
      <c r="L5" s="10">
        <f>SUMIF('2022'!$B:$B, $B5,'2022'!$AF:$AF)</f>
        <v>0</v>
      </c>
      <c r="M5" s="10">
        <f>SUMIF('2023'!$B:$B, $B5,'2023'!$AF:$AF)</f>
        <v>2266.7800000000002</v>
      </c>
      <c r="N5" s="10">
        <f>SUMIF('2024'!$B:$B, $B5,'2024'!$AF:$AF)</f>
        <v>8045.51</v>
      </c>
      <c r="O5" s="10">
        <f>SUMIF('2025'!$B:$B, $B5,'2025'!$AF:$AF)</f>
        <v>1162.46</v>
      </c>
      <c r="P5" s="10">
        <f>SUMIF('2025B'!$B:$B, $B5,'2025B'!$AF:$AF)</f>
        <v>10000</v>
      </c>
      <c r="R5" s="35">
        <f t="shared" si="8"/>
        <v>-0.85551444221683892</v>
      </c>
      <c r="S5" s="35">
        <f t="shared" si="9"/>
        <v>-0.4871756412179391</v>
      </c>
      <c r="T5" s="35" t="str">
        <f t="shared" si="10"/>
        <v>N/A</v>
      </c>
      <c r="U5" s="35">
        <f t="shared" si="11"/>
        <v>-0.88375400000000004</v>
      </c>
      <c r="V5" s="35" t="str">
        <f t="shared" si="12"/>
        <v>N/A</v>
      </c>
      <c r="W5" s="35"/>
      <c r="X5" s="4">
        <f t="shared" si="13"/>
        <v>-6883.05</v>
      </c>
      <c r="Y5" s="4">
        <f t="shared" si="14"/>
        <v>-1104.3200000000002</v>
      </c>
      <c r="Z5" s="4">
        <f t="shared" si="15"/>
        <v>1162.46</v>
      </c>
      <c r="AA5" s="4">
        <f t="shared" si="16"/>
        <v>-8837.5400000000009</v>
      </c>
      <c r="AC5" s="10">
        <f>SUMIF('2022'!$B:$B, $B5,'2022'!$AF:$AF)</f>
        <v>0</v>
      </c>
      <c r="AD5" s="10">
        <f>SUMIF('2023'!$B:$B, $B5,'2023'!$AF:$AF)</f>
        <v>2266.7800000000002</v>
      </c>
      <c r="AE5" s="10">
        <f>SUMIF('2024'!$B:$B, $B5,'2024'!$AF:$AF)</f>
        <v>8045.51</v>
      </c>
      <c r="AF5" s="10">
        <f t="shared" si="17"/>
        <v>1162.46</v>
      </c>
      <c r="AG5" s="10">
        <f>SUMIF('2025B'!$B:$B, $B5,'2025B'!$AF:$AF)</f>
        <v>10000</v>
      </c>
      <c r="AI5" s="35">
        <f t="shared" si="18"/>
        <v>-0.85551444221683892</v>
      </c>
      <c r="AJ5" s="35">
        <f t="shared" si="19"/>
        <v>-0.4871756412179391</v>
      </c>
      <c r="AK5" s="35" t="str">
        <f t="shared" si="20"/>
        <v>N/A</v>
      </c>
      <c r="AL5" s="35">
        <f t="shared" si="21"/>
        <v>-0.88375400000000004</v>
      </c>
      <c r="AM5" s="35" t="str">
        <f t="shared" si="22"/>
        <v>N/A</v>
      </c>
      <c r="AN5" s="35"/>
      <c r="AO5" s="4">
        <f t="shared" si="23"/>
        <v>-6883.05</v>
      </c>
      <c r="AP5" s="4">
        <f t="shared" si="24"/>
        <v>-1104.3200000000002</v>
      </c>
      <c r="AQ5" s="4">
        <f t="shared" si="25"/>
        <v>1162.46</v>
      </c>
      <c r="AR5" s="4">
        <f t="shared" si="26"/>
        <v>-8837.5400000000009</v>
      </c>
    </row>
    <row r="6" spans="2:44">
      <c r="B6">
        <v>51187</v>
      </c>
      <c r="C6" t="s">
        <v>40</v>
      </c>
      <c r="D6" s="9" t="s">
        <v>58</v>
      </c>
      <c r="E6" s="9" t="s">
        <v>58</v>
      </c>
      <c r="F6" s="9" t="str">
        <f>VLOOKUP($B6, '2025'!$B:$E, 3, 0)</f>
        <v>Spa</v>
      </c>
      <c r="G6" s="9" t="str">
        <f>VLOOKUP($B6, '2025'!$B:$E, 4, 0)</f>
        <v>Institutes / Clinics</v>
      </c>
      <c r="H6" t="s">
        <v>85</v>
      </c>
      <c r="I6" t="s">
        <v>83</v>
      </c>
      <c r="J6">
        <v>2023</v>
      </c>
      <c r="K6" s="36">
        <v>45261</v>
      </c>
      <c r="L6" s="10">
        <f>SUMIF('2022'!$B:$B, $B6,'2022'!$AF:$AF)</f>
        <v>0</v>
      </c>
      <c r="M6" s="10">
        <f>SUMIF('2023'!$B:$B, $B6,'2023'!$AF:$AF)</f>
        <v>1173.99</v>
      </c>
      <c r="N6" s="10">
        <f>SUMIF('2024'!$B:$B, $B6,'2024'!$AF:$AF)</f>
        <v>2526.58</v>
      </c>
      <c r="O6" s="10">
        <f>SUMIF('2025'!$B:$B, $B6,'2025'!$AF:$AF)</f>
        <v>3504.29</v>
      </c>
      <c r="P6" s="10">
        <f>SUMIF('2025B'!$B:$B, $B6,'2025B'!$AF:$AF)</f>
        <v>2000</v>
      </c>
      <c r="R6" s="35">
        <f t="shared" si="8"/>
        <v>0.3869697377482606</v>
      </c>
      <c r="S6" s="35">
        <f t="shared" si="9"/>
        <v>1.9849402465097659</v>
      </c>
      <c r="T6" s="35" t="str">
        <f t="shared" si="10"/>
        <v>N/A</v>
      </c>
      <c r="U6" s="35">
        <f t="shared" si="11"/>
        <v>0.75214500000000006</v>
      </c>
      <c r="V6" s="35" t="str">
        <f t="shared" si="12"/>
        <v>N/A</v>
      </c>
      <c r="W6" s="35"/>
      <c r="X6" s="4">
        <f t="shared" si="13"/>
        <v>977.71</v>
      </c>
      <c r="Y6" s="4">
        <f t="shared" si="14"/>
        <v>2330.3000000000002</v>
      </c>
      <c r="Z6" s="4">
        <f t="shared" si="15"/>
        <v>3504.29</v>
      </c>
      <c r="AA6" s="4">
        <f t="shared" si="16"/>
        <v>1504.29</v>
      </c>
      <c r="AC6" s="10">
        <f>SUMIF('2022'!$B:$B, $B6,'2022'!$AF:$AF)</f>
        <v>0</v>
      </c>
      <c r="AD6" s="10">
        <f>SUMIF('2023'!$B:$B, $B6,'2023'!$AF:$AF)</f>
        <v>1173.99</v>
      </c>
      <c r="AE6" s="10">
        <f>SUMIF('2024'!$B:$B, $B6,'2024'!$AF:$AF)</f>
        <v>2526.58</v>
      </c>
      <c r="AF6" s="10">
        <f t="shared" si="17"/>
        <v>3504.29</v>
      </c>
      <c r="AG6" s="10">
        <f>SUMIF('2025B'!$B:$B, $B6,'2025B'!$AF:$AF)</f>
        <v>2000</v>
      </c>
      <c r="AI6" s="35">
        <f t="shared" si="18"/>
        <v>0.3869697377482606</v>
      </c>
      <c r="AJ6" s="35">
        <f t="shared" si="19"/>
        <v>1.9849402465097659</v>
      </c>
      <c r="AK6" s="35" t="str">
        <f t="shared" si="20"/>
        <v>N/A</v>
      </c>
      <c r="AL6" s="35">
        <f t="shared" si="21"/>
        <v>0.75214500000000006</v>
      </c>
      <c r="AM6" s="35" t="str">
        <f t="shared" si="22"/>
        <v>N/A</v>
      </c>
      <c r="AN6" s="35"/>
      <c r="AO6" s="4">
        <f t="shared" si="23"/>
        <v>977.71</v>
      </c>
      <c r="AP6" s="4">
        <f t="shared" si="24"/>
        <v>2330.3000000000002</v>
      </c>
      <c r="AQ6" s="4">
        <f t="shared" si="25"/>
        <v>3504.29</v>
      </c>
      <c r="AR6" s="4">
        <f t="shared" si="26"/>
        <v>1504.29</v>
      </c>
    </row>
    <row r="7" spans="2:44">
      <c r="B7">
        <v>51189</v>
      </c>
      <c r="C7" t="s">
        <v>41</v>
      </c>
      <c r="D7" s="9" t="s">
        <v>58</v>
      </c>
      <c r="E7" s="9" t="s">
        <v>58</v>
      </c>
      <c r="F7" s="9" t="str">
        <f>VLOOKUP($B7, '2025'!$B:$E, 3, 0)</f>
        <v>Spa</v>
      </c>
      <c r="G7" s="9" t="str">
        <f>VLOOKUP($B7, '2025'!$B:$E, 4, 0)</f>
        <v>Spas / Hotels</v>
      </c>
      <c r="H7" t="s">
        <v>84</v>
      </c>
      <c r="I7" t="s">
        <v>83</v>
      </c>
      <c r="J7">
        <v>2024</v>
      </c>
      <c r="K7" s="36">
        <v>45505</v>
      </c>
      <c r="L7" s="10">
        <f>SUMIF('2022'!$B:$B, $B7,'2022'!$AF:$AF)</f>
        <v>0</v>
      </c>
      <c r="M7" s="10">
        <f>SUMIF('2023'!$B:$B, $B7,'2023'!$AF:$AF)</f>
        <v>0</v>
      </c>
      <c r="N7" s="10">
        <f>SUMIF('2024'!$B:$B, $B7,'2024'!$AF:$AF)</f>
        <v>28806.05</v>
      </c>
      <c r="O7" s="10">
        <f>SUMIF('2025'!$B:$B, $B7,'2025'!$AF:$AF)</f>
        <v>32939.5</v>
      </c>
      <c r="P7" s="10">
        <f>SUMIF('2025B'!$B:$B, $B7,'2025B'!$AF:$AF)</f>
        <v>30000</v>
      </c>
      <c r="R7" s="35">
        <f t="shared" si="8"/>
        <v>0.14349242607021795</v>
      </c>
      <c r="S7" s="35" t="str">
        <f t="shared" si="9"/>
        <v>N/A</v>
      </c>
      <c r="T7" s="35" t="str">
        <f t="shared" si="10"/>
        <v>N/A</v>
      </c>
      <c r="U7" s="35">
        <f t="shared" si="11"/>
        <v>9.7983333333333311E-2</v>
      </c>
      <c r="V7" s="35" t="str">
        <f t="shared" si="12"/>
        <v>N/A</v>
      </c>
      <c r="W7" s="35"/>
      <c r="X7" s="4">
        <f t="shared" si="13"/>
        <v>4133.4500000000007</v>
      </c>
      <c r="Y7" s="4">
        <f t="shared" si="14"/>
        <v>32939.5</v>
      </c>
      <c r="Z7" s="4">
        <f t="shared" si="15"/>
        <v>32939.5</v>
      </c>
      <c r="AA7" s="4">
        <f t="shared" si="16"/>
        <v>2939.5</v>
      </c>
      <c r="AC7" s="10">
        <f>SUMIF('2022'!$B:$B, $B7,'2022'!$AF:$AF)</f>
        <v>0</v>
      </c>
      <c r="AD7" s="10">
        <f>SUMIF('2023'!$B:$B, $B7,'2023'!$AF:$AF)</f>
        <v>0</v>
      </c>
      <c r="AE7" s="10">
        <f>SUMIF('2024'!$B:$B, $B7,'2024'!$AF:$AF)</f>
        <v>28806.05</v>
      </c>
      <c r="AF7" s="10">
        <f t="shared" si="17"/>
        <v>32939.5</v>
      </c>
      <c r="AG7" s="10">
        <f>SUMIF('2025B'!$B:$B, $B7,'2025B'!$AF:$AF)</f>
        <v>30000</v>
      </c>
      <c r="AI7" s="35">
        <f t="shared" si="18"/>
        <v>0.14349242607021795</v>
      </c>
      <c r="AJ7" s="35" t="str">
        <f t="shared" si="19"/>
        <v>N/A</v>
      </c>
      <c r="AK7" s="35" t="str">
        <f t="shared" si="20"/>
        <v>N/A</v>
      </c>
      <c r="AL7" s="35">
        <f t="shared" si="21"/>
        <v>9.7983333333333311E-2</v>
      </c>
      <c r="AM7" s="35" t="str">
        <f t="shared" si="22"/>
        <v>N/A</v>
      </c>
      <c r="AN7" s="35"/>
      <c r="AO7" s="4">
        <f t="shared" si="23"/>
        <v>4133.4500000000007</v>
      </c>
      <c r="AP7" s="4">
        <f t="shared" si="24"/>
        <v>32939.5</v>
      </c>
      <c r="AQ7" s="4">
        <f t="shared" si="25"/>
        <v>32939.5</v>
      </c>
      <c r="AR7" s="4">
        <f t="shared" si="26"/>
        <v>2939.5</v>
      </c>
    </row>
    <row r="8" spans="2:44">
      <c r="B8">
        <v>53000</v>
      </c>
      <c r="C8" t="s">
        <v>42</v>
      </c>
      <c r="D8" s="9" t="s">
        <v>58</v>
      </c>
      <c r="E8" s="9" t="s">
        <v>58</v>
      </c>
      <c r="F8" s="9" t="s">
        <v>10</v>
      </c>
      <c r="G8" s="9" t="str">
        <f>VLOOKUP($B8, '2025'!$B:$E, 4, 0)</f>
        <v>Other</v>
      </c>
      <c r="H8" t="s">
        <v>85</v>
      </c>
      <c r="I8" t="s">
        <v>83</v>
      </c>
      <c r="J8" t="s">
        <v>86</v>
      </c>
      <c r="K8" s="36" t="s">
        <v>86</v>
      </c>
      <c r="L8" s="10">
        <f>SUMIF('2022'!$B:$B, $B8,'2022'!$AF:$AF)</f>
        <v>0</v>
      </c>
      <c r="M8" s="10">
        <f>SUMIF('2023'!$B:$B, $B8,'2023'!$AF:$AF)</f>
        <v>610.55999999999995</v>
      </c>
      <c r="N8" s="10">
        <f>SUMIF('2024'!$B:$B, $B8,'2024'!$AF:$AF)</f>
        <v>2165.3199999999997</v>
      </c>
      <c r="O8" s="10">
        <f>SUMIF('2025'!$B:$B, $B8,'2025'!$AF:$AF)</f>
        <v>487.8</v>
      </c>
      <c r="P8" s="10">
        <f>SUMIF('2025B'!$B:$B, $B8,'2025B'!$AF:$AF)</f>
        <v>0</v>
      </c>
      <c r="R8" s="35">
        <f t="shared" si="8"/>
        <v>-0.77472151922117738</v>
      </c>
      <c r="S8" s="35">
        <f t="shared" si="9"/>
        <v>-0.20106132075471694</v>
      </c>
      <c r="T8" s="35" t="str">
        <f t="shared" si="10"/>
        <v>N/A</v>
      </c>
      <c r="U8" s="35" t="str">
        <f t="shared" si="11"/>
        <v>N/A</v>
      </c>
      <c r="V8" s="35" t="str">
        <f t="shared" si="12"/>
        <v>N/A</v>
      </c>
      <c r="W8" s="35"/>
      <c r="X8" s="4">
        <f t="shared" si="13"/>
        <v>-1677.5199999999998</v>
      </c>
      <c r="Y8" s="4">
        <f t="shared" si="14"/>
        <v>-122.75999999999993</v>
      </c>
      <c r="Z8" s="4">
        <f t="shared" si="15"/>
        <v>487.8</v>
      </c>
      <c r="AA8" s="4">
        <f t="shared" si="16"/>
        <v>487.8</v>
      </c>
      <c r="AC8" s="10">
        <f>SUMIF('2022'!$B:$B, $B8,'2022'!$AF:$AF)</f>
        <v>0</v>
      </c>
      <c r="AD8" s="10">
        <f>SUMIF('2023'!$B:$B, $B8,'2023'!$AF:$AF)</f>
        <v>610.55999999999995</v>
      </c>
      <c r="AE8" s="10">
        <f>SUMIF('2024'!$B:$B, $B8,'2024'!$AF:$AF)</f>
        <v>2165.3199999999997</v>
      </c>
      <c r="AF8" s="10">
        <f t="shared" si="17"/>
        <v>487.8</v>
      </c>
      <c r="AG8" s="10">
        <f>SUMIF('2025B'!$B:$B, $B8,'2025B'!$AF:$AF)</f>
        <v>0</v>
      </c>
      <c r="AI8" s="35">
        <f t="shared" si="18"/>
        <v>-0.77472151922117738</v>
      </c>
      <c r="AJ8" s="35">
        <f t="shared" si="19"/>
        <v>-0.20106132075471694</v>
      </c>
      <c r="AK8" s="35" t="str">
        <f t="shared" si="20"/>
        <v>N/A</v>
      </c>
      <c r="AL8" s="35" t="str">
        <f t="shared" si="21"/>
        <v>N/A</v>
      </c>
      <c r="AM8" s="35" t="str">
        <f t="shared" si="22"/>
        <v>N/A</v>
      </c>
      <c r="AN8" s="35"/>
      <c r="AO8" s="4">
        <f t="shared" si="23"/>
        <v>-1677.5199999999998</v>
      </c>
      <c r="AP8" s="4">
        <f t="shared" si="24"/>
        <v>-122.75999999999993</v>
      </c>
      <c r="AQ8" s="4">
        <f t="shared" si="25"/>
        <v>487.8</v>
      </c>
      <c r="AR8" s="4">
        <f t="shared" si="26"/>
        <v>487.8</v>
      </c>
    </row>
    <row r="9" spans="2:44">
      <c r="B9">
        <v>53014</v>
      </c>
      <c r="C9" t="s">
        <v>43</v>
      </c>
      <c r="D9" s="9" t="s">
        <v>58</v>
      </c>
      <c r="E9" s="9" t="s">
        <v>58</v>
      </c>
      <c r="F9" s="9" t="str">
        <f>VLOOKUP($B9, '2025'!$B:$E, 3, 0)</f>
        <v>Spa</v>
      </c>
      <c r="G9" s="9" t="str">
        <f>VLOOKUP($B9, '2025'!$B:$E, 4, 0)</f>
        <v>Institutes / Clinics</v>
      </c>
      <c r="H9" t="s">
        <v>84</v>
      </c>
      <c r="I9" t="s">
        <v>83</v>
      </c>
      <c r="J9">
        <v>2024</v>
      </c>
      <c r="K9" s="36">
        <v>45323</v>
      </c>
      <c r="L9" s="10">
        <f>SUMIF('2022'!$B:$B, $B9,'2022'!$AF:$AF)</f>
        <v>0</v>
      </c>
      <c r="M9" s="10">
        <f>SUMIF('2023'!$B:$B, $B9,'2023'!$AF:$AF)</f>
        <v>0</v>
      </c>
      <c r="N9" s="10">
        <f>SUMIF('2024'!$B:$B, $B9,'2024'!$AF:$AF)</f>
        <v>15824.73</v>
      </c>
      <c r="O9" s="10">
        <f>SUMIF('2025'!$B:$B, $B9,'2025'!$AF:$AF)</f>
        <v>13215.420000000002</v>
      </c>
      <c r="P9" s="10">
        <f>SUMIF('2025B'!$B:$B, $B9,'2025B'!$AF:$AF)</f>
        <v>12000</v>
      </c>
      <c r="R9" s="35">
        <f t="shared" si="8"/>
        <v>-0.16488812131391806</v>
      </c>
      <c r="S9" s="35" t="str">
        <f t="shared" si="9"/>
        <v>N/A</v>
      </c>
      <c r="T9" s="35" t="str">
        <f t="shared" si="10"/>
        <v>N/A</v>
      </c>
      <c r="U9" s="35">
        <f t="shared" si="11"/>
        <v>0.10128500000000007</v>
      </c>
      <c r="V9" s="35" t="str">
        <f t="shared" si="12"/>
        <v>N/A</v>
      </c>
      <c r="W9" s="35"/>
      <c r="X9" s="4">
        <f t="shared" si="13"/>
        <v>-2609.3099999999977</v>
      </c>
      <c r="Y9" s="4">
        <f t="shared" si="14"/>
        <v>13215.420000000002</v>
      </c>
      <c r="Z9" s="4">
        <f t="shared" si="15"/>
        <v>13215.420000000002</v>
      </c>
      <c r="AA9" s="4">
        <f t="shared" si="16"/>
        <v>1215.4200000000019</v>
      </c>
      <c r="AC9" s="10">
        <f>SUMIF('2022'!$B:$B, $B9,'2022'!$AF:$AF)</f>
        <v>0</v>
      </c>
      <c r="AD9" s="10">
        <f>SUMIF('2023'!$B:$B, $B9,'2023'!$AF:$AF)</f>
        <v>0</v>
      </c>
      <c r="AE9" s="10">
        <f>SUMIF('2024'!$B:$B, $B9,'2024'!$AF:$AF)</f>
        <v>15824.73</v>
      </c>
      <c r="AF9" s="10">
        <f t="shared" si="17"/>
        <v>13215.420000000002</v>
      </c>
      <c r="AG9" s="10">
        <f>SUMIF('2025B'!$B:$B, $B9,'2025B'!$AF:$AF)</f>
        <v>12000</v>
      </c>
      <c r="AI9" s="35">
        <f t="shared" si="18"/>
        <v>-0.16488812131391806</v>
      </c>
      <c r="AJ9" s="35" t="str">
        <f t="shared" si="19"/>
        <v>N/A</v>
      </c>
      <c r="AK9" s="35" t="str">
        <f t="shared" si="20"/>
        <v>N/A</v>
      </c>
      <c r="AL9" s="35">
        <f t="shared" si="21"/>
        <v>0.10128500000000007</v>
      </c>
      <c r="AM9" s="35" t="str">
        <f t="shared" si="22"/>
        <v>N/A</v>
      </c>
      <c r="AN9" s="35"/>
      <c r="AO9" s="4">
        <f t="shared" si="23"/>
        <v>-2609.3099999999977</v>
      </c>
      <c r="AP9" s="4">
        <f t="shared" si="24"/>
        <v>13215.420000000002</v>
      </c>
      <c r="AQ9" s="4">
        <f t="shared" si="25"/>
        <v>13215.420000000002</v>
      </c>
      <c r="AR9" s="4">
        <f t="shared" si="26"/>
        <v>1215.4200000000019</v>
      </c>
    </row>
    <row r="10" spans="2:44">
      <c r="B10">
        <v>53015</v>
      </c>
      <c r="C10" t="s">
        <v>44</v>
      </c>
      <c r="D10" s="9" t="s">
        <v>58</v>
      </c>
      <c r="E10" s="9" t="s">
        <v>58</v>
      </c>
      <c r="F10" s="9" t="str">
        <f>VLOOKUP($B10, '2025'!$B:$E, 3, 0)</f>
        <v>Spa</v>
      </c>
      <c r="G10" s="9" t="str">
        <f>VLOOKUP($B10, '2025'!$B:$E, 4, 0)</f>
        <v>Spas / Hotels</v>
      </c>
      <c r="H10" t="s">
        <v>84</v>
      </c>
      <c r="I10" t="s">
        <v>83</v>
      </c>
      <c r="J10">
        <v>2024</v>
      </c>
      <c r="K10" s="36">
        <v>45474</v>
      </c>
      <c r="L10" s="10">
        <f>SUMIF('2022'!$B:$B, $B10,'2022'!$AF:$AF)</f>
        <v>0</v>
      </c>
      <c r="M10" s="10">
        <f>SUMIF('2023'!$B:$B, $B10,'2023'!$AF:$AF)</f>
        <v>0</v>
      </c>
      <c r="N10" s="10">
        <f>SUMIF('2024'!$B:$B, $B10,'2024'!$AF:$AF)</f>
        <v>3678.79</v>
      </c>
      <c r="O10" s="10">
        <f>SUMIF('2025'!$B:$B, $B10,'2025'!$AF:$AF)</f>
        <v>6384.93</v>
      </c>
      <c r="P10" s="10">
        <f>SUMIF('2025B'!$B:$B, $B10,'2025B'!$AF:$AF)</f>
        <v>10000</v>
      </c>
      <c r="R10" s="35">
        <f t="shared" si="8"/>
        <v>0.73560600088616113</v>
      </c>
      <c r="S10" s="35" t="str">
        <f t="shared" si="9"/>
        <v>N/A</v>
      </c>
      <c r="T10" s="35" t="str">
        <f t="shared" si="10"/>
        <v>N/A</v>
      </c>
      <c r="U10" s="35">
        <f t="shared" si="11"/>
        <v>-0.36150700000000002</v>
      </c>
      <c r="V10" s="35" t="str">
        <f t="shared" si="12"/>
        <v>N/A</v>
      </c>
      <c r="W10" s="35"/>
      <c r="X10" s="4">
        <f t="shared" si="13"/>
        <v>2706.1400000000003</v>
      </c>
      <c r="Y10" s="4">
        <f t="shared" si="14"/>
        <v>6384.93</v>
      </c>
      <c r="Z10" s="4">
        <f t="shared" si="15"/>
        <v>6384.93</v>
      </c>
      <c r="AA10" s="4">
        <f t="shared" si="16"/>
        <v>-3615.0699999999997</v>
      </c>
      <c r="AC10" s="10">
        <f>SUMIF('2022'!$B:$B, $B10,'2022'!$AF:$AF)</f>
        <v>0</v>
      </c>
      <c r="AD10" s="10">
        <f>SUMIF('2023'!$B:$B, $B10,'2023'!$AF:$AF)</f>
        <v>0</v>
      </c>
      <c r="AE10" s="10">
        <f>SUMIF('2024'!$B:$B, $B10,'2024'!$AF:$AF)</f>
        <v>3678.79</v>
      </c>
      <c r="AF10" s="10">
        <f t="shared" si="17"/>
        <v>6384.93</v>
      </c>
      <c r="AG10" s="10">
        <f>SUMIF('2025B'!$B:$B, $B10,'2025B'!$AF:$AF)</f>
        <v>10000</v>
      </c>
      <c r="AI10" s="35">
        <f t="shared" si="18"/>
        <v>0.73560600088616113</v>
      </c>
      <c r="AJ10" s="35" t="str">
        <f t="shared" si="19"/>
        <v>N/A</v>
      </c>
      <c r="AK10" s="35" t="str">
        <f t="shared" si="20"/>
        <v>N/A</v>
      </c>
      <c r="AL10" s="35">
        <f t="shared" si="21"/>
        <v>-0.36150700000000002</v>
      </c>
      <c r="AM10" s="35" t="str">
        <f t="shared" si="22"/>
        <v>N/A</v>
      </c>
      <c r="AN10" s="35"/>
      <c r="AO10" s="4">
        <f t="shared" si="23"/>
        <v>2706.1400000000003</v>
      </c>
      <c r="AP10" s="4">
        <f t="shared" si="24"/>
        <v>6384.93</v>
      </c>
      <c r="AQ10" s="4">
        <f t="shared" si="25"/>
        <v>6384.93</v>
      </c>
      <c r="AR10" s="4">
        <f t="shared" si="26"/>
        <v>-3615.0699999999997</v>
      </c>
    </row>
    <row r="11" spans="2:44">
      <c r="B11">
        <v>53016</v>
      </c>
      <c r="C11" t="s">
        <v>45</v>
      </c>
      <c r="D11" s="9" t="s">
        <v>58</v>
      </c>
      <c r="E11" s="9" t="s">
        <v>58</v>
      </c>
      <c r="F11" s="9" t="str">
        <f>VLOOKUP($B11, '2025'!$B:$E, 3, 0)</f>
        <v>Spa</v>
      </c>
      <c r="G11" s="9" t="str">
        <f>VLOOKUP($B11, '2025'!$B:$E, 4, 0)</f>
        <v>Spas / Hotels</v>
      </c>
      <c r="H11" t="s">
        <v>84</v>
      </c>
      <c r="I11" t="s">
        <v>83</v>
      </c>
      <c r="J11">
        <v>2024</v>
      </c>
      <c r="K11" s="36">
        <v>45597</v>
      </c>
      <c r="L11" s="10">
        <f>SUMIF('2022'!$B:$B, $B11,'2022'!$AF:$AF)</f>
        <v>0</v>
      </c>
      <c r="M11" s="10">
        <f>SUMIF('2023'!$B:$B, $B11,'2023'!$AF:$AF)</f>
        <v>0</v>
      </c>
      <c r="N11" s="10">
        <f>SUMIF('2024'!$B:$B, $B11,'2024'!$AF:$AF)</f>
        <v>2148.84</v>
      </c>
      <c r="O11" s="10">
        <f>SUMIF('2025'!$B:$B, $B11,'2025'!$AF:$AF)</f>
        <v>1636.92</v>
      </c>
      <c r="P11" s="10">
        <f>SUMIF('2025B'!$B:$B, $B11,'2025B'!$AF:$AF)</f>
        <v>10000</v>
      </c>
      <c r="R11" s="35">
        <f t="shared" si="8"/>
        <v>-0.23823085944044231</v>
      </c>
      <c r="S11" s="35" t="str">
        <f t="shared" si="9"/>
        <v>N/A</v>
      </c>
      <c r="T11" s="35" t="str">
        <f t="shared" si="10"/>
        <v>N/A</v>
      </c>
      <c r="U11" s="35">
        <f t="shared" si="11"/>
        <v>-0.83630800000000005</v>
      </c>
      <c r="V11" s="35" t="str">
        <f t="shared" si="12"/>
        <v>N/A</v>
      </c>
      <c r="W11" s="35"/>
      <c r="X11" s="4">
        <f t="shared" si="13"/>
        <v>-511.92000000000007</v>
      </c>
      <c r="Y11" s="4">
        <f t="shared" si="14"/>
        <v>1636.92</v>
      </c>
      <c r="Z11" s="4">
        <f t="shared" si="15"/>
        <v>1636.92</v>
      </c>
      <c r="AA11" s="4">
        <f t="shared" si="16"/>
        <v>-8363.08</v>
      </c>
      <c r="AC11" s="10">
        <f>SUMIF('2022'!$B:$B, $B11,'2022'!$AF:$AF)</f>
        <v>0</v>
      </c>
      <c r="AD11" s="10">
        <f>SUMIF('2023'!$B:$B, $B11,'2023'!$AF:$AF)</f>
        <v>0</v>
      </c>
      <c r="AE11" s="10">
        <f>SUMIF('2024'!$B:$B, $B11,'2024'!$AF:$AF)</f>
        <v>2148.84</v>
      </c>
      <c r="AF11" s="10">
        <f t="shared" si="17"/>
        <v>1636.92</v>
      </c>
      <c r="AG11" s="10">
        <f>SUMIF('2025B'!$B:$B, $B11,'2025B'!$AF:$AF)</f>
        <v>10000</v>
      </c>
      <c r="AI11" s="35">
        <f t="shared" si="18"/>
        <v>-0.23823085944044231</v>
      </c>
      <c r="AJ11" s="35" t="str">
        <f t="shared" si="19"/>
        <v>N/A</v>
      </c>
      <c r="AK11" s="35" t="str">
        <f t="shared" si="20"/>
        <v>N/A</v>
      </c>
      <c r="AL11" s="35">
        <f t="shared" si="21"/>
        <v>-0.83630800000000005</v>
      </c>
      <c r="AM11" s="35" t="str">
        <f t="shared" si="22"/>
        <v>N/A</v>
      </c>
      <c r="AN11" s="35"/>
      <c r="AO11" s="4">
        <f t="shared" si="23"/>
        <v>-511.92000000000007</v>
      </c>
      <c r="AP11" s="4">
        <f t="shared" si="24"/>
        <v>1636.92</v>
      </c>
      <c r="AQ11" s="4">
        <f t="shared" si="25"/>
        <v>1636.92</v>
      </c>
      <c r="AR11" s="4">
        <f t="shared" si="26"/>
        <v>-8363.08</v>
      </c>
    </row>
    <row r="12" spans="2:44">
      <c r="B12">
        <v>53017</v>
      </c>
      <c r="C12" t="s">
        <v>46</v>
      </c>
      <c r="D12" s="9" t="s">
        <v>58</v>
      </c>
      <c r="E12" s="9" t="s">
        <v>58</v>
      </c>
      <c r="F12" s="9" t="str">
        <f>VLOOKUP($B12, '2025'!$B:$E, 3, 0)</f>
        <v>Spa</v>
      </c>
      <c r="G12" s="9" t="str">
        <f>VLOOKUP($B12, '2025'!$B:$E, 4, 0)</f>
        <v>Spas / Hotels</v>
      </c>
      <c r="H12" t="s">
        <v>84</v>
      </c>
      <c r="I12" t="s">
        <v>83</v>
      </c>
      <c r="J12">
        <v>2024</v>
      </c>
      <c r="K12" s="36">
        <v>45566</v>
      </c>
      <c r="L12" s="10">
        <f>SUMIF('2022'!$B:$B, $B12,'2022'!$AF:$AF)</f>
        <v>0</v>
      </c>
      <c r="M12" s="10">
        <f>SUMIF('2023'!$B:$B, $B12,'2023'!$AF:$AF)</f>
        <v>0</v>
      </c>
      <c r="N12" s="10">
        <f>SUMIF('2024'!$B:$B, $B12,'2024'!$AF:$AF)</f>
        <v>8698.4700000000012</v>
      </c>
      <c r="O12" s="10">
        <f>SUMIF('2025'!$B:$B, $B12,'2025'!$AF:$AF)</f>
        <v>0</v>
      </c>
      <c r="P12" s="10">
        <f>SUMIF('2025B'!$B:$B, $B12,'2025B'!$AF:$AF)</f>
        <v>10000</v>
      </c>
      <c r="R12" s="35">
        <f t="shared" si="8"/>
        <v>-1</v>
      </c>
      <c r="S12" s="35" t="str">
        <f t="shared" si="9"/>
        <v>N/A</v>
      </c>
      <c r="T12" s="35" t="str">
        <f t="shared" si="10"/>
        <v>N/A</v>
      </c>
      <c r="U12" s="35">
        <f t="shared" si="11"/>
        <v>-1</v>
      </c>
      <c r="V12" s="35">
        <f t="shared" si="12"/>
        <v>0</v>
      </c>
      <c r="W12" s="35"/>
      <c r="X12" s="4">
        <f t="shared" si="13"/>
        <v>-8698.4700000000012</v>
      </c>
      <c r="Y12" s="4">
        <f t="shared" si="14"/>
        <v>0</v>
      </c>
      <c r="Z12" s="4">
        <f t="shared" si="15"/>
        <v>0</v>
      </c>
      <c r="AA12" s="4">
        <f t="shared" si="16"/>
        <v>-10000</v>
      </c>
      <c r="AC12" s="10">
        <f>SUMIF('2022'!$B:$B, $B12,'2022'!$AF:$AF)</f>
        <v>0</v>
      </c>
      <c r="AD12" s="10">
        <f>SUMIF('2023'!$B:$B, $B12,'2023'!$AF:$AF)</f>
        <v>0</v>
      </c>
      <c r="AE12" s="10">
        <f>SUMIF('2024'!$B:$B, $B12,'2024'!$AF:$AF)</f>
        <v>8698.4700000000012</v>
      </c>
      <c r="AF12" s="10">
        <f t="shared" si="17"/>
        <v>0</v>
      </c>
      <c r="AG12" s="10">
        <f>SUMIF('2025B'!$B:$B, $B12,'2025B'!$AF:$AF)</f>
        <v>10000</v>
      </c>
      <c r="AI12" s="35">
        <f t="shared" si="18"/>
        <v>-1</v>
      </c>
      <c r="AJ12" s="35" t="str">
        <f t="shared" si="19"/>
        <v>N/A</v>
      </c>
      <c r="AK12" s="35" t="str">
        <f t="shared" si="20"/>
        <v>N/A</v>
      </c>
      <c r="AL12" s="35">
        <f t="shared" si="21"/>
        <v>-1</v>
      </c>
      <c r="AM12" s="35">
        <f t="shared" si="22"/>
        <v>0</v>
      </c>
      <c r="AN12" s="35"/>
      <c r="AO12" s="4">
        <f t="shared" si="23"/>
        <v>-8698.4700000000012</v>
      </c>
      <c r="AP12" s="4">
        <f t="shared" si="24"/>
        <v>0</v>
      </c>
      <c r="AQ12" s="4">
        <f t="shared" si="25"/>
        <v>0</v>
      </c>
      <c r="AR12" s="4">
        <f t="shared" si="26"/>
        <v>-10000</v>
      </c>
    </row>
    <row r="13" spans="2:44">
      <c r="B13">
        <v>53019</v>
      </c>
      <c r="C13" t="s">
        <v>48</v>
      </c>
      <c r="D13" s="9" t="s">
        <v>58</v>
      </c>
      <c r="E13" s="9" t="s">
        <v>58</v>
      </c>
      <c r="F13" s="9" t="str">
        <f>VLOOKUP($B13, '2025'!$B:$E, 3, 0)</f>
        <v>Spa</v>
      </c>
      <c r="G13" s="9" t="str">
        <f>VLOOKUP($B13, '2025'!$B:$E, 4, 0)</f>
        <v>Institutes / Clinics</v>
      </c>
      <c r="H13" t="s">
        <v>56</v>
      </c>
      <c r="I13" t="s">
        <v>83</v>
      </c>
      <c r="J13">
        <v>2025</v>
      </c>
      <c r="K13" s="36">
        <v>45658</v>
      </c>
      <c r="L13" s="10">
        <f>SUMIF('2022'!$B:$B, $B13,'2022'!$AF:$AF)</f>
        <v>0</v>
      </c>
      <c r="M13" s="10">
        <f>SUMIF('2023'!$B:$B, $B13,'2023'!$AF:$AF)</f>
        <v>0</v>
      </c>
      <c r="N13" s="10">
        <f>SUMIF('2024'!$B:$B, $B13,'2024'!$AF:$AF)</f>
        <v>0</v>
      </c>
      <c r="O13" s="10">
        <f>SUMIF('2025'!$B:$B, $B13,'2025'!$AF:$AF)</f>
        <v>3875.91</v>
      </c>
      <c r="P13" s="10">
        <f>SUMIF('2025B'!$B:$B, $B13,'2025B'!$AF:$AF)</f>
        <v>0</v>
      </c>
      <c r="R13" s="35" t="str">
        <f t="shared" si="8"/>
        <v>N/A</v>
      </c>
      <c r="S13" s="35" t="str">
        <f t="shared" si="9"/>
        <v>N/A</v>
      </c>
      <c r="T13" s="35" t="str">
        <f t="shared" si="10"/>
        <v>N/A</v>
      </c>
      <c r="U13" s="35" t="str">
        <f t="shared" si="11"/>
        <v>N/A</v>
      </c>
      <c r="V13" s="35" t="str">
        <f t="shared" si="12"/>
        <v>N/A</v>
      </c>
      <c r="W13" s="35"/>
      <c r="X13" s="4">
        <f t="shared" si="13"/>
        <v>3875.91</v>
      </c>
      <c r="Y13" s="4">
        <f t="shared" si="14"/>
        <v>3875.91</v>
      </c>
      <c r="Z13" s="4">
        <f t="shared" si="15"/>
        <v>3875.91</v>
      </c>
      <c r="AA13" s="4">
        <f t="shared" si="16"/>
        <v>3875.91</v>
      </c>
      <c r="AC13" s="10">
        <f>SUMIF('2022'!$B:$B, $B13,'2022'!$AF:$AF)</f>
        <v>0</v>
      </c>
      <c r="AD13" s="10">
        <f>SUMIF('2023'!$B:$B, $B13,'2023'!$AF:$AF)</f>
        <v>0</v>
      </c>
      <c r="AE13" s="10">
        <f>SUMIF('2024'!$B:$B, $B13,'2024'!$AF:$AF)</f>
        <v>0</v>
      </c>
      <c r="AF13" s="10">
        <f t="shared" si="17"/>
        <v>3875.91</v>
      </c>
      <c r="AG13" s="10">
        <f>SUMIF('2025B'!$B:$B, $B13,'2025B'!$AF:$AF)</f>
        <v>0</v>
      </c>
      <c r="AI13" s="35" t="str">
        <f t="shared" si="18"/>
        <v>N/A</v>
      </c>
      <c r="AJ13" s="35" t="str">
        <f t="shared" si="19"/>
        <v>N/A</v>
      </c>
      <c r="AK13" s="35" t="str">
        <f t="shared" si="20"/>
        <v>N/A</v>
      </c>
      <c r="AL13" s="35" t="str">
        <f t="shared" si="21"/>
        <v>N/A</v>
      </c>
      <c r="AM13" s="35" t="str">
        <f t="shared" si="22"/>
        <v>N/A</v>
      </c>
      <c r="AN13" s="35"/>
      <c r="AO13" s="4">
        <f t="shared" si="23"/>
        <v>3875.91</v>
      </c>
      <c r="AP13" s="4">
        <f t="shared" si="24"/>
        <v>3875.91</v>
      </c>
      <c r="AQ13" s="4">
        <f t="shared" si="25"/>
        <v>3875.91</v>
      </c>
      <c r="AR13" s="4">
        <f t="shared" si="26"/>
        <v>3875.91</v>
      </c>
    </row>
    <row r="14" spans="2:44">
      <c r="B14">
        <v>53018</v>
      </c>
      <c r="C14" t="s">
        <v>49</v>
      </c>
      <c r="D14" s="9" t="s">
        <v>58</v>
      </c>
      <c r="E14" s="9" t="s">
        <v>58</v>
      </c>
      <c r="F14" s="9" t="str">
        <f>VLOOKUP($B14, '2025'!$B:$E, 3, 0)</f>
        <v>Spa</v>
      </c>
      <c r="G14" s="9" t="str">
        <f>VLOOKUP($B14, '2025'!$B:$E, 4, 0)</f>
        <v>Spas / Hotels</v>
      </c>
      <c r="H14" t="s">
        <v>56</v>
      </c>
      <c r="I14" t="s">
        <v>83</v>
      </c>
      <c r="J14">
        <v>2025</v>
      </c>
      <c r="K14" s="36">
        <v>45658</v>
      </c>
      <c r="L14" s="10">
        <f>SUMIF('2022'!$B:$B, $B14,'2022'!$AF:$AF)</f>
        <v>0</v>
      </c>
      <c r="M14" s="10">
        <f>SUMIF('2023'!$B:$B, $B14,'2023'!$AF:$AF)</f>
        <v>0</v>
      </c>
      <c r="N14" s="10">
        <f>SUMIF('2024'!$B:$B, $B14,'2024'!$AF:$AF)</f>
        <v>0</v>
      </c>
      <c r="O14" s="10">
        <f>SUMIF('2025'!$B:$B, $B14,'2025'!$AF:$AF)</f>
        <v>12182.779999999999</v>
      </c>
      <c r="P14" s="10">
        <f>SUMIF('2025B'!$B:$B, $B14,'2025B'!$AF:$AF)</f>
        <v>0</v>
      </c>
      <c r="R14" s="35" t="str">
        <f t="shared" si="8"/>
        <v>N/A</v>
      </c>
      <c r="S14" s="35" t="str">
        <f t="shared" si="9"/>
        <v>N/A</v>
      </c>
      <c r="T14" s="35" t="str">
        <f t="shared" si="10"/>
        <v>N/A</v>
      </c>
      <c r="U14" s="35" t="str">
        <f t="shared" si="11"/>
        <v>N/A</v>
      </c>
      <c r="V14" s="35" t="str">
        <f t="shared" si="12"/>
        <v>N/A</v>
      </c>
      <c r="W14" s="35"/>
      <c r="X14" s="4">
        <f t="shared" si="13"/>
        <v>12182.779999999999</v>
      </c>
      <c r="Y14" s="4">
        <f t="shared" si="14"/>
        <v>12182.779999999999</v>
      </c>
      <c r="Z14" s="4">
        <f t="shared" si="15"/>
        <v>12182.779999999999</v>
      </c>
      <c r="AA14" s="4">
        <f t="shared" si="16"/>
        <v>12182.779999999999</v>
      </c>
      <c r="AC14" s="10">
        <f>SUMIF('2022'!$B:$B, $B14,'2022'!$AF:$AF)</f>
        <v>0</v>
      </c>
      <c r="AD14" s="10">
        <f>SUMIF('2023'!$B:$B, $B14,'2023'!$AF:$AF)</f>
        <v>0</v>
      </c>
      <c r="AE14" s="10">
        <f>SUMIF('2024'!$B:$B, $B14,'2024'!$AF:$AF)</f>
        <v>0</v>
      </c>
      <c r="AF14" s="10">
        <f t="shared" si="17"/>
        <v>12182.779999999999</v>
      </c>
      <c r="AG14" s="10">
        <f>SUMIF('2025B'!$B:$B, $B14,'2025B'!$AF:$AF)</f>
        <v>0</v>
      </c>
      <c r="AI14" s="35" t="str">
        <f t="shared" si="18"/>
        <v>N/A</v>
      </c>
      <c r="AJ14" s="35" t="str">
        <f t="shared" si="19"/>
        <v>N/A</v>
      </c>
      <c r="AK14" s="35" t="str">
        <f t="shared" si="20"/>
        <v>N/A</v>
      </c>
      <c r="AL14" s="35" t="str">
        <f t="shared" si="21"/>
        <v>N/A</v>
      </c>
      <c r="AM14" s="35" t="str">
        <f t="shared" si="22"/>
        <v>N/A</v>
      </c>
      <c r="AN14" s="35"/>
      <c r="AO14" s="4">
        <f t="shared" si="23"/>
        <v>12182.779999999999</v>
      </c>
      <c r="AP14" s="4">
        <f t="shared" si="24"/>
        <v>12182.779999999999</v>
      </c>
      <c r="AQ14" s="4">
        <f t="shared" si="25"/>
        <v>12182.779999999999</v>
      </c>
      <c r="AR14" s="4">
        <f t="shared" si="26"/>
        <v>12182.779999999999</v>
      </c>
    </row>
    <row r="15" spans="2:44">
      <c r="B15">
        <v>53020</v>
      </c>
      <c r="C15" t="s">
        <v>50</v>
      </c>
      <c r="D15" s="9" t="s">
        <v>58</v>
      </c>
      <c r="E15" s="9" t="s">
        <v>58</v>
      </c>
      <c r="F15" s="9" t="str">
        <f>VLOOKUP($B15, '2025'!$B:$E, 3, 0)</f>
        <v>Spa</v>
      </c>
      <c r="G15" s="9" t="str">
        <f>VLOOKUP($B15, '2025'!$B:$E, 4, 0)</f>
        <v>Institutes / Clinics</v>
      </c>
      <c r="H15" t="s">
        <v>56</v>
      </c>
      <c r="I15" t="s">
        <v>83</v>
      </c>
      <c r="J15">
        <v>2025</v>
      </c>
      <c r="K15" s="36">
        <v>45658</v>
      </c>
      <c r="L15" s="10">
        <f>SUMIF('2022'!$B:$B, $B15,'2022'!$AF:$AF)</f>
        <v>0</v>
      </c>
      <c r="M15" s="10">
        <f>SUMIF('2023'!$B:$B, $B15,'2023'!$AF:$AF)</f>
        <v>0</v>
      </c>
      <c r="N15" s="10">
        <f>SUMIF('2024'!$B:$B, $B15,'2024'!$AF:$AF)</f>
        <v>0</v>
      </c>
      <c r="O15" s="10">
        <f>SUMIF('2025'!$B:$B, $B15,'2025'!$AF:$AF)</f>
        <v>35192.719999999994</v>
      </c>
      <c r="P15" s="10">
        <f>SUMIF('2025B'!$B:$B, $B15,'2025B'!$AF:$AF)</f>
        <v>0</v>
      </c>
      <c r="R15" s="35" t="str">
        <f t="shared" si="8"/>
        <v>N/A</v>
      </c>
      <c r="S15" s="35" t="str">
        <f t="shared" si="9"/>
        <v>N/A</v>
      </c>
      <c r="T15" s="35" t="str">
        <f t="shared" si="10"/>
        <v>N/A</v>
      </c>
      <c r="U15" s="35" t="str">
        <f t="shared" si="11"/>
        <v>N/A</v>
      </c>
      <c r="V15" s="35" t="str">
        <f t="shared" si="12"/>
        <v>N/A</v>
      </c>
      <c r="W15" s="35"/>
      <c r="X15" s="4">
        <f t="shared" si="13"/>
        <v>35192.719999999994</v>
      </c>
      <c r="Y15" s="4">
        <f t="shared" si="14"/>
        <v>35192.719999999994</v>
      </c>
      <c r="Z15" s="4">
        <f t="shared" si="15"/>
        <v>35192.719999999994</v>
      </c>
      <c r="AA15" s="4">
        <f t="shared" si="16"/>
        <v>35192.719999999994</v>
      </c>
      <c r="AC15" s="10">
        <f>SUMIF('2022'!$B:$B, $B15,'2022'!$AF:$AF)</f>
        <v>0</v>
      </c>
      <c r="AD15" s="10">
        <f>SUMIF('2023'!$B:$B, $B15,'2023'!$AF:$AF)</f>
        <v>0</v>
      </c>
      <c r="AE15" s="10">
        <f>SUMIF('2024'!$B:$B, $B15,'2024'!$AF:$AF)</f>
        <v>0</v>
      </c>
      <c r="AF15" s="10">
        <f t="shared" si="17"/>
        <v>35192.719999999994</v>
      </c>
      <c r="AG15" s="10">
        <f>SUMIF('2025B'!$B:$B, $B15,'2025B'!$AF:$AF)</f>
        <v>0</v>
      </c>
      <c r="AI15" s="35" t="str">
        <f t="shared" si="18"/>
        <v>N/A</v>
      </c>
      <c r="AJ15" s="35" t="str">
        <f t="shared" si="19"/>
        <v>N/A</v>
      </c>
      <c r="AK15" s="35" t="str">
        <f t="shared" si="20"/>
        <v>N/A</v>
      </c>
      <c r="AL15" s="35" t="str">
        <f t="shared" si="21"/>
        <v>N/A</v>
      </c>
      <c r="AM15" s="35" t="str">
        <f t="shared" si="22"/>
        <v>N/A</v>
      </c>
      <c r="AN15" s="35"/>
      <c r="AO15" s="4">
        <f t="shared" si="23"/>
        <v>35192.719999999994</v>
      </c>
      <c r="AP15" s="4">
        <f t="shared" si="24"/>
        <v>35192.719999999994</v>
      </c>
      <c r="AQ15" s="4">
        <f t="shared" si="25"/>
        <v>35192.719999999994</v>
      </c>
      <c r="AR15" s="4">
        <f t="shared" si="26"/>
        <v>35192.719999999994</v>
      </c>
    </row>
    <row r="16" spans="2:44">
      <c r="B16">
        <v>51192</v>
      </c>
      <c r="C16" t="s">
        <v>51</v>
      </c>
      <c r="D16" s="9" t="s">
        <v>58</v>
      </c>
      <c r="E16" s="9" t="s">
        <v>58</v>
      </c>
      <c r="F16" s="9" t="str">
        <f>VLOOKUP($B16, '2025'!$B:$E, 3, 0)</f>
        <v>Spa</v>
      </c>
      <c r="G16" s="9" t="str">
        <f>VLOOKUP($B16, '2025'!$B:$E, 4, 0)</f>
        <v>Institutes / Clinics</v>
      </c>
      <c r="H16" t="s">
        <v>56</v>
      </c>
      <c r="I16" t="s">
        <v>83</v>
      </c>
      <c r="J16">
        <v>2025</v>
      </c>
      <c r="K16" s="36">
        <v>45717</v>
      </c>
      <c r="L16" s="10">
        <f>SUMIF('2022'!$B:$B, $B16,'2022'!$AF:$AF)</f>
        <v>0</v>
      </c>
      <c r="M16" s="10">
        <f>SUMIF('2023'!$B:$B, $B16,'2023'!$AF:$AF)</f>
        <v>0</v>
      </c>
      <c r="N16" s="10">
        <f>SUMIF('2024'!$B:$B, $B16,'2024'!$AF:$AF)</f>
        <v>0</v>
      </c>
      <c r="O16" s="10">
        <f>SUMIF('2025'!$B:$B, $B16,'2025'!$AF:$AF)</f>
        <v>9511.98</v>
      </c>
      <c r="P16" s="10">
        <f>SUMIF('2025B'!$B:$B, $B16,'2025B'!$AF:$AF)</f>
        <v>0</v>
      </c>
      <c r="R16" s="35" t="str">
        <f t="shared" si="8"/>
        <v>N/A</v>
      </c>
      <c r="S16" s="35" t="str">
        <f t="shared" si="9"/>
        <v>N/A</v>
      </c>
      <c r="T16" s="35" t="str">
        <f t="shared" si="10"/>
        <v>N/A</v>
      </c>
      <c r="U16" s="35" t="str">
        <f t="shared" si="11"/>
        <v>N/A</v>
      </c>
      <c r="V16" s="35" t="str">
        <f t="shared" si="12"/>
        <v>N/A</v>
      </c>
      <c r="W16" s="35"/>
      <c r="X16" s="4">
        <f t="shared" si="13"/>
        <v>9511.98</v>
      </c>
      <c r="Y16" s="4">
        <f t="shared" si="14"/>
        <v>9511.98</v>
      </c>
      <c r="Z16" s="4">
        <f t="shared" si="15"/>
        <v>9511.98</v>
      </c>
      <c r="AA16" s="4">
        <f t="shared" si="16"/>
        <v>9511.98</v>
      </c>
      <c r="AC16" s="10">
        <f>SUMIF('2022'!$B:$B, $B16,'2022'!$AF:$AF)</f>
        <v>0</v>
      </c>
      <c r="AD16" s="10">
        <f>SUMIF('2023'!$B:$B, $B16,'2023'!$AF:$AF)</f>
        <v>0</v>
      </c>
      <c r="AE16" s="10">
        <f>SUMIF('2024'!$B:$B, $B16,'2024'!$AF:$AF)</f>
        <v>0</v>
      </c>
      <c r="AF16" s="10">
        <f t="shared" si="17"/>
        <v>9511.98</v>
      </c>
      <c r="AG16" s="10">
        <f>SUMIF('2025B'!$B:$B, $B16,'2025B'!$AF:$AF)</f>
        <v>0</v>
      </c>
      <c r="AI16" s="35" t="str">
        <f t="shared" si="18"/>
        <v>N/A</v>
      </c>
      <c r="AJ16" s="35" t="str">
        <f t="shared" si="19"/>
        <v>N/A</v>
      </c>
      <c r="AK16" s="35" t="str">
        <f t="shared" si="20"/>
        <v>N/A</v>
      </c>
      <c r="AL16" s="35" t="str">
        <f t="shared" si="21"/>
        <v>N/A</v>
      </c>
      <c r="AM16" s="35" t="str">
        <f t="shared" si="22"/>
        <v>N/A</v>
      </c>
      <c r="AN16" s="35"/>
      <c r="AO16" s="4">
        <f t="shared" si="23"/>
        <v>9511.98</v>
      </c>
      <c r="AP16" s="4">
        <f t="shared" si="24"/>
        <v>9511.98</v>
      </c>
      <c r="AQ16" s="4">
        <f t="shared" si="25"/>
        <v>9511.98</v>
      </c>
      <c r="AR16" s="4">
        <f t="shared" si="26"/>
        <v>9511.98</v>
      </c>
    </row>
    <row r="17" spans="2:44">
      <c r="B17">
        <v>51191</v>
      </c>
      <c r="C17" t="s">
        <v>52</v>
      </c>
      <c r="D17" s="9" t="s">
        <v>58</v>
      </c>
      <c r="E17" s="9" t="s">
        <v>58</v>
      </c>
      <c r="F17" s="9" t="str">
        <f>VLOOKUP($B17, '2025'!$B:$E, 3, 0)</f>
        <v>Spa</v>
      </c>
      <c r="G17" s="9" t="str">
        <f>VLOOKUP($B17, '2025'!$B:$E, 4, 0)</f>
        <v>Institutes / Clinics</v>
      </c>
      <c r="H17" t="s">
        <v>56</v>
      </c>
      <c r="I17" t="s">
        <v>83</v>
      </c>
      <c r="J17">
        <v>2025</v>
      </c>
      <c r="K17" s="36">
        <v>45748</v>
      </c>
      <c r="L17" s="10">
        <f>SUMIF('2022'!$B:$B, $B17,'2022'!$AF:$AF)</f>
        <v>0</v>
      </c>
      <c r="M17" s="10">
        <f>SUMIF('2023'!$B:$B, $B17,'2023'!$AF:$AF)</f>
        <v>0</v>
      </c>
      <c r="N17" s="10">
        <f>SUMIF('2024'!$B:$B, $B17,'2024'!$AF:$AF)</f>
        <v>0</v>
      </c>
      <c r="O17" s="10">
        <f>SUMIF('2025'!$B:$B, $B17,'2025'!$AF:$AF)</f>
        <v>5101.4700000000012</v>
      </c>
      <c r="P17" s="10">
        <f>SUMIF('2025B'!$B:$B, $B17,'2025B'!$AF:$AF)</f>
        <v>0</v>
      </c>
      <c r="R17" s="35" t="str">
        <f t="shared" si="8"/>
        <v>N/A</v>
      </c>
      <c r="S17" s="35" t="str">
        <f t="shared" si="9"/>
        <v>N/A</v>
      </c>
      <c r="T17" s="35" t="str">
        <f t="shared" si="10"/>
        <v>N/A</v>
      </c>
      <c r="U17" s="35" t="str">
        <f t="shared" si="11"/>
        <v>N/A</v>
      </c>
      <c r="V17" s="35" t="str">
        <f t="shared" si="12"/>
        <v>N/A</v>
      </c>
      <c r="W17" s="35"/>
      <c r="X17" s="4">
        <f t="shared" si="13"/>
        <v>5101.4700000000012</v>
      </c>
      <c r="Y17" s="4">
        <f t="shared" si="14"/>
        <v>5101.4700000000012</v>
      </c>
      <c r="Z17" s="4">
        <f t="shared" si="15"/>
        <v>5101.4700000000012</v>
      </c>
      <c r="AA17" s="4">
        <f t="shared" si="16"/>
        <v>5101.4700000000012</v>
      </c>
      <c r="AC17" s="10">
        <f>SUMIF('2022'!$B:$B, $B17,'2022'!$AF:$AF)</f>
        <v>0</v>
      </c>
      <c r="AD17" s="10">
        <f>SUMIF('2023'!$B:$B, $B17,'2023'!$AF:$AF)</f>
        <v>0</v>
      </c>
      <c r="AE17" s="10">
        <f>SUMIF('2024'!$B:$B, $B17,'2024'!$AF:$AF)</f>
        <v>0</v>
      </c>
      <c r="AF17" s="10">
        <f t="shared" si="17"/>
        <v>5101.4700000000012</v>
      </c>
      <c r="AG17" s="10">
        <f>SUMIF('2025B'!$B:$B, $B17,'2025B'!$AF:$AF)</f>
        <v>0</v>
      </c>
      <c r="AI17" s="35" t="str">
        <f t="shared" si="18"/>
        <v>N/A</v>
      </c>
      <c r="AJ17" s="35" t="str">
        <f t="shared" si="19"/>
        <v>N/A</v>
      </c>
      <c r="AK17" s="35" t="str">
        <f t="shared" si="20"/>
        <v>N/A</v>
      </c>
      <c r="AL17" s="35" t="str">
        <f t="shared" si="21"/>
        <v>N/A</v>
      </c>
      <c r="AM17" s="35" t="str">
        <f t="shared" si="22"/>
        <v>N/A</v>
      </c>
      <c r="AN17" s="35"/>
      <c r="AO17" s="4">
        <f t="shared" si="23"/>
        <v>5101.4700000000012</v>
      </c>
      <c r="AP17" s="4">
        <f t="shared" si="24"/>
        <v>5101.4700000000012</v>
      </c>
      <c r="AQ17" s="4">
        <f t="shared" si="25"/>
        <v>5101.4700000000012</v>
      </c>
      <c r="AR17" s="4">
        <f t="shared" si="26"/>
        <v>5101.4700000000012</v>
      </c>
    </row>
    <row r="18" spans="2:44">
      <c r="B18">
        <v>53021</v>
      </c>
      <c r="C18" t="s">
        <v>53</v>
      </c>
      <c r="D18" s="9" t="s">
        <v>58</v>
      </c>
      <c r="E18" s="9" t="s">
        <v>58</v>
      </c>
      <c r="F18" s="9" t="str">
        <f>VLOOKUP($B18, '2025'!$B:$E, 3, 0)</f>
        <v>Spa</v>
      </c>
      <c r="G18" s="9" t="str">
        <f>VLOOKUP($B18, '2025'!$B:$E, 4, 0)</f>
        <v>Spas / Hotels</v>
      </c>
      <c r="H18" t="s">
        <v>56</v>
      </c>
      <c r="I18" t="s">
        <v>83</v>
      </c>
      <c r="J18">
        <v>2026</v>
      </c>
      <c r="K18" s="36">
        <v>45901</v>
      </c>
      <c r="L18" s="10">
        <f>SUMIF('2022'!$B:$B, $B18,'2022'!$AF:$AF)</f>
        <v>0</v>
      </c>
      <c r="M18" s="10">
        <f>SUMIF('2023'!$B:$B, $B18,'2023'!$AF:$AF)</f>
        <v>0</v>
      </c>
      <c r="N18" s="10">
        <f>SUMIF('2024'!$B:$B, $B18,'2024'!$AF:$AF)</f>
        <v>0</v>
      </c>
      <c r="O18" s="10">
        <f>SUMIF('2025'!$B:$B, $B18,'2025'!$AF:$AF)</f>
        <v>2109.56</v>
      </c>
      <c r="P18" s="10">
        <f>SUMIF('2025B'!$B:$B, $B18,'2025B'!$AF:$AF)</f>
        <v>0</v>
      </c>
      <c r="R18" s="35" t="str">
        <f t="shared" ref="R18:R20" si="27">IFERROR($O18/N18-1, "N/A")</f>
        <v>N/A</v>
      </c>
      <c r="S18" s="35" t="str">
        <f t="shared" ref="S18:S20" si="28">IFERROR($O18/M18-1, "N/A")</f>
        <v>N/A</v>
      </c>
      <c r="T18" s="35" t="str">
        <f t="shared" ref="T18:T20" si="29">IFERROR($O18/L18-1, "N/A")</f>
        <v>N/A</v>
      </c>
      <c r="U18" s="35" t="str">
        <f t="shared" ref="U18:U20" si="30">IFERROR($O18/P18-1, "N/A")</f>
        <v>N/A</v>
      </c>
      <c r="V18" s="35" t="str">
        <f t="shared" ref="V18:V20" si="31">IFERROR(_xlfn.RRI(4,L18,O18), "N/A")</f>
        <v>N/A</v>
      </c>
      <c r="W18" s="35"/>
      <c r="X18" s="4">
        <f t="shared" ref="X18:X20" si="32">$O18-N18</f>
        <v>2109.56</v>
      </c>
      <c r="Y18" s="4">
        <f t="shared" ref="Y18:Y20" si="33">$O18-M18</f>
        <v>2109.56</v>
      </c>
      <c r="Z18" s="4">
        <f t="shared" ref="Z18:Z20" si="34">$O18-L18</f>
        <v>2109.56</v>
      </c>
      <c r="AA18" s="4">
        <f t="shared" ref="AA18:AA20" si="35">$O18-P18</f>
        <v>2109.56</v>
      </c>
      <c r="AC18" s="10">
        <f>SUMIF('2022'!$B:$B, $B18,'2022'!$AF:$AF)</f>
        <v>0</v>
      </c>
      <c r="AD18" s="10">
        <f>SUMIF('2023'!$B:$B, $B18,'2023'!$AF:$AF)</f>
        <v>0</v>
      </c>
      <c r="AE18" s="10">
        <f>SUMIF('2024'!$B:$B, $B18,'2024'!$AF:$AF)</f>
        <v>0</v>
      </c>
      <c r="AF18" s="10">
        <f t="shared" ref="AF18:AF20" si="36">O18</f>
        <v>2109.56</v>
      </c>
      <c r="AG18" s="10">
        <f>SUMIF('2025B'!$B:$B, $B18,'2025B'!$AF:$AF)</f>
        <v>0</v>
      </c>
      <c r="AI18" s="35" t="str">
        <f t="shared" ref="AI18:AI20" si="37">IFERROR($AF18/AE18-1, "N/A")</f>
        <v>N/A</v>
      </c>
      <c r="AJ18" s="35" t="str">
        <f t="shared" ref="AJ18:AJ20" si="38">IFERROR($AF18/AD18-1, "N/A")</f>
        <v>N/A</v>
      </c>
      <c r="AK18" s="35" t="str">
        <f t="shared" ref="AK18:AK20" si="39">IFERROR($AF18/AC18-1, "N/A")</f>
        <v>N/A</v>
      </c>
      <c r="AL18" s="35" t="str">
        <f t="shared" ref="AL18:AL20" si="40">IFERROR($AF18/AG18-1, "N/A")</f>
        <v>N/A</v>
      </c>
      <c r="AM18" s="35" t="str">
        <f t="shared" ref="AM18:AM20" si="41">IFERROR(_xlfn.RRI(4,AC18,AF18), "N/A")</f>
        <v>N/A</v>
      </c>
      <c r="AN18" s="35"/>
      <c r="AO18" s="4">
        <f t="shared" ref="AO18:AO20" si="42">$AF18-AE18</f>
        <v>2109.56</v>
      </c>
      <c r="AP18" s="4">
        <f t="shared" ref="AP18:AP20" si="43">$AF18-AD18</f>
        <v>2109.56</v>
      </c>
      <c r="AQ18" s="4">
        <f t="shared" ref="AQ18:AQ20" si="44">$AF18-AC18</f>
        <v>2109.56</v>
      </c>
      <c r="AR18" s="4">
        <f t="shared" ref="AR18:AR20" si="45">$AF18-AG18</f>
        <v>2109.56</v>
      </c>
    </row>
    <row r="19" spans="2:44">
      <c r="B19">
        <v>51194</v>
      </c>
      <c r="C19" t="s">
        <v>54</v>
      </c>
      <c r="D19" s="9" t="s">
        <v>58</v>
      </c>
      <c r="E19" s="9" t="s">
        <v>58</v>
      </c>
      <c r="F19" s="9" t="str">
        <f>VLOOKUP($B19, '2025'!$B:$E, 3, 0)</f>
        <v>Spa</v>
      </c>
      <c r="G19" s="9" t="str">
        <f>VLOOKUP($B19, '2025'!$B:$E, 4, 0)</f>
        <v>Spas / Hotels</v>
      </c>
      <c r="H19" t="s">
        <v>56</v>
      </c>
      <c r="I19" t="s">
        <v>83</v>
      </c>
      <c r="J19">
        <v>2027</v>
      </c>
      <c r="K19" s="36">
        <v>45931</v>
      </c>
      <c r="L19" s="10">
        <f>SUMIF('2022'!$B:$B, $B19,'2022'!$AF:$AF)</f>
        <v>0</v>
      </c>
      <c r="M19" s="10">
        <f>SUMIF('2023'!$B:$B, $B19,'2023'!$AF:$AF)</f>
        <v>0</v>
      </c>
      <c r="N19" s="10">
        <f>SUMIF('2024'!$B:$B, $B19,'2024'!$AF:$AF)</f>
        <v>0</v>
      </c>
      <c r="O19" s="10">
        <f>SUMIF('2025'!$B:$B, $B19,'2025'!$AF:$AF)</f>
        <v>2107.7600000000002</v>
      </c>
      <c r="P19" s="10">
        <f>SUMIF('2025B'!$B:$B, $B19,'2025B'!$AF:$AF)</f>
        <v>0</v>
      </c>
      <c r="R19" s="35" t="str">
        <f t="shared" si="27"/>
        <v>N/A</v>
      </c>
      <c r="S19" s="35" t="str">
        <f t="shared" si="28"/>
        <v>N/A</v>
      </c>
      <c r="T19" s="35" t="str">
        <f t="shared" si="29"/>
        <v>N/A</v>
      </c>
      <c r="U19" s="35" t="str">
        <f t="shared" si="30"/>
        <v>N/A</v>
      </c>
      <c r="V19" s="35" t="str">
        <f t="shared" si="31"/>
        <v>N/A</v>
      </c>
      <c r="W19" s="35"/>
      <c r="X19" s="4">
        <f t="shared" si="32"/>
        <v>2107.7600000000002</v>
      </c>
      <c r="Y19" s="4">
        <f t="shared" si="33"/>
        <v>2107.7600000000002</v>
      </c>
      <c r="Z19" s="4">
        <f t="shared" si="34"/>
        <v>2107.7600000000002</v>
      </c>
      <c r="AA19" s="4">
        <f t="shared" si="35"/>
        <v>2107.7600000000002</v>
      </c>
      <c r="AC19" s="10">
        <f>SUMIF('2022'!$B:$B, $B19,'2022'!$AF:$AF)</f>
        <v>0</v>
      </c>
      <c r="AD19" s="10">
        <f>SUMIF('2023'!$B:$B, $B19,'2023'!$AF:$AF)</f>
        <v>0</v>
      </c>
      <c r="AE19" s="10">
        <f>SUMIF('2024'!$B:$B, $B19,'2024'!$AF:$AF)</f>
        <v>0</v>
      </c>
      <c r="AF19" s="10">
        <f t="shared" si="36"/>
        <v>2107.7600000000002</v>
      </c>
      <c r="AG19" s="10">
        <f>SUMIF('2025B'!$B:$B, $B19,'2025B'!$AF:$AF)</f>
        <v>0</v>
      </c>
      <c r="AI19" s="35" t="str">
        <f t="shared" si="37"/>
        <v>N/A</v>
      </c>
      <c r="AJ19" s="35" t="str">
        <f t="shared" si="38"/>
        <v>N/A</v>
      </c>
      <c r="AK19" s="35" t="str">
        <f t="shared" si="39"/>
        <v>N/A</v>
      </c>
      <c r="AL19" s="35" t="str">
        <f t="shared" si="40"/>
        <v>N/A</v>
      </c>
      <c r="AM19" s="35" t="str">
        <f t="shared" si="41"/>
        <v>N/A</v>
      </c>
      <c r="AN19" s="35"/>
      <c r="AO19" s="4">
        <f t="shared" si="42"/>
        <v>2107.7600000000002</v>
      </c>
      <c r="AP19" s="4">
        <f t="shared" si="43"/>
        <v>2107.7600000000002</v>
      </c>
      <c r="AQ19" s="4">
        <f t="shared" si="44"/>
        <v>2107.7600000000002</v>
      </c>
      <c r="AR19" s="4">
        <f t="shared" si="45"/>
        <v>2107.7600000000002</v>
      </c>
    </row>
    <row r="20" spans="2:44">
      <c r="B20">
        <v>51196</v>
      </c>
      <c r="C20" t="s">
        <v>55</v>
      </c>
      <c r="D20" s="9" t="s">
        <v>58</v>
      </c>
      <c r="E20" s="9" t="s">
        <v>58</v>
      </c>
      <c r="F20" s="9" t="str">
        <f>VLOOKUP($B20, '2025'!$B:$E, 3, 0)</f>
        <v>Spa</v>
      </c>
      <c r="G20" s="9" t="str">
        <f>VLOOKUP($B20, '2025'!$B:$E, 4, 0)</f>
        <v>Institutes / Clinics</v>
      </c>
      <c r="H20" t="s">
        <v>56</v>
      </c>
      <c r="I20" t="s">
        <v>83</v>
      </c>
      <c r="J20">
        <v>2028</v>
      </c>
      <c r="K20" s="36">
        <v>45962</v>
      </c>
      <c r="L20" s="10">
        <f>SUMIF('2022'!$B:$B, $B20,'2022'!$AF:$AF)</f>
        <v>0</v>
      </c>
      <c r="M20" s="10">
        <f>SUMIF('2023'!$B:$B, $B20,'2023'!$AF:$AF)</f>
        <v>0</v>
      </c>
      <c r="N20" s="10">
        <f>SUMIF('2024'!$B:$B, $B20,'2024'!$AF:$AF)</f>
        <v>0</v>
      </c>
      <c r="O20" s="10">
        <f>SUMIF('2025'!$B:$B, $B20,'2025'!$AF:$AF)</f>
        <v>1213.0999999999999</v>
      </c>
      <c r="P20" s="10">
        <f>SUMIF('2025B'!$B:$B, $B20,'2025B'!$AF:$AF)</f>
        <v>0</v>
      </c>
      <c r="R20" s="35" t="str">
        <f t="shared" si="27"/>
        <v>N/A</v>
      </c>
      <c r="S20" s="35" t="str">
        <f t="shared" si="28"/>
        <v>N/A</v>
      </c>
      <c r="T20" s="35" t="str">
        <f t="shared" si="29"/>
        <v>N/A</v>
      </c>
      <c r="U20" s="35" t="str">
        <f t="shared" si="30"/>
        <v>N/A</v>
      </c>
      <c r="V20" s="35" t="str">
        <f t="shared" si="31"/>
        <v>N/A</v>
      </c>
      <c r="W20" s="35"/>
      <c r="X20" s="4">
        <f t="shared" si="32"/>
        <v>1213.0999999999999</v>
      </c>
      <c r="Y20" s="4">
        <f t="shared" si="33"/>
        <v>1213.0999999999999</v>
      </c>
      <c r="Z20" s="4">
        <f t="shared" si="34"/>
        <v>1213.0999999999999</v>
      </c>
      <c r="AA20" s="4">
        <f t="shared" si="35"/>
        <v>1213.0999999999999</v>
      </c>
      <c r="AC20" s="10">
        <f>SUMIF('2022'!$B:$B, $B20,'2022'!$AF:$AF)</f>
        <v>0</v>
      </c>
      <c r="AD20" s="10">
        <f>SUMIF('2023'!$B:$B, $B20,'2023'!$AF:$AF)</f>
        <v>0</v>
      </c>
      <c r="AE20" s="10">
        <f>SUMIF('2024'!$B:$B, $B20,'2024'!$AF:$AF)</f>
        <v>0</v>
      </c>
      <c r="AF20" s="10">
        <f t="shared" si="36"/>
        <v>1213.0999999999999</v>
      </c>
      <c r="AG20" s="10">
        <f>SUMIF('2025B'!$B:$B, $B20,'2025B'!$AF:$AF)</f>
        <v>0</v>
      </c>
      <c r="AI20" s="35" t="str">
        <f t="shared" si="37"/>
        <v>N/A</v>
      </c>
      <c r="AJ20" s="35" t="str">
        <f t="shared" si="38"/>
        <v>N/A</v>
      </c>
      <c r="AK20" s="35" t="str">
        <f t="shared" si="39"/>
        <v>N/A</v>
      </c>
      <c r="AL20" s="35" t="str">
        <f t="shared" si="40"/>
        <v>N/A</v>
      </c>
      <c r="AM20" s="35" t="str">
        <f t="shared" si="41"/>
        <v>N/A</v>
      </c>
      <c r="AN20" s="35"/>
      <c r="AO20" s="4">
        <f t="shared" si="42"/>
        <v>1213.0999999999999</v>
      </c>
      <c r="AP20" s="4">
        <f t="shared" si="43"/>
        <v>1213.0999999999999</v>
      </c>
      <c r="AQ20" s="4">
        <f t="shared" si="44"/>
        <v>1213.0999999999999</v>
      </c>
      <c r="AR20" s="4">
        <f t="shared" si="45"/>
        <v>1213.0999999999999</v>
      </c>
    </row>
    <row r="21" spans="2:44">
      <c r="AC21" s="10"/>
      <c r="AD21" s="10"/>
      <c r="AE21" s="10"/>
      <c r="AF21" s="10"/>
      <c r="AG21" s="10"/>
      <c r="AI21" s="35"/>
      <c r="AJ21" s="35"/>
      <c r="AK21" s="35"/>
      <c r="AL21" s="35"/>
      <c r="AM21" s="35"/>
      <c r="AN21" s="35"/>
      <c r="AO21" s="4"/>
      <c r="AP21" s="4"/>
      <c r="AQ21" s="4"/>
      <c r="AR21" s="4"/>
    </row>
    <row r="22" spans="2:44">
      <c r="B22">
        <v>51101</v>
      </c>
      <c r="C22" t="s">
        <v>63</v>
      </c>
      <c r="D22" s="9" t="s">
        <v>58</v>
      </c>
      <c r="E22" s="9" t="s">
        <v>58</v>
      </c>
      <c r="F22" s="9" t="str">
        <f>VLOOKUP($B22, '2025'!$B:$E, 3, 0)</f>
        <v>Retail</v>
      </c>
      <c r="G22" s="9" t="str">
        <f>VLOOKUP($B22, '2025'!$B:$E, 4, 0)</f>
        <v>Retail</v>
      </c>
      <c r="H22" s="37" t="str">
        <f>VLOOKUP($B22, [1]Mapping!$A:$U, 21, 0)</f>
        <v>AA</v>
      </c>
      <c r="I22" t="s">
        <v>83</v>
      </c>
      <c r="J22" t="s">
        <v>86</v>
      </c>
      <c r="K22" s="36" t="s">
        <v>86</v>
      </c>
      <c r="L22" s="10">
        <f>SUMIF('2022'!$B:$B, $B22,'2022'!$AF:$AF)</f>
        <v>0</v>
      </c>
      <c r="M22" s="10">
        <f>SUMIF('2023'!$B:$B, $B22,'2023'!$AF:$AF)</f>
        <v>108670.27999999998</v>
      </c>
      <c r="N22" s="10">
        <f>SUMIF('2024'!$B:$B, $B22,'2024'!$AF:$AF)</f>
        <v>106390.93</v>
      </c>
      <c r="O22" s="10">
        <f>SUMIF('2025'!$B:$B, $B22,'2025'!$AF:$AF)</f>
        <v>104135.51999999999</v>
      </c>
      <c r="P22" s="10">
        <f>SUMIF('2025B'!$B:$B, $B22,'2025B'!$AF:$AF)</f>
        <v>100000</v>
      </c>
      <c r="R22" s="35">
        <f t="shared" ref="R22:R26" si="46">IFERROR($O22/N22-1, "N/A")</f>
        <v>-2.1199269524197262E-2</v>
      </c>
      <c r="S22" s="35">
        <f t="shared" ref="S22:S26" si="47">IFERROR($O22/M22-1, "N/A")</f>
        <v>-4.172953267443491E-2</v>
      </c>
      <c r="T22" s="35" t="str">
        <f t="shared" ref="T22:T26" si="48">IFERROR($O22/L22-1, "N/A")</f>
        <v>N/A</v>
      </c>
      <c r="U22" s="35">
        <f t="shared" ref="U22:U26" si="49">IFERROR($O22/P22-1, "N/A")</f>
        <v>4.1355199999999925E-2</v>
      </c>
      <c r="V22" s="35" t="str">
        <f t="shared" ref="V22:V26" si="50">IFERROR(_xlfn.RRI(4,L22,O22), "N/A")</f>
        <v>N/A</v>
      </c>
      <c r="W22" s="35"/>
      <c r="X22" s="4">
        <f t="shared" ref="X22:X26" si="51">$O22-N22</f>
        <v>-2255.4100000000035</v>
      </c>
      <c r="Y22" s="4">
        <f t="shared" ref="Y22:Y26" si="52">$O22-M22</f>
        <v>-4534.7599999999948</v>
      </c>
      <c r="Z22" s="4">
        <f t="shared" ref="Z22:Z26" si="53">$O22-L22</f>
        <v>104135.51999999999</v>
      </c>
      <c r="AA22" s="4">
        <f t="shared" ref="AA22:AA26" si="54">$O22-P22</f>
        <v>4135.5199999999895</v>
      </c>
      <c r="AC22" s="10">
        <f>SUMIF('2022'!$B:$B, $B22,'2022'!$AF:$AF)</f>
        <v>0</v>
      </c>
      <c r="AD22" s="10">
        <f>SUMIF('2023'!$B:$B, $B22,'2023'!$AF:$AF)</f>
        <v>108670.27999999998</v>
      </c>
      <c r="AE22" s="10">
        <f>SUMIF('2024'!$B:$B, $B22,'2024'!$AF:$AF)</f>
        <v>106390.93</v>
      </c>
      <c r="AF22" s="10">
        <f t="shared" si="17"/>
        <v>104135.51999999999</v>
      </c>
      <c r="AG22" s="10">
        <f>SUMIF('2025B'!$B:$B, $B22,'2025B'!$AF:$AF)</f>
        <v>100000</v>
      </c>
      <c r="AI22" s="35">
        <f t="shared" ref="AI22:AI26" si="55">IFERROR($AF22/AE22-1, "N/A")</f>
        <v>-2.1199269524197262E-2</v>
      </c>
      <c r="AJ22" s="35">
        <f t="shared" ref="AJ22:AJ26" si="56">IFERROR($AF22/AD22-1, "N/A")</f>
        <v>-4.172953267443491E-2</v>
      </c>
      <c r="AK22" s="35" t="str">
        <f t="shared" ref="AK22:AK26" si="57">IFERROR($AF22/AC22-1, "N/A")</f>
        <v>N/A</v>
      </c>
      <c r="AL22" s="35">
        <f t="shared" ref="AL22:AL26" si="58">IFERROR($AF22/AG22-1, "N/A")</f>
        <v>4.1355199999999925E-2</v>
      </c>
      <c r="AM22" s="35" t="str">
        <f t="shared" ref="AM22:AM26" si="59">IFERROR(_xlfn.RRI(4,AC22,AF22), "N/A")</f>
        <v>N/A</v>
      </c>
      <c r="AN22" s="35"/>
      <c r="AO22" s="4">
        <f t="shared" ref="AO22:AO26" si="60">$AF22-AE22</f>
        <v>-2255.4100000000035</v>
      </c>
      <c r="AP22" s="4">
        <f t="shared" ref="AP22:AP26" si="61">$AF22-AD22</f>
        <v>-4534.7599999999948</v>
      </c>
      <c r="AQ22" s="4">
        <f t="shared" ref="AQ22:AQ26" si="62">$AF22-AC22</f>
        <v>104135.51999999999</v>
      </c>
      <c r="AR22" s="4">
        <f t="shared" ref="AR22:AR26" si="63">$AF22-AG22</f>
        <v>4135.5199999999895</v>
      </c>
    </row>
    <row r="23" spans="2:44">
      <c r="B23">
        <v>51172</v>
      </c>
      <c r="C23" t="s">
        <v>64</v>
      </c>
      <c r="D23" s="9" t="s">
        <v>58</v>
      </c>
      <c r="E23" s="9" t="s">
        <v>58</v>
      </c>
      <c r="F23" s="9" t="str">
        <f>VLOOKUP($B23, '2025'!$B:$E, 3, 0)</f>
        <v>Retail</v>
      </c>
      <c r="G23" s="9" t="str">
        <f>VLOOKUP($B23, '2025'!$B:$E, 4, 0)</f>
        <v>Retail</v>
      </c>
      <c r="H23" s="37" t="str">
        <f>VLOOKUP($B23, [1]Mapping!$A:$U, 21, 0)</f>
        <v>AA</v>
      </c>
      <c r="I23" t="s">
        <v>83</v>
      </c>
      <c r="J23" t="s">
        <v>86</v>
      </c>
      <c r="K23" s="36" t="s">
        <v>86</v>
      </c>
      <c r="L23" s="10">
        <f>SUMIF('2022'!$B:$B, $B23,'2022'!$AF:$AF)</f>
        <v>0</v>
      </c>
      <c r="M23" s="10">
        <f>SUMIF('2023'!$B:$B, $B23,'2023'!$AF:$AF)</f>
        <v>24702.52</v>
      </c>
      <c r="N23" s="10">
        <f>SUMIF('2024'!$B:$B, $B23,'2024'!$AF:$AF)</f>
        <v>39567.380000000005</v>
      </c>
      <c r="O23" s="10">
        <f>SUMIF('2025'!$B:$B, $B23,'2025'!$AF:$AF)</f>
        <v>38041.620000000003</v>
      </c>
      <c r="P23" s="10">
        <f>SUMIF('2025B'!$B:$B, $B23,'2025B'!$AF:$AF)</f>
        <v>35000</v>
      </c>
      <c r="R23" s="35">
        <f t="shared" si="46"/>
        <v>-3.8561057113207897E-2</v>
      </c>
      <c r="S23" s="35">
        <f t="shared" si="47"/>
        <v>0.53998944237268098</v>
      </c>
      <c r="T23" s="35" t="str">
        <f t="shared" si="48"/>
        <v>N/A</v>
      </c>
      <c r="U23" s="35">
        <f t="shared" si="49"/>
        <v>8.6903428571428742E-2</v>
      </c>
      <c r="V23" s="35" t="str">
        <f t="shared" si="50"/>
        <v>N/A</v>
      </c>
      <c r="W23" s="35"/>
      <c r="X23" s="4">
        <f t="shared" si="51"/>
        <v>-1525.760000000002</v>
      </c>
      <c r="Y23" s="4">
        <f t="shared" si="52"/>
        <v>13339.100000000002</v>
      </c>
      <c r="Z23" s="4">
        <f t="shared" si="53"/>
        <v>38041.620000000003</v>
      </c>
      <c r="AA23" s="4">
        <f t="shared" si="54"/>
        <v>3041.6200000000026</v>
      </c>
      <c r="AC23" s="10">
        <f>SUMIF('2022'!$B:$B, $B23,'2022'!$AF:$AF)</f>
        <v>0</v>
      </c>
      <c r="AD23" s="10">
        <f>SUMIF('2023'!$B:$B, $B23,'2023'!$AF:$AF)</f>
        <v>24702.52</v>
      </c>
      <c r="AE23" s="10">
        <f>SUMIF('2024'!$B:$B, $B23,'2024'!$AF:$AF)</f>
        <v>39567.380000000005</v>
      </c>
      <c r="AF23" s="10">
        <f t="shared" si="17"/>
        <v>38041.620000000003</v>
      </c>
      <c r="AG23" s="10">
        <f>SUMIF('2025B'!$B:$B, $B23,'2025B'!$AF:$AF)</f>
        <v>35000</v>
      </c>
      <c r="AI23" s="35">
        <f t="shared" si="55"/>
        <v>-3.8561057113207897E-2</v>
      </c>
      <c r="AJ23" s="35">
        <f t="shared" si="56"/>
        <v>0.53998944237268098</v>
      </c>
      <c r="AK23" s="35" t="str">
        <f t="shared" si="57"/>
        <v>N/A</v>
      </c>
      <c r="AL23" s="35">
        <f t="shared" si="58"/>
        <v>8.6903428571428742E-2</v>
      </c>
      <c r="AM23" s="35" t="str">
        <f t="shared" si="59"/>
        <v>N/A</v>
      </c>
      <c r="AN23" s="35"/>
      <c r="AO23" s="4">
        <f t="shared" si="60"/>
        <v>-1525.760000000002</v>
      </c>
      <c r="AP23" s="4">
        <f t="shared" si="61"/>
        <v>13339.100000000002</v>
      </c>
      <c r="AQ23" s="4">
        <f t="shared" si="62"/>
        <v>38041.620000000003</v>
      </c>
      <c r="AR23" s="4">
        <f t="shared" si="63"/>
        <v>3041.6200000000026</v>
      </c>
    </row>
    <row r="24" spans="2:44">
      <c r="B24">
        <v>51175</v>
      </c>
      <c r="C24" t="s">
        <v>66</v>
      </c>
      <c r="D24" s="9" t="s">
        <v>58</v>
      </c>
      <c r="E24" s="9" t="s">
        <v>58</v>
      </c>
      <c r="F24" s="9" t="str">
        <f>VLOOKUP($B24, '2025'!$B:$E, 3, 0)</f>
        <v>eTailers</v>
      </c>
      <c r="G24" s="9" t="str">
        <f>VLOOKUP($B24, '2025'!$B:$E, 4, 0)</f>
        <v>eTailers</v>
      </c>
      <c r="H24" t="s">
        <v>87</v>
      </c>
      <c r="I24" t="s">
        <v>83</v>
      </c>
      <c r="J24" t="s">
        <v>86</v>
      </c>
      <c r="K24" s="36" t="s">
        <v>86</v>
      </c>
      <c r="L24" s="10">
        <f>SUMIF('2022'!$B:$B, $B24,'2022'!$AF:$AF)</f>
        <v>0</v>
      </c>
      <c r="M24" s="10">
        <f>SUMIF('2023'!$B:$B, $B24,'2023'!$AF:$AF)</f>
        <v>45672.350000000006</v>
      </c>
      <c r="N24" s="10">
        <f>SUMIF('2024'!$B:$B, $B24,'2024'!$AF:$AF)</f>
        <v>-6663.15</v>
      </c>
      <c r="O24" s="10">
        <f>SUMIF('2025'!$B:$B, $B24,'2025'!$AF:$AF)</f>
        <v>0</v>
      </c>
      <c r="P24" s="10">
        <f>SUMIF('2025B'!$B:$B, $B24,'2025B'!$AF:$AF)</f>
        <v>5000</v>
      </c>
      <c r="R24" s="35">
        <f t="shared" si="46"/>
        <v>-1</v>
      </c>
      <c r="S24" s="35">
        <f t="shared" si="47"/>
        <v>-1</v>
      </c>
      <c r="T24" s="35" t="str">
        <f t="shared" si="48"/>
        <v>N/A</v>
      </c>
      <c r="U24" s="35">
        <f t="shared" si="49"/>
        <v>-1</v>
      </c>
      <c r="V24" s="35">
        <f t="shared" si="50"/>
        <v>0</v>
      </c>
      <c r="W24" s="35"/>
      <c r="X24" s="4">
        <f t="shared" si="51"/>
        <v>6663.15</v>
      </c>
      <c r="Y24" s="4">
        <f t="shared" si="52"/>
        <v>-45672.350000000006</v>
      </c>
      <c r="Z24" s="4">
        <f t="shared" si="53"/>
        <v>0</v>
      </c>
      <c r="AA24" s="4">
        <f t="shared" si="54"/>
        <v>-5000</v>
      </c>
      <c r="AC24" s="10">
        <f>SUMIF('2022'!$B:$B, $B24,'2022'!$AF:$AF)</f>
        <v>0</v>
      </c>
      <c r="AD24" s="10">
        <f>SUMIF('2023'!$B:$B, $B24,'2023'!$AF:$AF)</f>
        <v>45672.350000000006</v>
      </c>
      <c r="AE24" s="10">
        <f>SUMIF('2024'!$B:$B, $B24,'2024'!$AF:$AF)</f>
        <v>-6663.15</v>
      </c>
      <c r="AF24" s="10">
        <f t="shared" si="17"/>
        <v>0</v>
      </c>
      <c r="AG24" s="10">
        <f>SUMIF('2025B'!$B:$B, $B24,'2025B'!$AF:$AF)</f>
        <v>5000</v>
      </c>
      <c r="AI24" s="35">
        <f t="shared" si="55"/>
        <v>-1</v>
      </c>
      <c r="AJ24" s="35">
        <f t="shared" si="56"/>
        <v>-1</v>
      </c>
      <c r="AK24" s="35" t="str">
        <f t="shared" si="57"/>
        <v>N/A</v>
      </c>
      <c r="AL24" s="35">
        <f t="shared" si="58"/>
        <v>-1</v>
      </c>
      <c r="AM24" s="35">
        <f t="shared" si="59"/>
        <v>0</v>
      </c>
      <c r="AN24" s="35"/>
      <c r="AO24" s="4">
        <f t="shared" si="60"/>
        <v>6663.15</v>
      </c>
      <c r="AP24" s="4">
        <f t="shared" si="61"/>
        <v>-45672.350000000006</v>
      </c>
      <c r="AQ24" s="4">
        <f t="shared" si="62"/>
        <v>0</v>
      </c>
      <c r="AR24" s="4">
        <f t="shared" si="63"/>
        <v>-5000</v>
      </c>
    </row>
    <row r="25" spans="2:44">
      <c r="B25">
        <v>51176</v>
      </c>
      <c r="C25" t="s">
        <v>67</v>
      </c>
      <c r="D25" s="9" t="s">
        <v>58</v>
      </c>
      <c r="E25" s="9" t="s">
        <v>58</v>
      </c>
      <c r="F25" s="9" t="str">
        <f>VLOOKUP($B25, '2025'!$B:$E, 3, 0)</f>
        <v>eTailers</v>
      </c>
      <c r="G25" s="9" t="str">
        <f>VLOOKUP($B25, '2025'!$B:$E, 4, 0)</f>
        <v>eTailers</v>
      </c>
      <c r="H25" t="s">
        <v>87</v>
      </c>
      <c r="I25" t="s">
        <v>83</v>
      </c>
      <c r="J25" t="s">
        <v>86</v>
      </c>
      <c r="K25" s="36" t="s">
        <v>86</v>
      </c>
      <c r="L25" s="10">
        <f>SUMIF('2022'!$B:$B, $B25,'2022'!$AF:$AF)</f>
        <v>0</v>
      </c>
      <c r="M25" s="10">
        <f>SUMIF('2023'!$B:$B, $B25,'2023'!$AF:$AF)</f>
        <v>31366.93</v>
      </c>
      <c r="N25" s="10">
        <f>SUMIF('2024'!$B:$B, $B25,'2024'!$AF:$AF)</f>
        <v>15312.810000000001</v>
      </c>
      <c r="O25" s="10">
        <f>SUMIF('2025'!$B:$B, $B25,'2025'!$AF:$AF)</f>
        <v>28083.11</v>
      </c>
      <c r="P25" s="10">
        <f>SUMIF('2025B'!$B:$B, $B25,'2025B'!$AF:$AF)</f>
        <v>10000</v>
      </c>
      <c r="R25" s="35">
        <f t="shared" si="46"/>
        <v>0.83396189203679794</v>
      </c>
      <c r="S25" s="35">
        <f t="shared" si="47"/>
        <v>-0.10469051322523437</v>
      </c>
      <c r="T25" s="35" t="str">
        <f t="shared" si="48"/>
        <v>N/A</v>
      </c>
      <c r="U25" s="35">
        <f t="shared" si="49"/>
        <v>1.8083110000000002</v>
      </c>
      <c r="V25" s="35" t="str">
        <f t="shared" si="50"/>
        <v>N/A</v>
      </c>
      <c r="W25" s="35"/>
      <c r="X25" s="4">
        <f t="shared" si="51"/>
        <v>12770.3</v>
      </c>
      <c r="Y25" s="4">
        <f t="shared" si="52"/>
        <v>-3283.8199999999997</v>
      </c>
      <c r="Z25" s="4">
        <f t="shared" si="53"/>
        <v>28083.11</v>
      </c>
      <c r="AA25" s="4">
        <f t="shared" si="54"/>
        <v>18083.11</v>
      </c>
      <c r="AC25" s="10">
        <f>SUMIF('2022'!$B:$B, $B25,'2022'!$AF:$AF)</f>
        <v>0</v>
      </c>
      <c r="AD25" s="10">
        <f>SUMIF('2023'!$B:$B, $B25,'2023'!$AF:$AF)</f>
        <v>31366.93</v>
      </c>
      <c r="AE25" s="10">
        <f>SUMIF('2024'!$B:$B, $B25,'2024'!$AF:$AF)</f>
        <v>15312.810000000001</v>
      </c>
      <c r="AF25" s="10">
        <f t="shared" si="17"/>
        <v>28083.11</v>
      </c>
      <c r="AG25" s="10">
        <f>SUMIF('2025B'!$B:$B, $B25,'2025B'!$AF:$AF)</f>
        <v>10000</v>
      </c>
      <c r="AI25" s="35">
        <f t="shared" si="55"/>
        <v>0.83396189203679794</v>
      </c>
      <c r="AJ25" s="35">
        <f t="shared" si="56"/>
        <v>-0.10469051322523437</v>
      </c>
      <c r="AK25" s="35" t="str">
        <f t="shared" si="57"/>
        <v>N/A</v>
      </c>
      <c r="AL25" s="35">
        <f t="shared" si="58"/>
        <v>1.8083110000000002</v>
      </c>
      <c r="AM25" s="35" t="str">
        <f t="shared" si="59"/>
        <v>N/A</v>
      </c>
      <c r="AN25" s="35"/>
      <c r="AO25" s="4">
        <f t="shared" si="60"/>
        <v>12770.3</v>
      </c>
      <c r="AP25" s="4">
        <f t="shared" si="61"/>
        <v>-3283.8199999999997</v>
      </c>
      <c r="AQ25" s="4">
        <f t="shared" si="62"/>
        <v>28083.11</v>
      </c>
      <c r="AR25" s="4">
        <f t="shared" si="63"/>
        <v>18083.11</v>
      </c>
    </row>
    <row r="26" spans="2:44">
      <c r="B26">
        <v>51183</v>
      </c>
      <c r="C26" t="s">
        <v>65</v>
      </c>
      <c r="D26" s="9" t="s">
        <v>58</v>
      </c>
      <c r="E26" s="9" t="s">
        <v>58</v>
      </c>
      <c r="F26" s="9" t="str">
        <f>VLOOKUP($B26, '2025'!$B:$E, 3, 0)</f>
        <v>Retail</v>
      </c>
      <c r="G26" s="9" t="str">
        <f>VLOOKUP($B26, '2025'!$B:$E, 4, 0)</f>
        <v>Retail</v>
      </c>
      <c r="H26" t="s">
        <v>85</v>
      </c>
      <c r="I26" t="s">
        <v>83</v>
      </c>
      <c r="J26">
        <v>2022</v>
      </c>
      <c r="K26" s="36">
        <v>44866</v>
      </c>
      <c r="L26" s="10">
        <f>SUMIF('2022'!$B:$B, $B26,'2022'!$AF:$AF)</f>
        <v>0</v>
      </c>
      <c r="M26" s="10">
        <f>SUMIF('2023'!$B:$B, $B26,'2023'!$AF:$AF)</f>
        <v>3526.98</v>
      </c>
      <c r="N26" s="10">
        <f>SUMIF('2024'!$B:$B, $B26,'2024'!$AF:$AF)</f>
        <v>1708.9499999999998</v>
      </c>
      <c r="O26" s="10">
        <f>SUMIF('2025'!$B:$B, $B26,'2025'!$AF:$AF)</f>
        <v>1569.42</v>
      </c>
      <c r="P26" s="10">
        <f>SUMIF('2025B'!$B:$B, $B26,'2025B'!$AF:$AF)</f>
        <v>2000</v>
      </c>
      <c r="R26" s="35">
        <f t="shared" si="46"/>
        <v>-8.1646625120687988E-2</v>
      </c>
      <c r="S26" s="35">
        <f t="shared" si="47"/>
        <v>-0.55502441181974382</v>
      </c>
      <c r="T26" s="35" t="str">
        <f t="shared" si="48"/>
        <v>N/A</v>
      </c>
      <c r="U26" s="35">
        <f t="shared" si="49"/>
        <v>-0.21528999999999998</v>
      </c>
      <c r="V26" s="35" t="str">
        <f t="shared" si="50"/>
        <v>N/A</v>
      </c>
      <c r="W26" s="35"/>
      <c r="X26" s="4">
        <f t="shared" si="51"/>
        <v>-139.52999999999975</v>
      </c>
      <c r="Y26" s="4">
        <f t="shared" si="52"/>
        <v>-1957.56</v>
      </c>
      <c r="Z26" s="4">
        <f t="shared" si="53"/>
        <v>1569.42</v>
      </c>
      <c r="AA26" s="4">
        <f t="shared" si="54"/>
        <v>-430.57999999999993</v>
      </c>
      <c r="AC26" s="10">
        <f>SUMIF('2022'!$B:$B, $B26,'2022'!$AF:$AF)</f>
        <v>0</v>
      </c>
      <c r="AD26" s="10">
        <f>SUMIF('2023'!$B:$B, $B26,'2023'!$AF:$AF)</f>
        <v>3526.98</v>
      </c>
      <c r="AE26" s="10">
        <f>SUMIF('2024'!$B:$B, $B26,'2024'!$AF:$AF)</f>
        <v>1708.9499999999998</v>
      </c>
      <c r="AF26" s="10">
        <f t="shared" si="17"/>
        <v>1569.42</v>
      </c>
      <c r="AG26" s="10">
        <f>SUMIF('2025B'!$B:$B, $B26,'2025B'!$AF:$AF)</f>
        <v>2000</v>
      </c>
      <c r="AI26" s="35">
        <f t="shared" si="55"/>
        <v>-8.1646625120687988E-2</v>
      </c>
      <c r="AJ26" s="35">
        <f t="shared" si="56"/>
        <v>-0.55502441181974382</v>
      </c>
      <c r="AK26" s="35" t="str">
        <f t="shared" si="57"/>
        <v>N/A</v>
      </c>
      <c r="AL26" s="35">
        <f t="shared" si="58"/>
        <v>-0.21528999999999998</v>
      </c>
      <c r="AM26" s="35" t="str">
        <f t="shared" si="59"/>
        <v>N/A</v>
      </c>
      <c r="AN26" s="35"/>
      <c r="AO26" s="4">
        <f t="shared" si="60"/>
        <v>-139.52999999999975</v>
      </c>
      <c r="AP26" s="4">
        <f t="shared" si="61"/>
        <v>-1957.56</v>
      </c>
      <c r="AQ26" s="4">
        <f t="shared" si="62"/>
        <v>1569.42</v>
      </c>
      <c r="AR26" s="4">
        <f t="shared" si="63"/>
        <v>-430.57999999999993</v>
      </c>
    </row>
    <row r="27" spans="2:44">
      <c r="D27" s="9"/>
      <c r="E27" s="9"/>
      <c r="F27" s="9"/>
      <c r="G27" s="9"/>
      <c r="K27" s="36"/>
      <c r="L27" s="10"/>
      <c r="M27" s="10"/>
      <c r="N27" s="10"/>
      <c r="O27" s="10"/>
      <c r="P27" s="10"/>
      <c r="R27" s="35"/>
      <c r="S27" s="35"/>
      <c r="T27" s="35"/>
      <c r="U27" s="35"/>
      <c r="V27" s="35"/>
      <c r="W27" s="35"/>
      <c r="X27" s="4"/>
      <c r="Y27" s="4"/>
      <c r="Z27" s="4"/>
      <c r="AA27" s="4"/>
      <c r="AC27" s="10"/>
      <c r="AD27" s="10"/>
      <c r="AE27" s="10"/>
      <c r="AF27" s="10"/>
      <c r="AG27" s="10"/>
      <c r="AI27" s="35"/>
      <c r="AJ27" s="35"/>
      <c r="AK27" s="35"/>
      <c r="AL27" s="35"/>
      <c r="AM27" s="35"/>
      <c r="AN27" s="35"/>
      <c r="AO27" s="4"/>
      <c r="AP27" s="4"/>
      <c r="AQ27" s="4"/>
      <c r="AR27" s="4"/>
    </row>
    <row r="28" spans="2:44">
      <c r="B28" t="s">
        <v>56</v>
      </c>
      <c r="C28" t="s">
        <v>88</v>
      </c>
      <c r="D28" s="9" t="s">
        <v>58</v>
      </c>
      <c r="E28" s="9" t="s">
        <v>58</v>
      </c>
      <c r="F28" s="9"/>
      <c r="G28" s="9"/>
      <c r="H28" t="s">
        <v>56</v>
      </c>
      <c r="I28" t="s">
        <v>83</v>
      </c>
      <c r="K28" s="36"/>
      <c r="L28" s="10">
        <f>SUMIF('2022'!$B:$B, $B28,'2022'!$AF:$AF)</f>
        <v>0</v>
      </c>
      <c r="M28" s="10">
        <f>SUMIF('2023'!$B:$B, $B28,'2023'!$AF:$AF)</f>
        <v>0</v>
      </c>
      <c r="N28" s="10">
        <f>SUMIF('2024'!$B:$B, $B28,'2024'!$AF:$AF)</f>
        <v>0</v>
      </c>
      <c r="O28" s="10">
        <f>SUMIF('2025'!$B:$B, $B28,'2025'!$AF:$AF)</f>
        <v>0</v>
      </c>
      <c r="P28" s="10">
        <f>SUMIF('2025B'!$B:$B, $B28,'2025B'!$AF:$AF)</f>
        <v>120000</v>
      </c>
      <c r="R28" s="35" t="str">
        <f t="shared" ref="R28" si="64">IFERROR($O28/N28-1, "N/A")</f>
        <v>N/A</v>
      </c>
      <c r="S28" s="35" t="str">
        <f t="shared" ref="S28" si="65">IFERROR($O28/M28-1, "N/A")</f>
        <v>N/A</v>
      </c>
      <c r="T28" s="35" t="str">
        <f t="shared" ref="T28" si="66">IFERROR($O28/L28-1, "N/A")</f>
        <v>N/A</v>
      </c>
      <c r="U28" s="35">
        <f t="shared" ref="U28" si="67">IFERROR($O28/P28-1, "N/A")</f>
        <v>-1</v>
      </c>
      <c r="V28" s="35">
        <f t="shared" ref="V28" si="68">IFERROR(_xlfn.RRI(4,L28,O28), "N/A")</f>
        <v>0</v>
      </c>
      <c r="W28" s="35"/>
      <c r="X28" s="4">
        <f t="shared" ref="X28" si="69">$O28-N28</f>
        <v>0</v>
      </c>
      <c r="Y28" s="4">
        <f t="shared" ref="Y28" si="70">$O28-M28</f>
        <v>0</v>
      </c>
      <c r="Z28" s="4">
        <f t="shared" ref="Z28" si="71">$O28-L28</f>
        <v>0</v>
      </c>
      <c r="AA28" s="4">
        <f t="shared" ref="AA28" si="72">$O28-P28</f>
        <v>-120000</v>
      </c>
      <c r="AC28" s="10">
        <f>SUMIF('2022'!$B:$B, $B28,'2022'!$AF:$AF)</f>
        <v>0</v>
      </c>
      <c r="AD28" s="10">
        <f>SUMIF('2023'!$B:$B, $B28,'2023'!$AF:$AF)</f>
        <v>0</v>
      </c>
      <c r="AE28" s="10">
        <f>SUMIF('2024'!$B:$B, $B28,'2024'!$AF:$AF)</f>
        <v>0</v>
      </c>
      <c r="AF28" s="10"/>
      <c r="AG28" s="10">
        <f>SUMIF('2025B'!$B:$B, $B28,'2025B'!$AF:$AF)</f>
        <v>120000</v>
      </c>
      <c r="AI28" s="35" t="str">
        <f t="shared" ref="AI28" si="73">IFERROR($AF28/AE28-1, "N/A")</f>
        <v>N/A</v>
      </c>
      <c r="AJ28" s="35" t="str">
        <f t="shared" ref="AJ28" si="74">IFERROR($AF28/AD28-1, "N/A")</f>
        <v>N/A</v>
      </c>
      <c r="AK28" s="35" t="str">
        <f t="shared" ref="AK28" si="75">IFERROR($AF28/AC28-1, "N/A")</f>
        <v>N/A</v>
      </c>
      <c r="AL28" s="35">
        <f t="shared" ref="AL28" si="76">IFERROR($AF28/AG28-1, "N/A")</f>
        <v>-1</v>
      </c>
      <c r="AM28" s="35">
        <f t="shared" ref="AM28" si="77">IFERROR(_xlfn.RRI(4,AC28,AF28), "N/A")</f>
        <v>0</v>
      </c>
      <c r="AN28" s="35"/>
      <c r="AO28" s="4">
        <f t="shared" ref="AO28" si="78">$AF28-AE28</f>
        <v>0</v>
      </c>
      <c r="AP28" s="4">
        <f t="shared" ref="AP28" si="79">$AF28-AD28</f>
        <v>0</v>
      </c>
      <c r="AQ28" s="4">
        <f t="shared" ref="AQ28" si="80">$AF28-AC28</f>
        <v>0</v>
      </c>
      <c r="AR28" s="4">
        <f t="shared" ref="AR28" si="81">$AF28-AG28</f>
        <v>-120000</v>
      </c>
    </row>
  </sheetData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4E5D-5257-491C-B97A-17EC18699829}">
  <dimension ref="B1:AE49"/>
  <sheetViews>
    <sheetView topLeftCell="E14" workbookViewId="0">
      <selection activeCell="I27" sqref="I27"/>
    </sheetView>
  </sheetViews>
  <sheetFormatPr defaultRowHeight="15"/>
  <cols>
    <col min="2" max="2" width="6" bestFit="1" customWidth="1"/>
    <col min="3" max="3" width="40.42578125" bestFit="1" customWidth="1"/>
    <col min="4" max="6" width="13.28515625" customWidth="1"/>
    <col min="7" max="10" width="9.5703125" bestFit="1" customWidth="1"/>
    <col min="11" max="13" width="10.5703125" bestFit="1" customWidth="1"/>
    <col min="14" max="14" width="9.5703125" bestFit="1" customWidth="1"/>
    <col min="15" max="15" width="10.5703125" bestFit="1" customWidth="1"/>
    <col min="16" max="18" width="9.5703125" bestFit="1" customWidth="1"/>
  </cols>
  <sheetData>
    <row r="1" spans="4:18">
      <c r="D1" s="1" t="s">
        <v>11</v>
      </c>
    </row>
    <row r="2" spans="4:18">
      <c r="D2" t="s">
        <v>89</v>
      </c>
      <c r="G2">
        <f>SUMIFS(G$25:G$76, $D$25:$D$76, $D$1)</f>
        <v>633.04</v>
      </c>
      <c r="H2">
        <f t="shared" ref="H2:R2" si="0">SUMIFS(H$25:H$76, $D$25:$D$76, $D$1)</f>
        <v>3508.31</v>
      </c>
      <c r="I2">
        <f t="shared" si="0"/>
        <v>4950.62</v>
      </c>
      <c r="J2">
        <f t="shared" si="0"/>
        <v>11178.33</v>
      </c>
      <c r="K2">
        <f t="shared" si="0"/>
        <v>21252.989999999998</v>
      </c>
      <c r="L2">
        <f t="shared" si="0"/>
        <v>47726.82</v>
      </c>
      <c r="M2">
        <f t="shared" si="0"/>
        <v>49512.47</v>
      </c>
      <c r="N2">
        <f t="shared" si="0"/>
        <v>8397.1</v>
      </c>
      <c r="O2">
        <f t="shared" si="0"/>
        <v>31996.639999999999</v>
      </c>
      <c r="P2">
        <f t="shared" si="0"/>
        <v>9259.33</v>
      </c>
      <c r="Q2">
        <f t="shared" si="0"/>
        <v>11257.84</v>
      </c>
      <c r="R2">
        <f t="shared" si="0"/>
        <v>1372.33</v>
      </c>
    </row>
    <row r="3" spans="4:18">
      <c r="D3" t="s">
        <v>90</v>
      </c>
      <c r="G3">
        <f>SUM($G2:G2)</f>
        <v>633.04</v>
      </c>
      <c r="H3">
        <f>SUM($G2:H2)</f>
        <v>4141.3500000000004</v>
      </c>
      <c r="I3">
        <f>SUM($G2:I2)</f>
        <v>9091.9700000000012</v>
      </c>
      <c r="J3">
        <f>SUM($G2:J2)</f>
        <v>20270.300000000003</v>
      </c>
      <c r="K3">
        <f>SUM($G2:K2)</f>
        <v>41523.29</v>
      </c>
      <c r="L3">
        <f>SUM($G2:L2)</f>
        <v>89250.11</v>
      </c>
      <c r="M3">
        <f>SUM($G2:M2)</f>
        <v>138762.58000000002</v>
      </c>
      <c r="N3">
        <f>SUM($G2:N2)</f>
        <v>147159.68000000002</v>
      </c>
      <c r="O3">
        <f>SUM($G2:O2)</f>
        <v>179156.32</v>
      </c>
      <c r="P3">
        <f>SUM($G2:P2)</f>
        <v>188415.65</v>
      </c>
      <c r="Q3">
        <f>SUM($G2:Q2)</f>
        <v>199673.49</v>
      </c>
      <c r="R3">
        <f>SUM($G2:R2)</f>
        <v>201045.81999999998</v>
      </c>
    </row>
    <row r="4" spans="4:18">
      <c r="D4" t="s">
        <v>91</v>
      </c>
      <c r="G4">
        <f>COUNTIFS(G$25:G$76,"&gt;0", $D$25:$D$76, $D$1)</f>
        <v>1</v>
      </c>
      <c r="H4">
        <f t="shared" ref="H4:R4" si="1">COUNTIFS(H$25:H$76,"&gt;0", $D$25:$D$76, $D$1)</f>
        <v>2</v>
      </c>
      <c r="I4">
        <f t="shared" si="1"/>
        <v>2</v>
      </c>
      <c r="J4">
        <f t="shared" si="1"/>
        <v>2</v>
      </c>
      <c r="K4">
        <f t="shared" si="1"/>
        <v>2</v>
      </c>
      <c r="L4">
        <f t="shared" si="1"/>
        <v>2</v>
      </c>
      <c r="M4">
        <f t="shared" si="1"/>
        <v>2</v>
      </c>
      <c r="N4">
        <f t="shared" si="1"/>
        <v>2</v>
      </c>
      <c r="O4">
        <f t="shared" si="1"/>
        <v>1</v>
      </c>
      <c r="P4">
        <f t="shared" si="1"/>
        <v>2</v>
      </c>
      <c r="Q4">
        <f t="shared" si="1"/>
        <v>2</v>
      </c>
      <c r="R4">
        <f t="shared" si="1"/>
        <v>1</v>
      </c>
    </row>
    <row r="5" spans="4:18">
      <c r="D5" t="s">
        <v>92</v>
      </c>
      <c r="G5">
        <f>COUNTIFS(T$25:T$76,"&gt;0", $D$25:$D$76, $D$1)</f>
        <v>1</v>
      </c>
      <c r="H5">
        <f t="shared" ref="H5:R5" si="2">COUNTIFS(U$25:U$76,"&gt;0", $D$25:$D$76, $D$1)</f>
        <v>2</v>
      </c>
      <c r="I5">
        <f t="shared" si="2"/>
        <v>2</v>
      </c>
      <c r="J5">
        <f t="shared" si="2"/>
        <v>2</v>
      </c>
      <c r="K5">
        <f t="shared" si="2"/>
        <v>2</v>
      </c>
      <c r="L5">
        <f t="shared" si="2"/>
        <v>2</v>
      </c>
      <c r="M5">
        <f t="shared" si="2"/>
        <v>2</v>
      </c>
      <c r="N5">
        <f t="shared" si="2"/>
        <v>2</v>
      </c>
      <c r="O5">
        <f t="shared" si="2"/>
        <v>2</v>
      </c>
      <c r="P5">
        <f t="shared" si="2"/>
        <v>2</v>
      </c>
      <c r="Q5">
        <f t="shared" si="2"/>
        <v>3</v>
      </c>
      <c r="R5">
        <f t="shared" si="2"/>
        <v>3</v>
      </c>
    </row>
    <row r="6" spans="4:18">
      <c r="D6" t="s">
        <v>93</v>
      </c>
      <c r="G6">
        <f>COUNTIFS($E$25:$E$76,"Yes", $D$25:$D$76, $D$1)+COUNTIFS( $F$25:$F$76, "&lt;="&amp;G$24, $D$25:$D$76, $D$1)</f>
        <v>2</v>
      </c>
      <c r="H6">
        <f t="shared" ref="H6:R6" si="3">COUNTIFS($E$25:$E$76,"Yes", $D$25:$D$76, $D$1)+COUNTIFS( $F$25:$F$76, "&lt;="&amp;H$24, $D$25:$D$76, $D$1)</f>
        <v>2</v>
      </c>
      <c r="I6">
        <f t="shared" si="3"/>
        <v>2</v>
      </c>
      <c r="J6">
        <f t="shared" si="3"/>
        <v>2</v>
      </c>
      <c r="K6">
        <f t="shared" si="3"/>
        <v>2</v>
      </c>
      <c r="L6">
        <f t="shared" si="3"/>
        <v>2</v>
      </c>
      <c r="M6">
        <f t="shared" si="3"/>
        <v>2</v>
      </c>
      <c r="N6">
        <f t="shared" si="3"/>
        <v>2</v>
      </c>
      <c r="O6">
        <f t="shared" si="3"/>
        <v>2</v>
      </c>
      <c r="P6">
        <f t="shared" si="3"/>
        <v>2</v>
      </c>
      <c r="Q6">
        <f t="shared" si="3"/>
        <v>3</v>
      </c>
      <c r="R6">
        <f t="shared" si="3"/>
        <v>3</v>
      </c>
    </row>
    <row r="7" spans="4:18">
      <c r="D7" t="s">
        <v>94</v>
      </c>
      <c r="G7">
        <f>COUNTIFS( $F$25:$F$76, G$24, $D$25:$D$76, $D$1)</f>
        <v>0</v>
      </c>
      <c r="H7">
        <f t="shared" ref="H7:R7" si="4">COUNTIFS( $F$25:$F$76, H$24, $D$25:$D$76, $D$1)</f>
        <v>0</v>
      </c>
      <c r="I7">
        <f t="shared" si="4"/>
        <v>0</v>
      </c>
      <c r="J7">
        <f t="shared" si="4"/>
        <v>0</v>
      </c>
      <c r="K7">
        <f t="shared" si="4"/>
        <v>0</v>
      </c>
      <c r="L7">
        <f t="shared" si="4"/>
        <v>0</v>
      </c>
      <c r="M7">
        <f t="shared" si="4"/>
        <v>0</v>
      </c>
      <c r="N7">
        <f t="shared" si="4"/>
        <v>0</v>
      </c>
      <c r="O7">
        <f t="shared" si="4"/>
        <v>0</v>
      </c>
      <c r="P7">
        <f t="shared" si="4"/>
        <v>0</v>
      </c>
      <c r="Q7">
        <f t="shared" si="4"/>
        <v>1</v>
      </c>
      <c r="R7">
        <f t="shared" si="4"/>
        <v>0</v>
      </c>
    </row>
    <row r="8" spans="4:18">
      <c r="D8" t="s">
        <v>95</v>
      </c>
      <c r="G8">
        <f>SUM($G7:G7)</f>
        <v>0</v>
      </c>
      <c r="H8">
        <f>SUM($G7:H7)</f>
        <v>0</v>
      </c>
      <c r="I8">
        <f>SUM($G7:I7)</f>
        <v>0</v>
      </c>
      <c r="J8">
        <f>SUM($G7:J7)</f>
        <v>0</v>
      </c>
      <c r="K8">
        <f>SUM($G7:K7)</f>
        <v>0</v>
      </c>
      <c r="L8">
        <f>SUM($G7:L7)</f>
        <v>0</v>
      </c>
      <c r="M8">
        <f>SUM($G7:M7)</f>
        <v>0</v>
      </c>
      <c r="N8">
        <f>SUM($G7:N7)</f>
        <v>0</v>
      </c>
      <c r="O8">
        <f>SUM($G7:O7)</f>
        <v>0</v>
      </c>
      <c r="P8">
        <f>SUM($G7:P7)</f>
        <v>0</v>
      </c>
      <c r="Q8">
        <f>SUM($G7:Q7)</f>
        <v>1</v>
      </c>
      <c r="R8">
        <f>SUM($G7:R7)</f>
        <v>1</v>
      </c>
    </row>
    <row r="9" spans="4:18">
      <c r="D9" t="s">
        <v>96</v>
      </c>
      <c r="G9">
        <f>SUMIFS( G$25:G$76, $F$25:$F$76, G$24, $D$25:$D$76, $D$1)</f>
        <v>0</v>
      </c>
      <c r="H9">
        <f t="shared" ref="H9:R9" si="5">SUMIFS( H$25:H$76, $F$25:$F$76, H$24, $D$25:$D$76, $D$1)</f>
        <v>0</v>
      </c>
      <c r="I9">
        <f t="shared" si="5"/>
        <v>0</v>
      </c>
      <c r="J9">
        <f t="shared" si="5"/>
        <v>0</v>
      </c>
      <c r="K9">
        <f t="shared" si="5"/>
        <v>0</v>
      </c>
      <c r="L9">
        <f t="shared" si="5"/>
        <v>0</v>
      </c>
      <c r="M9">
        <f t="shared" si="5"/>
        <v>0</v>
      </c>
      <c r="N9">
        <f t="shared" si="5"/>
        <v>0</v>
      </c>
      <c r="O9">
        <f t="shared" si="5"/>
        <v>0</v>
      </c>
      <c r="P9">
        <f t="shared" si="5"/>
        <v>0</v>
      </c>
      <c r="Q9">
        <f t="shared" si="5"/>
        <v>5062.5600000000004</v>
      </c>
      <c r="R9">
        <f t="shared" si="5"/>
        <v>0</v>
      </c>
    </row>
    <row r="10" spans="4:18">
      <c r="D10" t="s">
        <v>97</v>
      </c>
      <c r="G10">
        <f>SUMIFS( T$25:T$76, $F$25:$F$76, "&lt;="&amp;G$24, $D$25:$D$76, $D$1)</f>
        <v>0</v>
      </c>
      <c r="H10">
        <f t="shared" ref="H10:R10" si="6">SUMIFS( U$25:U$76, $F$25:$F$76, "&lt;="&amp;H$24, $D$25:$D$76, $D$1)</f>
        <v>0</v>
      </c>
      <c r="I10">
        <f t="shared" si="6"/>
        <v>0</v>
      </c>
      <c r="J10">
        <f t="shared" si="6"/>
        <v>0</v>
      </c>
      <c r="K10">
        <f t="shared" si="6"/>
        <v>0</v>
      </c>
      <c r="L10">
        <f t="shared" si="6"/>
        <v>0</v>
      </c>
      <c r="M10">
        <f t="shared" si="6"/>
        <v>0</v>
      </c>
      <c r="N10">
        <f t="shared" si="6"/>
        <v>0</v>
      </c>
      <c r="O10">
        <f t="shared" si="6"/>
        <v>0</v>
      </c>
      <c r="P10">
        <f t="shared" si="6"/>
        <v>0</v>
      </c>
      <c r="Q10">
        <f t="shared" si="6"/>
        <v>5062.5600000000004</v>
      </c>
      <c r="R10">
        <f t="shared" si="6"/>
        <v>5062.5600000000004</v>
      </c>
    </row>
    <row r="12" spans="4:18">
      <c r="D12" s="1" t="s">
        <v>10</v>
      </c>
    </row>
    <row r="13" spans="4:18">
      <c r="D13" t="s">
        <v>89</v>
      </c>
      <c r="G13">
        <f t="shared" ref="G13:R13" si="7">SUMIFS(G$25:G$76, $D$25:$D$76, $D$12)</f>
        <v>0</v>
      </c>
      <c r="H13">
        <f t="shared" si="7"/>
        <v>0</v>
      </c>
      <c r="I13">
        <f t="shared" si="7"/>
        <v>0</v>
      </c>
      <c r="J13">
        <f t="shared" si="7"/>
        <v>0</v>
      </c>
      <c r="K13">
        <f t="shared" si="7"/>
        <v>0</v>
      </c>
      <c r="L13">
        <f t="shared" si="7"/>
        <v>0</v>
      </c>
      <c r="M13">
        <f t="shared" si="7"/>
        <v>0</v>
      </c>
      <c r="N13">
        <f t="shared" si="7"/>
        <v>0</v>
      </c>
      <c r="O13">
        <f t="shared" si="7"/>
        <v>0</v>
      </c>
      <c r="P13">
        <f t="shared" si="7"/>
        <v>0</v>
      </c>
      <c r="Q13">
        <f t="shared" si="7"/>
        <v>0</v>
      </c>
      <c r="R13">
        <f t="shared" si="7"/>
        <v>0</v>
      </c>
    </row>
    <row r="14" spans="4:18">
      <c r="D14" t="s">
        <v>90</v>
      </c>
      <c r="G14">
        <f>SUM($G13:G13)</f>
        <v>0</v>
      </c>
      <c r="H14">
        <f>SUM($G13:H13)</f>
        <v>0</v>
      </c>
      <c r="I14">
        <f>SUM($G13:I13)</f>
        <v>0</v>
      </c>
      <c r="J14">
        <f>SUM($G13:J13)</f>
        <v>0</v>
      </c>
      <c r="K14">
        <f>SUM($G13:K13)</f>
        <v>0</v>
      </c>
      <c r="L14">
        <f>SUM($G13:L13)</f>
        <v>0</v>
      </c>
      <c r="M14">
        <f>SUM($G13:M13)</f>
        <v>0</v>
      </c>
      <c r="N14">
        <f>SUM($G13:N13)</f>
        <v>0</v>
      </c>
      <c r="O14">
        <f>SUM($G13:O13)</f>
        <v>0</v>
      </c>
      <c r="P14">
        <f>SUM($G13:P13)</f>
        <v>0</v>
      </c>
      <c r="Q14">
        <f>SUM($G13:Q13)</f>
        <v>0</v>
      </c>
      <c r="R14">
        <f>SUM($G13:R13)</f>
        <v>0</v>
      </c>
    </row>
    <row r="15" spans="4:18">
      <c r="D15" t="s">
        <v>91</v>
      </c>
      <c r="G15">
        <f t="shared" ref="G15:R15" si="8">COUNTIFS(G$25:G$76,"&gt;0", $D$25:$D$76, $D$12)</f>
        <v>0</v>
      </c>
      <c r="H15">
        <f t="shared" si="8"/>
        <v>0</v>
      </c>
      <c r="I15">
        <f t="shared" si="8"/>
        <v>0</v>
      </c>
      <c r="J15">
        <f t="shared" si="8"/>
        <v>0</v>
      </c>
      <c r="K15">
        <f t="shared" si="8"/>
        <v>0</v>
      </c>
      <c r="L15">
        <f t="shared" si="8"/>
        <v>0</v>
      </c>
      <c r="M15">
        <f t="shared" si="8"/>
        <v>0</v>
      </c>
      <c r="N15">
        <f t="shared" si="8"/>
        <v>0</v>
      </c>
      <c r="O15">
        <f t="shared" si="8"/>
        <v>0</v>
      </c>
      <c r="P15">
        <f t="shared" si="8"/>
        <v>0</v>
      </c>
      <c r="Q15">
        <f t="shared" si="8"/>
        <v>0</v>
      </c>
      <c r="R15">
        <f t="shared" si="8"/>
        <v>0</v>
      </c>
    </row>
    <row r="16" spans="4:18">
      <c r="D16" t="s">
        <v>92</v>
      </c>
      <c r="G16">
        <f t="shared" ref="G16:R16" si="9">COUNTIFS(T$25:T$76,"&gt;0", $D$25:$D$76, $D$12)</f>
        <v>0</v>
      </c>
      <c r="H16">
        <f t="shared" si="9"/>
        <v>0</v>
      </c>
      <c r="I16">
        <f t="shared" si="9"/>
        <v>0</v>
      </c>
      <c r="J16">
        <f t="shared" si="9"/>
        <v>0</v>
      </c>
      <c r="K16">
        <f t="shared" si="9"/>
        <v>0</v>
      </c>
      <c r="L16">
        <f t="shared" si="9"/>
        <v>0</v>
      </c>
      <c r="M16">
        <f t="shared" si="9"/>
        <v>0</v>
      </c>
      <c r="N16">
        <f t="shared" si="9"/>
        <v>0</v>
      </c>
      <c r="O16">
        <f t="shared" si="9"/>
        <v>0</v>
      </c>
      <c r="P16">
        <f t="shared" si="9"/>
        <v>0</v>
      </c>
      <c r="Q16">
        <f t="shared" si="9"/>
        <v>0</v>
      </c>
      <c r="R16">
        <f t="shared" si="9"/>
        <v>0</v>
      </c>
    </row>
    <row r="17" spans="2:31">
      <c r="D17" t="s">
        <v>93</v>
      </c>
      <c r="G17">
        <f t="shared" ref="G17:R17" si="10">COUNTIFS($E$25:$E$76,"Yes", $D$25:$D$76, $D$12)+COUNTIFS( $F$25:$F$76, "&lt;="&amp;G$24, $D$25:$D$76, $D$12)</f>
        <v>0</v>
      </c>
      <c r="H17">
        <f t="shared" si="10"/>
        <v>0</v>
      </c>
      <c r="I17">
        <f t="shared" si="10"/>
        <v>0</v>
      </c>
      <c r="J17">
        <f t="shared" si="10"/>
        <v>0</v>
      </c>
      <c r="K17">
        <f t="shared" si="10"/>
        <v>0</v>
      </c>
      <c r="L17">
        <f t="shared" si="10"/>
        <v>0</v>
      </c>
      <c r="M17">
        <f t="shared" si="10"/>
        <v>0</v>
      </c>
      <c r="N17">
        <f t="shared" si="10"/>
        <v>0</v>
      </c>
      <c r="O17">
        <f t="shared" si="10"/>
        <v>0</v>
      </c>
      <c r="P17">
        <f t="shared" si="10"/>
        <v>0</v>
      </c>
      <c r="Q17">
        <f t="shared" si="10"/>
        <v>0</v>
      </c>
      <c r="R17">
        <f t="shared" si="10"/>
        <v>0</v>
      </c>
    </row>
    <row r="18" spans="2:31">
      <c r="D18" t="s">
        <v>94</v>
      </c>
      <c r="G18">
        <f>COUNTIFS( $F$25:$F$76, G$24, $D$25:$D$76, $D$12)</f>
        <v>0</v>
      </c>
      <c r="H18">
        <f t="shared" ref="H18:R18" si="11">COUNTIFS( $F$25:$F$76, H$24, $D$25:$D$76, $D$12)</f>
        <v>0</v>
      </c>
      <c r="I18">
        <f t="shared" si="11"/>
        <v>0</v>
      </c>
      <c r="J18">
        <f t="shared" si="11"/>
        <v>0</v>
      </c>
      <c r="K18">
        <f t="shared" si="11"/>
        <v>0</v>
      </c>
      <c r="L18">
        <f t="shared" si="11"/>
        <v>0</v>
      </c>
      <c r="M18">
        <f t="shared" si="11"/>
        <v>0</v>
      </c>
      <c r="N18">
        <f t="shared" si="11"/>
        <v>0</v>
      </c>
      <c r="O18">
        <f t="shared" si="11"/>
        <v>0</v>
      </c>
      <c r="P18">
        <f t="shared" si="11"/>
        <v>0</v>
      </c>
      <c r="Q18">
        <f t="shared" si="11"/>
        <v>0</v>
      </c>
      <c r="R18">
        <f t="shared" si="11"/>
        <v>0</v>
      </c>
    </row>
    <row r="19" spans="2:31">
      <c r="D19" t="s">
        <v>95</v>
      </c>
      <c r="G19">
        <f>SUM($G18:G18)</f>
        <v>0</v>
      </c>
      <c r="H19">
        <f>SUM($G18:H18)</f>
        <v>0</v>
      </c>
      <c r="I19">
        <f>SUM($G18:I18)</f>
        <v>0</v>
      </c>
      <c r="J19">
        <f>SUM($G18:J18)</f>
        <v>0</v>
      </c>
      <c r="K19">
        <f>SUM($G18:K18)</f>
        <v>0</v>
      </c>
      <c r="L19">
        <f>SUM($G18:L18)</f>
        <v>0</v>
      </c>
      <c r="M19">
        <f>SUM($G18:M18)</f>
        <v>0</v>
      </c>
      <c r="N19">
        <f>SUM($G18:N18)</f>
        <v>0</v>
      </c>
      <c r="O19">
        <f>SUM($G18:O18)</f>
        <v>0</v>
      </c>
      <c r="P19">
        <f>SUM($G18:P18)</f>
        <v>0</v>
      </c>
      <c r="Q19">
        <f>SUM($G18:Q18)</f>
        <v>0</v>
      </c>
      <c r="R19">
        <f>SUM($G18:R18)</f>
        <v>0</v>
      </c>
    </row>
    <row r="20" spans="2:31">
      <c r="D20" t="s">
        <v>96</v>
      </c>
      <c r="G20">
        <f t="shared" ref="G20:R20" si="12">SUMIFS( G$25:G$76, $F$25:$F$76, G$24, $D$25:$D$76, $D$12)</f>
        <v>0</v>
      </c>
      <c r="H20">
        <f t="shared" si="12"/>
        <v>0</v>
      </c>
      <c r="I20">
        <f t="shared" si="12"/>
        <v>0</v>
      </c>
      <c r="J20">
        <f t="shared" si="12"/>
        <v>0</v>
      </c>
      <c r="K20">
        <f t="shared" si="12"/>
        <v>0</v>
      </c>
      <c r="L20">
        <f t="shared" si="12"/>
        <v>0</v>
      </c>
      <c r="M20">
        <f t="shared" si="12"/>
        <v>0</v>
      </c>
      <c r="N20">
        <f t="shared" si="12"/>
        <v>0</v>
      </c>
      <c r="O20">
        <f t="shared" si="12"/>
        <v>0</v>
      </c>
      <c r="P20">
        <f t="shared" si="12"/>
        <v>0</v>
      </c>
      <c r="Q20">
        <f t="shared" si="12"/>
        <v>0</v>
      </c>
      <c r="R20">
        <f t="shared" si="12"/>
        <v>0</v>
      </c>
    </row>
    <row r="21" spans="2:31">
      <c r="D21" t="s">
        <v>97</v>
      </c>
      <c r="G21">
        <f t="shared" ref="G21:R21" si="13">SUMIFS( T$25:T$76, $F$25:$F$76, "&lt;="&amp;G$24, $D$25:$D$76, $D$12)</f>
        <v>0</v>
      </c>
      <c r="H21">
        <f t="shared" si="13"/>
        <v>0</v>
      </c>
      <c r="I21">
        <f t="shared" si="13"/>
        <v>0</v>
      </c>
      <c r="J21">
        <f t="shared" si="13"/>
        <v>0</v>
      </c>
      <c r="K21">
        <f t="shared" si="13"/>
        <v>0</v>
      </c>
      <c r="L21">
        <f t="shared" si="13"/>
        <v>0</v>
      </c>
      <c r="M21">
        <f t="shared" si="13"/>
        <v>0</v>
      </c>
      <c r="N21">
        <f t="shared" si="13"/>
        <v>0</v>
      </c>
      <c r="O21">
        <f t="shared" si="13"/>
        <v>0</v>
      </c>
      <c r="P21">
        <f t="shared" si="13"/>
        <v>0</v>
      </c>
      <c r="Q21">
        <f t="shared" si="13"/>
        <v>0</v>
      </c>
      <c r="R21">
        <f t="shared" si="13"/>
        <v>0</v>
      </c>
    </row>
    <row r="23" spans="2:31">
      <c r="G23">
        <v>1</v>
      </c>
      <c r="H23">
        <f>G23+3</f>
        <v>4</v>
      </c>
      <c r="I23">
        <f t="shared" ref="I23:R23" si="14">H23+3</f>
        <v>7</v>
      </c>
      <c r="J23">
        <f t="shared" si="14"/>
        <v>10</v>
      </c>
      <c r="K23">
        <f t="shared" si="14"/>
        <v>13</v>
      </c>
      <c r="L23">
        <f t="shared" si="14"/>
        <v>16</v>
      </c>
      <c r="M23">
        <f t="shared" si="14"/>
        <v>19</v>
      </c>
      <c r="N23">
        <f t="shared" si="14"/>
        <v>22</v>
      </c>
      <c r="O23">
        <f t="shared" si="14"/>
        <v>25</v>
      </c>
      <c r="P23">
        <f t="shared" si="14"/>
        <v>28</v>
      </c>
      <c r="Q23">
        <f t="shared" si="14"/>
        <v>31</v>
      </c>
      <c r="R23">
        <f t="shared" si="14"/>
        <v>34</v>
      </c>
    </row>
    <row r="24" spans="2:31">
      <c r="D24" t="s">
        <v>98</v>
      </c>
      <c r="E24" t="s">
        <v>99</v>
      </c>
      <c r="F24" t="s">
        <v>100</v>
      </c>
      <c r="G24" s="2">
        <v>44562</v>
      </c>
      <c r="H24" s="2">
        <v>44593</v>
      </c>
      <c r="I24" s="2">
        <v>44621</v>
      </c>
      <c r="J24" s="2">
        <v>44652</v>
      </c>
      <c r="K24" s="2">
        <v>44682</v>
      </c>
      <c r="L24" s="2">
        <v>44713</v>
      </c>
      <c r="M24" s="2">
        <v>44743</v>
      </c>
      <c r="N24" s="2">
        <v>44774</v>
      </c>
      <c r="O24" s="2">
        <v>44805</v>
      </c>
      <c r="P24" s="2">
        <v>44835</v>
      </c>
      <c r="Q24" s="2">
        <v>44866</v>
      </c>
      <c r="R24" s="2">
        <v>44896</v>
      </c>
    </row>
    <row r="25" spans="2:31">
      <c r="B25">
        <v>51101</v>
      </c>
      <c r="C25" t="s">
        <v>63</v>
      </c>
      <c r="D25" t="str">
        <f>VLOOKUP($B25, Mapping!$A:$E, 5, 0)</f>
        <v>Retail</v>
      </c>
      <c r="E25" t="s">
        <v>83</v>
      </c>
      <c r="F25" t="s">
        <v>101</v>
      </c>
      <c r="G25" s="3" cm="1">
        <f t="array" ref="G25">INDEX('[2]Data 2022 to Oct24'!$E$2:$CJ$41,MATCH($B25,'[2]Data 2022 to Oct24'!$B$2:$B$41),G$23)</f>
        <v>0</v>
      </c>
      <c r="H25" s="3" cm="1">
        <f t="array" ref="H25">INDEX('[2]Data 2022 to Oct24'!$E$2:$CJ$41,MATCH($B25,'[2]Data 2022 to Oct24'!$B$2:$B$41),H$23)</f>
        <v>2844.98</v>
      </c>
      <c r="I25" s="3" cm="1">
        <f t="array" ref="I25">INDEX('[2]Data 2022 to Oct24'!$E$2:$CJ$41,MATCH($B25,'[2]Data 2022 to Oct24'!$B$2:$B$41),I$23)</f>
        <v>3567.25</v>
      </c>
      <c r="J25" s="3" cm="1">
        <f t="array" ref="J25">INDEX('[2]Data 2022 to Oct24'!$E$2:$CJ$41,MATCH($B25,'[2]Data 2022 to Oct24'!$B$2:$B$41),J$23)</f>
        <v>7397.26</v>
      </c>
      <c r="K25" s="3" cm="1">
        <f t="array" ref="K25">INDEX('[2]Data 2022 to Oct24'!$E$2:$CJ$41,MATCH($B25,'[2]Data 2022 to Oct24'!$B$2:$B$41),K$23)</f>
        <v>20460.12</v>
      </c>
      <c r="L25" s="3" cm="1">
        <f t="array" ref="L25">INDEX('[2]Data 2022 to Oct24'!$E$2:$CJ$41,MATCH($B25,'[2]Data 2022 to Oct24'!$B$2:$B$41),L$23)</f>
        <v>47334</v>
      </c>
      <c r="M25" s="3" cm="1">
        <f t="array" ref="M25">INDEX('[2]Data 2022 to Oct24'!$E$2:$CJ$41,MATCH($B25,'[2]Data 2022 to Oct24'!$B$2:$B$41),M$23)</f>
        <v>48291.01</v>
      </c>
      <c r="N25" s="3" cm="1">
        <f t="array" ref="N25">INDEX('[2]Data 2022 to Oct24'!$E$2:$CJ$41,MATCH($B25,'[2]Data 2022 to Oct24'!$B$2:$B$41),N$23)</f>
        <v>6950.91</v>
      </c>
      <c r="O25" s="3" cm="1">
        <f t="array" ref="O25">INDEX('[2]Data 2022 to Oct24'!$E$2:$CJ$41,MATCH($B25,'[2]Data 2022 to Oct24'!$B$2:$B$41),O$23)</f>
        <v>32447.63</v>
      </c>
      <c r="P25" s="3" cm="1">
        <f t="array" ref="P25">INDEX('[2]Data 2022 to Oct24'!$E$2:$CJ$41,MATCH($B25,'[2]Data 2022 to Oct24'!$B$2:$B$41),P$23)</f>
        <v>1227.24</v>
      </c>
      <c r="Q25" s="3" cm="1">
        <f t="array" ref="Q25">INDEX('[2]Data 2022 to Oct24'!$E$2:$CJ$41,MATCH($B25,'[2]Data 2022 to Oct24'!$B$2:$B$41),Q$23)</f>
        <v>-244</v>
      </c>
      <c r="R25" s="3" cm="1">
        <f t="array" ref="R25">INDEX('[2]Data 2022 to Oct24'!$E$2:$CJ$41,MATCH($B25,'[2]Data 2022 to Oct24'!$B$2:$B$41),R$23)</f>
        <v>0</v>
      </c>
      <c r="T25" s="4">
        <f>SUM($G25:G25)</f>
        <v>0</v>
      </c>
      <c r="U25" s="4">
        <f>SUM($G25:H25)</f>
        <v>2844.98</v>
      </c>
      <c r="V25" s="4">
        <f>SUM($G25:I25)</f>
        <v>6412.23</v>
      </c>
      <c r="W25" s="4">
        <f>SUM($G25:J25)</f>
        <v>13809.49</v>
      </c>
      <c r="X25" s="4">
        <f>SUM($G25:K25)</f>
        <v>34269.61</v>
      </c>
      <c r="Y25" s="4">
        <f>SUM($G25:L25)</f>
        <v>81603.61</v>
      </c>
      <c r="Z25" s="4">
        <f>SUM($G25:M25)</f>
        <v>129894.62</v>
      </c>
      <c r="AA25" s="4">
        <f>SUM($G25:N25)</f>
        <v>136845.53</v>
      </c>
      <c r="AB25" s="4">
        <f>SUM($G25:O25)</f>
        <v>169293.16</v>
      </c>
      <c r="AC25" s="4">
        <f>SUM($G25:P25)</f>
        <v>170520.4</v>
      </c>
      <c r="AD25" s="4">
        <f>SUM($G25:Q25)</f>
        <v>170276.4</v>
      </c>
      <c r="AE25" s="4">
        <f>SUM($G25:R25)</f>
        <v>170276.4</v>
      </c>
    </row>
    <row r="26" spans="2:31">
      <c r="B26">
        <v>51172</v>
      </c>
      <c r="C26" t="s">
        <v>64</v>
      </c>
      <c r="D26" t="str">
        <f>VLOOKUP($B26, Mapping!$A:$E, 5, 0)</f>
        <v>Retail</v>
      </c>
      <c r="E26" t="s">
        <v>83</v>
      </c>
      <c r="F26" t="s">
        <v>101</v>
      </c>
      <c r="G26" s="3" cm="1">
        <f t="array" ref="G26">INDEX('[2]Data 2022 to Oct24'!$E$2:$CJ$41,MATCH($B26,'[2]Data 2022 to Oct24'!$B$2:$B$41),G$23)</f>
        <v>633.04</v>
      </c>
      <c r="H26" s="3" cm="1">
        <f t="array" ref="H26">INDEX('[2]Data 2022 to Oct24'!$E$2:$CJ$41,MATCH($B26,'[2]Data 2022 to Oct24'!$B$2:$B$41),H$23)</f>
        <v>663.33</v>
      </c>
      <c r="I26" s="3" cm="1">
        <f t="array" ref="I26">INDEX('[2]Data 2022 to Oct24'!$E$2:$CJ$41,MATCH($B26,'[2]Data 2022 to Oct24'!$B$2:$B$41),I$23)</f>
        <v>1383.37</v>
      </c>
      <c r="J26" s="3" cm="1">
        <f t="array" ref="J26">INDEX('[2]Data 2022 to Oct24'!$E$2:$CJ$41,MATCH($B26,'[2]Data 2022 to Oct24'!$B$2:$B$41),J$23)</f>
        <v>3781.07</v>
      </c>
      <c r="K26" s="3" cm="1">
        <f t="array" ref="K26">INDEX('[2]Data 2022 to Oct24'!$E$2:$CJ$41,MATCH($B26,'[2]Data 2022 to Oct24'!$B$2:$B$41),K$23)</f>
        <v>792.87</v>
      </c>
      <c r="L26" s="3" cm="1">
        <f t="array" ref="L26">INDEX('[2]Data 2022 to Oct24'!$E$2:$CJ$41,MATCH($B26,'[2]Data 2022 to Oct24'!$B$2:$B$41),L$23)</f>
        <v>392.82</v>
      </c>
      <c r="M26" s="3" cm="1">
        <f t="array" ref="M26">INDEX('[2]Data 2022 to Oct24'!$E$2:$CJ$41,MATCH($B26,'[2]Data 2022 to Oct24'!$B$2:$B$41),M$23)</f>
        <v>1221.46</v>
      </c>
      <c r="N26" s="3" cm="1">
        <f t="array" ref="N26">INDEX('[2]Data 2022 to Oct24'!$E$2:$CJ$41,MATCH($B26,'[2]Data 2022 to Oct24'!$B$2:$B$41),N$23)</f>
        <v>1446.19</v>
      </c>
      <c r="O26" s="3" cm="1">
        <f t="array" ref="O26">INDEX('[2]Data 2022 to Oct24'!$E$2:$CJ$41,MATCH($B26,'[2]Data 2022 to Oct24'!$B$2:$B$41),O$23)</f>
        <v>-450.99</v>
      </c>
      <c r="P26" s="3" cm="1">
        <f t="array" ref="P26">INDEX('[2]Data 2022 to Oct24'!$E$2:$CJ$41,MATCH($B26,'[2]Data 2022 to Oct24'!$B$2:$B$41),P$23)</f>
        <v>8032.09</v>
      </c>
      <c r="Q26" s="3" cm="1">
        <f t="array" ref="Q26">INDEX('[2]Data 2022 to Oct24'!$E$2:$CJ$41,MATCH($B26,'[2]Data 2022 to Oct24'!$B$2:$B$41),Q$23)</f>
        <v>6439.28</v>
      </c>
      <c r="R26" s="3" cm="1">
        <f t="array" ref="R26">INDEX('[2]Data 2022 to Oct24'!$E$2:$CJ$41,MATCH($B26,'[2]Data 2022 to Oct24'!$B$2:$B$41),R$23)</f>
        <v>1372.33</v>
      </c>
      <c r="T26" s="4">
        <f>SUM($G26:G26)</f>
        <v>633.04</v>
      </c>
      <c r="U26" s="4">
        <f>SUM($G26:H26)</f>
        <v>1296.3699999999999</v>
      </c>
      <c r="V26" s="4">
        <f>SUM($G26:I26)</f>
        <v>2679.74</v>
      </c>
      <c r="W26" s="4">
        <f>SUM($G26:J26)</f>
        <v>6460.8099999999995</v>
      </c>
      <c r="X26" s="4">
        <f>SUM($G26:K26)</f>
        <v>7253.6799999999994</v>
      </c>
      <c r="Y26" s="4">
        <f>SUM($G26:L26)</f>
        <v>7646.4999999999991</v>
      </c>
      <c r="Z26" s="4">
        <f>SUM($G26:M26)</f>
        <v>8867.9599999999991</v>
      </c>
      <c r="AA26" s="4">
        <f>SUM($G26:N26)</f>
        <v>10314.15</v>
      </c>
      <c r="AB26" s="4">
        <f>SUM($G26:O26)</f>
        <v>9863.16</v>
      </c>
      <c r="AC26" s="4">
        <f>SUM($G26:P26)</f>
        <v>17895.25</v>
      </c>
      <c r="AD26" s="4">
        <f>SUM($G26:Q26)</f>
        <v>24334.53</v>
      </c>
      <c r="AE26" s="4">
        <f>SUM($G26:R26)</f>
        <v>25706.86</v>
      </c>
    </row>
    <row r="27" spans="2:31">
      <c r="B27">
        <v>51175</v>
      </c>
      <c r="C27" t="s">
        <v>66</v>
      </c>
      <c r="D27" t="str">
        <f>VLOOKUP($B27, Mapping!$A:$E, 5, 0)</f>
        <v>eTailers</v>
      </c>
      <c r="E27" t="s">
        <v>83</v>
      </c>
      <c r="F27" t="s">
        <v>101</v>
      </c>
      <c r="G27" s="3" cm="1">
        <f t="array" ref="G27">INDEX('[2]Data 2022 to Oct24'!$E$2:$CJ$41,MATCH($B27,'[2]Data 2022 to Oct24'!$B$2:$B$41),G$23)</f>
        <v>0</v>
      </c>
      <c r="H27" s="3" cm="1">
        <f t="array" ref="H27">INDEX('[2]Data 2022 to Oct24'!$E$2:$CJ$41,MATCH($B27,'[2]Data 2022 to Oct24'!$B$2:$B$41),H$23)</f>
        <v>0</v>
      </c>
      <c r="I27" s="3" cm="1">
        <f t="array" ref="I27">INDEX('[2]Data 2022 to Oct24'!$E$2:$CJ$41,MATCH($B27,'[2]Data 2022 to Oct24'!$B$2:$B$41),I$23)</f>
        <v>0</v>
      </c>
      <c r="J27" s="3" cm="1">
        <f t="array" ref="J27">INDEX('[2]Data 2022 to Oct24'!$E$2:$CJ$41,MATCH($B27,'[2]Data 2022 to Oct24'!$B$2:$B$41),J$23)</f>
        <v>9652.92</v>
      </c>
      <c r="K27" s="3" cm="1">
        <f t="array" ref="K27">INDEX('[2]Data 2022 to Oct24'!$E$2:$CJ$41,MATCH($B27,'[2]Data 2022 to Oct24'!$B$2:$B$41),K$23)</f>
        <v>0</v>
      </c>
      <c r="L27" s="3" cm="1">
        <f t="array" ref="L27">INDEX('[2]Data 2022 to Oct24'!$E$2:$CJ$41,MATCH($B27,'[2]Data 2022 to Oct24'!$B$2:$B$41),L$23)</f>
        <v>0</v>
      </c>
      <c r="M27" s="3" cm="1">
        <f t="array" ref="M27">INDEX('[2]Data 2022 to Oct24'!$E$2:$CJ$41,MATCH($B27,'[2]Data 2022 to Oct24'!$B$2:$B$41),M$23)</f>
        <v>768.75</v>
      </c>
      <c r="N27" s="3" cm="1">
        <f t="array" ref="N27">INDEX('[2]Data 2022 to Oct24'!$E$2:$CJ$41,MATCH($B27,'[2]Data 2022 to Oct24'!$B$2:$B$41),N$23)</f>
        <v>1120.05</v>
      </c>
      <c r="O27" s="3" cm="1">
        <f t="array" ref="O27">INDEX('[2]Data 2022 to Oct24'!$E$2:$CJ$41,MATCH($B27,'[2]Data 2022 to Oct24'!$B$2:$B$41),O$23)</f>
        <v>0</v>
      </c>
      <c r="P27" s="3" cm="1">
        <f t="array" ref="P27">INDEX('[2]Data 2022 to Oct24'!$E$2:$CJ$41,MATCH($B27,'[2]Data 2022 to Oct24'!$B$2:$B$41),P$23)</f>
        <v>-102.48</v>
      </c>
      <c r="Q27" s="3" cm="1">
        <f t="array" ref="Q27">INDEX('[2]Data 2022 to Oct24'!$E$2:$CJ$41,MATCH($B27,'[2]Data 2022 to Oct24'!$B$2:$B$41),Q$23)</f>
        <v>0</v>
      </c>
      <c r="R27" s="3" cm="1">
        <f t="array" ref="R27">INDEX('[2]Data 2022 to Oct24'!$E$2:$CJ$41,MATCH($B27,'[2]Data 2022 to Oct24'!$B$2:$B$41),R$23)</f>
        <v>0</v>
      </c>
      <c r="T27" s="4">
        <f>SUM($G27:G27)</f>
        <v>0</v>
      </c>
      <c r="U27" s="4">
        <f>SUM($G27:H27)</f>
        <v>0</v>
      </c>
      <c r="V27" s="4">
        <f>SUM($G27:I27)</f>
        <v>0</v>
      </c>
      <c r="W27" s="4">
        <f>SUM($G27:J27)</f>
        <v>9652.92</v>
      </c>
      <c r="X27" s="4">
        <f>SUM($G27:K27)</f>
        <v>9652.92</v>
      </c>
      <c r="Y27" s="4">
        <f>SUM($G27:L27)</f>
        <v>9652.92</v>
      </c>
      <c r="Z27" s="4">
        <f>SUM($G27:M27)</f>
        <v>10421.67</v>
      </c>
      <c r="AA27" s="4">
        <f>SUM($G27:N27)</f>
        <v>11541.72</v>
      </c>
      <c r="AB27" s="4">
        <f>SUM($G27:O27)</f>
        <v>11541.72</v>
      </c>
      <c r="AC27" s="4">
        <f>SUM($G27:P27)</f>
        <v>11439.24</v>
      </c>
      <c r="AD27" s="4">
        <f>SUM($G27:Q27)</f>
        <v>11439.24</v>
      </c>
      <c r="AE27" s="4">
        <f>SUM($G27:R27)</f>
        <v>11439.24</v>
      </c>
    </row>
    <row r="28" spans="2:31">
      <c r="B28">
        <v>51176</v>
      </c>
      <c r="C28" t="s">
        <v>67</v>
      </c>
      <c r="D28" t="str">
        <f>VLOOKUP($B28, Mapping!$A:$E, 5, 0)</f>
        <v>eTailers</v>
      </c>
      <c r="E28" t="s">
        <v>83</v>
      </c>
      <c r="F28" t="s">
        <v>101</v>
      </c>
      <c r="G28" s="3" cm="1">
        <f t="array" ref="G28">INDEX('[2]Data 2022 to Oct24'!$E$2:$CJ$41,MATCH($B28,'[2]Data 2022 to Oct24'!$B$2:$B$41),G$23)</f>
        <v>0</v>
      </c>
      <c r="H28" s="3" cm="1">
        <f t="array" ref="H28">INDEX('[2]Data 2022 to Oct24'!$E$2:$CJ$41,MATCH($B28,'[2]Data 2022 to Oct24'!$B$2:$B$41),H$23)</f>
        <v>0</v>
      </c>
      <c r="I28" s="3" cm="1">
        <f t="array" ref="I28">INDEX('[2]Data 2022 to Oct24'!$E$2:$CJ$41,MATCH($B28,'[2]Data 2022 to Oct24'!$B$2:$B$41),I$23)</f>
        <v>0</v>
      </c>
      <c r="J28" s="3" cm="1">
        <f t="array" ref="J28">INDEX('[2]Data 2022 to Oct24'!$E$2:$CJ$41,MATCH($B28,'[2]Data 2022 to Oct24'!$B$2:$B$41),J$23)</f>
        <v>9207.9</v>
      </c>
      <c r="K28" s="3" cm="1">
        <f t="array" ref="K28">INDEX('[2]Data 2022 to Oct24'!$E$2:$CJ$41,MATCH($B28,'[2]Data 2022 to Oct24'!$B$2:$B$41),K$23)</f>
        <v>0</v>
      </c>
      <c r="L28" s="3" cm="1">
        <f t="array" ref="L28">INDEX('[2]Data 2022 to Oct24'!$E$2:$CJ$41,MATCH($B28,'[2]Data 2022 to Oct24'!$B$2:$B$41),L$23)</f>
        <v>0</v>
      </c>
      <c r="M28" s="3" cm="1">
        <f t="array" ref="M28">INDEX('[2]Data 2022 to Oct24'!$E$2:$CJ$41,MATCH($B28,'[2]Data 2022 to Oct24'!$B$2:$B$41),M$23)</f>
        <v>3715.03</v>
      </c>
      <c r="N28" s="3" cm="1">
        <f t="array" ref="N28">INDEX('[2]Data 2022 to Oct24'!$E$2:$CJ$41,MATCH($B28,'[2]Data 2022 to Oct24'!$B$2:$B$41),N$23)</f>
        <v>0</v>
      </c>
      <c r="O28" s="3" cm="1">
        <f t="array" ref="O28">INDEX('[2]Data 2022 to Oct24'!$E$2:$CJ$41,MATCH($B28,'[2]Data 2022 to Oct24'!$B$2:$B$41),O$23)</f>
        <v>0</v>
      </c>
      <c r="P28" s="3" cm="1">
        <f t="array" ref="P28">INDEX('[2]Data 2022 to Oct24'!$E$2:$CJ$41,MATCH($B28,'[2]Data 2022 to Oct24'!$B$2:$B$41),P$23)</f>
        <v>0</v>
      </c>
      <c r="Q28" s="3" cm="1">
        <f t="array" ref="Q28">INDEX('[2]Data 2022 to Oct24'!$E$2:$CJ$41,MATCH($B28,'[2]Data 2022 to Oct24'!$B$2:$B$41),Q$23)</f>
        <v>0</v>
      </c>
      <c r="R28" s="3" cm="1">
        <f t="array" ref="R28">INDEX('[2]Data 2022 to Oct24'!$E$2:$CJ$41,MATCH($B28,'[2]Data 2022 to Oct24'!$B$2:$B$41),R$23)</f>
        <v>0</v>
      </c>
      <c r="T28" s="4">
        <f>SUM($G28:G28)</f>
        <v>0</v>
      </c>
      <c r="U28" s="4">
        <f>SUM($G28:H28)</f>
        <v>0</v>
      </c>
      <c r="V28" s="4">
        <f>SUM($G28:I28)</f>
        <v>0</v>
      </c>
      <c r="W28" s="4">
        <f>SUM($G28:J28)</f>
        <v>9207.9</v>
      </c>
      <c r="X28" s="4">
        <f>SUM($G28:K28)</f>
        <v>9207.9</v>
      </c>
      <c r="Y28" s="4">
        <f>SUM($G28:L28)</f>
        <v>9207.9</v>
      </c>
      <c r="Z28" s="4">
        <f>SUM($G28:M28)</f>
        <v>12922.93</v>
      </c>
      <c r="AA28" s="4">
        <f>SUM($G28:N28)</f>
        <v>12922.93</v>
      </c>
      <c r="AB28" s="4">
        <f>SUM($G28:O28)</f>
        <v>12922.93</v>
      </c>
      <c r="AC28" s="4">
        <f>SUM($G28:P28)</f>
        <v>12922.93</v>
      </c>
      <c r="AD28" s="4">
        <f>SUM($G28:Q28)</f>
        <v>12922.93</v>
      </c>
      <c r="AE28" s="4">
        <f>SUM($G28:R28)</f>
        <v>12922.93</v>
      </c>
    </row>
    <row r="29" spans="2:31">
      <c r="B29">
        <v>51177</v>
      </c>
      <c r="C29" t="s">
        <v>102</v>
      </c>
      <c r="D29" t="str">
        <f>VLOOKUP($B29, Mapping!$A:$E, 5, 0)</f>
        <v>eTailers</v>
      </c>
      <c r="E29" t="s">
        <v>83</v>
      </c>
      <c r="F29" t="s">
        <v>101</v>
      </c>
      <c r="G29" s="3" cm="1">
        <f t="array" ref="G29">INDEX('[2]Data 2022 to Oct24'!$E$2:$CJ$41,MATCH($B29,'[2]Data 2022 to Oct24'!$B$2:$B$41),G$23)</f>
        <v>0</v>
      </c>
      <c r="H29" s="3" cm="1">
        <f t="array" ref="H29">INDEX('[2]Data 2022 to Oct24'!$E$2:$CJ$41,MATCH($B29,'[2]Data 2022 to Oct24'!$B$2:$B$41),H$23)</f>
        <v>0</v>
      </c>
      <c r="I29" s="3" cm="1">
        <f t="array" ref="I29">INDEX('[2]Data 2022 to Oct24'!$E$2:$CJ$41,MATCH($B29,'[2]Data 2022 to Oct24'!$B$2:$B$41),I$23)</f>
        <v>9618.43</v>
      </c>
      <c r="J29" s="3" cm="1">
        <f t="array" ref="J29">INDEX('[2]Data 2022 to Oct24'!$E$2:$CJ$41,MATCH($B29,'[2]Data 2022 to Oct24'!$B$2:$B$41),J$23)</f>
        <v>992.57</v>
      </c>
      <c r="K29" s="3" cm="1">
        <f t="array" ref="K29">INDEX('[2]Data 2022 to Oct24'!$E$2:$CJ$41,MATCH($B29,'[2]Data 2022 to Oct24'!$B$2:$B$41),K$23)</f>
        <v>0</v>
      </c>
      <c r="L29" s="3" cm="1">
        <f t="array" ref="L29">INDEX('[2]Data 2022 to Oct24'!$E$2:$CJ$41,MATCH($B29,'[2]Data 2022 to Oct24'!$B$2:$B$41),L$23)</f>
        <v>0</v>
      </c>
      <c r="M29" s="3" cm="1">
        <f t="array" ref="M29">INDEX('[2]Data 2022 to Oct24'!$E$2:$CJ$41,MATCH($B29,'[2]Data 2022 to Oct24'!$B$2:$B$41),M$23)</f>
        <v>0</v>
      </c>
      <c r="N29" s="3" cm="1">
        <f t="array" ref="N29">INDEX('[2]Data 2022 to Oct24'!$E$2:$CJ$41,MATCH($B29,'[2]Data 2022 to Oct24'!$B$2:$B$41),N$23)</f>
        <v>615</v>
      </c>
      <c r="O29" s="3" cm="1">
        <f t="array" ref="O29">INDEX('[2]Data 2022 to Oct24'!$E$2:$CJ$41,MATCH($B29,'[2]Data 2022 to Oct24'!$B$2:$B$41),O$23)</f>
        <v>0</v>
      </c>
      <c r="P29" s="3" cm="1">
        <f t="array" ref="P29">INDEX('[2]Data 2022 to Oct24'!$E$2:$CJ$41,MATCH($B29,'[2]Data 2022 to Oct24'!$B$2:$B$41),P$23)</f>
        <v>0</v>
      </c>
      <c r="Q29" s="3" cm="1">
        <f t="array" ref="Q29">INDEX('[2]Data 2022 to Oct24'!$E$2:$CJ$41,MATCH($B29,'[2]Data 2022 to Oct24'!$B$2:$B$41),Q$23)</f>
        <v>0</v>
      </c>
      <c r="R29" s="3" cm="1">
        <f t="array" ref="R29">INDEX('[2]Data 2022 to Oct24'!$E$2:$CJ$41,MATCH($B29,'[2]Data 2022 to Oct24'!$B$2:$B$41),R$23)</f>
        <v>0</v>
      </c>
      <c r="T29" s="4">
        <f>SUM($G29:G29)</f>
        <v>0</v>
      </c>
      <c r="U29" s="4">
        <f>SUM($G29:H29)</f>
        <v>0</v>
      </c>
      <c r="V29" s="4">
        <f>SUM($G29:I29)</f>
        <v>9618.43</v>
      </c>
      <c r="W29" s="4">
        <f>SUM($G29:J29)</f>
        <v>10611</v>
      </c>
      <c r="X29" s="4">
        <f>SUM($G29:K29)</f>
        <v>10611</v>
      </c>
      <c r="Y29" s="4">
        <f>SUM($G29:L29)</f>
        <v>10611</v>
      </c>
      <c r="Z29" s="4">
        <f>SUM($G29:M29)</f>
        <v>10611</v>
      </c>
      <c r="AA29" s="4">
        <f>SUM($G29:N29)</f>
        <v>11226</v>
      </c>
      <c r="AB29" s="4">
        <f>SUM($G29:O29)</f>
        <v>11226</v>
      </c>
      <c r="AC29" s="4">
        <f>SUM($G29:P29)</f>
        <v>11226</v>
      </c>
      <c r="AD29" s="4">
        <f>SUM($G29:Q29)</f>
        <v>11226</v>
      </c>
      <c r="AE29" s="4">
        <f>SUM($G29:R29)</f>
        <v>11226</v>
      </c>
    </row>
    <row r="30" spans="2:31">
      <c r="B30">
        <v>51179</v>
      </c>
      <c r="C30" t="s">
        <v>103</v>
      </c>
      <c r="D30" t="str">
        <f>VLOOKUP($B30, Mapping!$A:$E, 5, 0)</f>
        <v>eTailers</v>
      </c>
      <c r="E30" t="s">
        <v>83</v>
      </c>
      <c r="F30" t="s">
        <v>101</v>
      </c>
      <c r="G30" s="3" cm="1">
        <f t="array" ref="G30">INDEX('[2]Data 2022 to Oct24'!$E$2:$CJ$41,MATCH($B30,'[2]Data 2022 to Oct24'!$B$2:$B$41),G$23)</f>
        <v>0</v>
      </c>
      <c r="H30" s="3" cm="1">
        <f t="array" ref="H30">INDEX('[2]Data 2022 to Oct24'!$E$2:$CJ$41,MATCH($B30,'[2]Data 2022 to Oct24'!$B$2:$B$41),H$23)</f>
        <v>0</v>
      </c>
      <c r="I30" s="3" cm="1">
        <f t="array" ref="I30">INDEX('[2]Data 2022 to Oct24'!$E$2:$CJ$41,MATCH($B30,'[2]Data 2022 to Oct24'!$B$2:$B$41),I$23)</f>
        <v>0</v>
      </c>
      <c r="J30" s="3" cm="1">
        <f t="array" ref="J30">INDEX('[2]Data 2022 to Oct24'!$E$2:$CJ$41,MATCH($B30,'[2]Data 2022 to Oct24'!$B$2:$B$41),J$23)</f>
        <v>2422.5100000000002</v>
      </c>
      <c r="K30" s="3" cm="1">
        <f t="array" ref="K30">INDEX('[2]Data 2022 to Oct24'!$E$2:$CJ$41,MATCH($B30,'[2]Data 2022 to Oct24'!$B$2:$B$41),K$23)</f>
        <v>0</v>
      </c>
      <c r="L30" s="3" cm="1">
        <f t="array" ref="L30">INDEX('[2]Data 2022 to Oct24'!$E$2:$CJ$41,MATCH($B30,'[2]Data 2022 to Oct24'!$B$2:$B$41),L$23)</f>
        <v>0</v>
      </c>
      <c r="M30" s="3" cm="1">
        <f t="array" ref="M30">INDEX('[2]Data 2022 to Oct24'!$E$2:$CJ$41,MATCH($B30,'[2]Data 2022 to Oct24'!$B$2:$B$41),M$23)</f>
        <v>210</v>
      </c>
      <c r="N30" s="3" cm="1">
        <f t="array" ref="N30">INDEX('[2]Data 2022 to Oct24'!$E$2:$CJ$41,MATCH($B30,'[2]Data 2022 to Oct24'!$B$2:$B$41),N$23)</f>
        <v>0</v>
      </c>
      <c r="O30" s="3" cm="1">
        <f t="array" ref="O30">INDEX('[2]Data 2022 to Oct24'!$E$2:$CJ$41,MATCH($B30,'[2]Data 2022 to Oct24'!$B$2:$B$41),O$23)</f>
        <v>0</v>
      </c>
      <c r="P30" s="3" cm="1">
        <f t="array" ref="P30">INDEX('[2]Data 2022 to Oct24'!$E$2:$CJ$41,MATCH($B30,'[2]Data 2022 to Oct24'!$B$2:$B$41),P$23)</f>
        <v>0</v>
      </c>
      <c r="Q30" s="3" cm="1">
        <f t="array" ref="Q30">INDEX('[2]Data 2022 to Oct24'!$E$2:$CJ$41,MATCH($B30,'[2]Data 2022 to Oct24'!$B$2:$B$41),Q$23)</f>
        <v>0</v>
      </c>
      <c r="R30" s="3" cm="1">
        <f t="array" ref="R30">INDEX('[2]Data 2022 to Oct24'!$E$2:$CJ$41,MATCH($B30,'[2]Data 2022 to Oct24'!$B$2:$B$41),R$23)</f>
        <v>0</v>
      </c>
      <c r="T30" s="4">
        <f>SUM($G30:G30)</f>
        <v>0</v>
      </c>
      <c r="U30" s="4">
        <f>SUM($G30:H30)</f>
        <v>0</v>
      </c>
      <c r="V30" s="4">
        <f>SUM($G30:I30)</f>
        <v>0</v>
      </c>
      <c r="W30" s="4">
        <f>SUM($G30:J30)</f>
        <v>2422.5100000000002</v>
      </c>
      <c r="X30" s="4">
        <f>SUM($G30:K30)</f>
        <v>2422.5100000000002</v>
      </c>
      <c r="Y30" s="4">
        <f>SUM($G30:L30)</f>
        <v>2422.5100000000002</v>
      </c>
      <c r="Z30" s="4">
        <f>SUM($G30:M30)</f>
        <v>2632.51</v>
      </c>
      <c r="AA30" s="4">
        <f>SUM($G30:N30)</f>
        <v>2632.51</v>
      </c>
      <c r="AB30" s="4">
        <f>SUM($G30:O30)</f>
        <v>2632.51</v>
      </c>
      <c r="AC30" s="4">
        <f>SUM($G30:P30)</f>
        <v>2632.51</v>
      </c>
      <c r="AD30" s="4">
        <f>SUM($G30:Q30)</f>
        <v>2632.51</v>
      </c>
      <c r="AE30" s="4">
        <f>SUM($G30:R30)</f>
        <v>2632.51</v>
      </c>
    </row>
    <row r="31" spans="2:31">
      <c r="B31">
        <v>51183</v>
      </c>
      <c r="C31" t="s">
        <v>65</v>
      </c>
      <c r="D31" t="str">
        <f>VLOOKUP($B31, Mapping!$A:$E, 5, 0)</f>
        <v>Retail</v>
      </c>
      <c r="E31" t="s">
        <v>101</v>
      </c>
      <c r="F31" s="2">
        <v>44866</v>
      </c>
      <c r="G31" s="3" cm="1">
        <f t="array" ref="G31">INDEX('[2]Data 2022 to Oct24'!$E$2:$CJ$41,MATCH($B31,'[2]Data 2022 to Oct24'!$B$2:$B$41),G$23)</f>
        <v>0</v>
      </c>
      <c r="H31" s="3" cm="1">
        <f t="array" ref="H31">INDEX('[2]Data 2022 to Oct24'!$E$2:$CJ$41,MATCH($B31,'[2]Data 2022 to Oct24'!$B$2:$B$41),H$23)</f>
        <v>0</v>
      </c>
      <c r="I31" s="3" cm="1">
        <f t="array" ref="I31">INDEX('[2]Data 2022 to Oct24'!$E$2:$CJ$41,MATCH($B31,'[2]Data 2022 to Oct24'!$B$2:$B$41),I$23)</f>
        <v>0</v>
      </c>
      <c r="J31" s="3" cm="1">
        <f t="array" ref="J31">INDEX('[2]Data 2022 to Oct24'!$E$2:$CJ$41,MATCH($B31,'[2]Data 2022 to Oct24'!$B$2:$B$41),J$23)</f>
        <v>0</v>
      </c>
      <c r="K31" s="3" cm="1">
        <f t="array" ref="K31">INDEX('[2]Data 2022 to Oct24'!$E$2:$CJ$41,MATCH($B31,'[2]Data 2022 to Oct24'!$B$2:$B$41),K$23)</f>
        <v>0</v>
      </c>
      <c r="L31" s="3" cm="1">
        <f t="array" ref="L31">INDEX('[2]Data 2022 to Oct24'!$E$2:$CJ$41,MATCH($B31,'[2]Data 2022 to Oct24'!$B$2:$B$41),L$23)</f>
        <v>0</v>
      </c>
      <c r="M31" s="3" cm="1">
        <f t="array" ref="M31">INDEX('[2]Data 2022 to Oct24'!$E$2:$CJ$41,MATCH($B31,'[2]Data 2022 to Oct24'!$B$2:$B$41),M$23)</f>
        <v>0</v>
      </c>
      <c r="N31" s="3" cm="1">
        <f t="array" ref="N31">INDEX('[2]Data 2022 to Oct24'!$E$2:$CJ$41,MATCH($B31,'[2]Data 2022 to Oct24'!$B$2:$B$41),N$23)</f>
        <v>0</v>
      </c>
      <c r="O31" s="3" cm="1">
        <f t="array" ref="O31">INDEX('[2]Data 2022 to Oct24'!$E$2:$CJ$41,MATCH($B31,'[2]Data 2022 to Oct24'!$B$2:$B$41),O$23)</f>
        <v>0</v>
      </c>
      <c r="P31" s="3" cm="1">
        <f t="array" ref="P31">INDEX('[2]Data 2022 to Oct24'!$E$2:$CJ$41,MATCH($B31,'[2]Data 2022 to Oct24'!$B$2:$B$41),P$23)</f>
        <v>0</v>
      </c>
      <c r="Q31" s="3" cm="1">
        <f t="array" ref="Q31">INDEX('[2]Data 2022 to Oct24'!$E$2:$CJ$41,MATCH($B31,'[2]Data 2022 to Oct24'!$B$2:$B$41),Q$23)</f>
        <v>5062.5600000000004</v>
      </c>
      <c r="R31" s="3" cm="1">
        <f t="array" ref="R31">INDEX('[2]Data 2022 to Oct24'!$E$2:$CJ$41,MATCH($B31,'[2]Data 2022 to Oct24'!$B$2:$B$41),R$23)</f>
        <v>0</v>
      </c>
      <c r="T31" s="4">
        <f>SUM($G31:G31)</f>
        <v>0</v>
      </c>
      <c r="U31" s="4">
        <f>SUM($G31:H31)</f>
        <v>0</v>
      </c>
      <c r="V31" s="4">
        <f>SUM($G31:I31)</f>
        <v>0</v>
      </c>
      <c r="W31" s="4">
        <f>SUM($G31:J31)</f>
        <v>0</v>
      </c>
      <c r="X31" s="4">
        <f>SUM($G31:K31)</f>
        <v>0</v>
      </c>
      <c r="Y31" s="4">
        <f>SUM($G31:L31)</f>
        <v>0</v>
      </c>
      <c r="Z31" s="4">
        <f>SUM($G31:M31)</f>
        <v>0</v>
      </c>
      <c r="AA31" s="4">
        <f>SUM($G31:N31)</f>
        <v>0</v>
      </c>
      <c r="AB31" s="4">
        <f>SUM($G31:O31)</f>
        <v>0</v>
      </c>
      <c r="AC31" s="4">
        <f>SUM($G31:P31)</f>
        <v>0</v>
      </c>
      <c r="AD31" s="4">
        <f>SUM($G31:Q31)</f>
        <v>5062.5600000000004</v>
      </c>
      <c r="AE31" s="4">
        <f>SUM($G31:R31)</f>
        <v>5062.5600000000004</v>
      </c>
    </row>
    <row r="32" spans="2:31">
      <c r="B32">
        <v>51206</v>
      </c>
      <c r="C32" t="s">
        <v>104</v>
      </c>
      <c r="D32" t="str">
        <f>VLOOKUP($B32, Mapping!$A:$E, 5, 0)</f>
        <v>Other</v>
      </c>
      <c r="E32" t="s">
        <v>83</v>
      </c>
      <c r="F32" t="s">
        <v>101</v>
      </c>
      <c r="G32" s="3" cm="1">
        <f t="array" ref="G32">INDEX('[2]Data 2022 to Oct24'!$E$2:$CJ$41,MATCH($B32,'[2]Data 2022 to Oct24'!$B$2:$B$41),G$23)</f>
        <v>0</v>
      </c>
      <c r="H32" s="3" cm="1">
        <f t="array" ref="H32">INDEX('[2]Data 2022 to Oct24'!$E$2:$CJ$41,MATCH($B32,'[2]Data 2022 to Oct24'!$B$2:$B$41),H$23)</f>
        <v>0</v>
      </c>
      <c r="I32" s="3" cm="1">
        <f t="array" ref="I32">INDEX('[2]Data 2022 to Oct24'!$E$2:$CJ$41,MATCH($B32,'[2]Data 2022 to Oct24'!$B$2:$B$41),I$23)</f>
        <v>0</v>
      </c>
      <c r="J32" s="3" cm="1">
        <f t="array" ref="J32">INDEX('[2]Data 2022 to Oct24'!$E$2:$CJ$41,MATCH($B32,'[2]Data 2022 to Oct24'!$B$2:$B$41),J$23)</f>
        <v>0</v>
      </c>
      <c r="K32" s="3" cm="1">
        <f t="array" ref="K32">INDEX('[2]Data 2022 to Oct24'!$E$2:$CJ$41,MATCH($B32,'[2]Data 2022 to Oct24'!$B$2:$B$41),K$23)</f>
        <v>0</v>
      </c>
      <c r="L32" s="3" cm="1">
        <f t="array" ref="L32">INDEX('[2]Data 2022 to Oct24'!$E$2:$CJ$41,MATCH($B32,'[2]Data 2022 to Oct24'!$B$2:$B$41),L$23)</f>
        <v>86.35</v>
      </c>
      <c r="M32" s="3" cm="1">
        <f t="array" ref="M32">INDEX('[2]Data 2022 to Oct24'!$E$2:$CJ$41,MATCH($B32,'[2]Data 2022 to Oct24'!$B$2:$B$41),M$23)</f>
        <v>325.2</v>
      </c>
      <c r="N32" s="3" cm="1">
        <f t="array" ref="N32">INDEX('[2]Data 2022 to Oct24'!$E$2:$CJ$41,MATCH($B32,'[2]Data 2022 to Oct24'!$B$2:$B$41),N$23)</f>
        <v>323.52999999999997</v>
      </c>
      <c r="O32" s="3" cm="1">
        <f t="array" ref="O32">INDEX('[2]Data 2022 to Oct24'!$E$2:$CJ$41,MATCH($B32,'[2]Data 2022 to Oct24'!$B$2:$B$41),O$23)</f>
        <v>0</v>
      </c>
      <c r="P32" s="3" cm="1">
        <f t="array" ref="P32">INDEX('[2]Data 2022 to Oct24'!$E$2:$CJ$41,MATCH($B32,'[2]Data 2022 to Oct24'!$B$2:$B$41),P$23)</f>
        <v>162.30000000000001</v>
      </c>
      <c r="Q32" s="3" cm="1">
        <f t="array" ref="Q32">INDEX('[2]Data 2022 to Oct24'!$E$2:$CJ$41,MATCH($B32,'[2]Data 2022 to Oct24'!$B$2:$B$41),Q$23)</f>
        <v>436.51</v>
      </c>
      <c r="R32" s="3" cm="1">
        <f t="array" ref="R32">INDEX('[2]Data 2022 to Oct24'!$E$2:$CJ$41,MATCH($B32,'[2]Data 2022 to Oct24'!$B$2:$B$41),R$23)</f>
        <v>85.04</v>
      </c>
      <c r="T32" s="4">
        <f>SUM($G32:G32)</f>
        <v>0</v>
      </c>
      <c r="U32" s="4">
        <f>SUM($G32:H32)</f>
        <v>0</v>
      </c>
      <c r="V32" s="4">
        <f>SUM($G32:I32)</f>
        <v>0</v>
      </c>
      <c r="W32" s="4">
        <f>SUM($G32:J32)</f>
        <v>0</v>
      </c>
      <c r="X32" s="4">
        <f>SUM($G32:K32)</f>
        <v>0</v>
      </c>
      <c r="Y32" s="4">
        <f>SUM($G32:L32)</f>
        <v>86.35</v>
      </c>
      <c r="Z32" s="4">
        <f>SUM($G32:M32)</f>
        <v>411.54999999999995</v>
      </c>
      <c r="AA32" s="4">
        <f>SUM($G32:N32)</f>
        <v>735.07999999999993</v>
      </c>
      <c r="AB32" s="4">
        <f>SUM($G32:O32)</f>
        <v>735.07999999999993</v>
      </c>
      <c r="AC32" s="4">
        <f>SUM($G32:P32)</f>
        <v>897.37999999999988</v>
      </c>
      <c r="AD32" s="4">
        <f>SUM($G32:Q32)</f>
        <v>1333.8899999999999</v>
      </c>
      <c r="AE32" s="4">
        <f>SUM($G32:R32)</f>
        <v>1418.9299999999998</v>
      </c>
    </row>
    <row r="33" spans="2:31">
      <c r="B33">
        <v>53008</v>
      </c>
      <c r="C33" t="s">
        <v>105</v>
      </c>
      <c r="D33" t="str">
        <f>VLOOKUP($B33, Mapping!$A:$E, 5, 0)</f>
        <v>Other</v>
      </c>
      <c r="E33" t="s">
        <v>83</v>
      </c>
      <c r="F33" t="s">
        <v>101</v>
      </c>
      <c r="G33" s="3" cm="1">
        <f t="array" ref="G33">INDEX('[2]Data 2022 to Oct24'!$E$2:$CJ$41,MATCH($B33,'[2]Data 2022 to Oct24'!$B$2:$B$41),G$23)</f>
        <v>0</v>
      </c>
      <c r="H33" s="3" cm="1">
        <f t="array" ref="H33">INDEX('[2]Data 2022 to Oct24'!$E$2:$CJ$41,MATCH($B33,'[2]Data 2022 to Oct24'!$B$2:$B$41),H$23)</f>
        <v>0</v>
      </c>
      <c r="I33" s="3" cm="1">
        <f t="array" ref="I33">INDEX('[2]Data 2022 to Oct24'!$E$2:$CJ$41,MATCH($B33,'[2]Data 2022 to Oct24'!$B$2:$B$41),I$23)</f>
        <v>0</v>
      </c>
      <c r="J33" s="3" cm="1">
        <f t="array" ref="J33">INDEX('[2]Data 2022 to Oct24'!$E$2:$CJ$41,MATCH($B33,'[2]Data 2022 to Oct24'!$B$2:$B$41),J$23)</f>
        <v>0</v>
      </c>
      <c r="K33" s="3" cm="1">
        <f t="array" ref="K33">INDEX('[2]Data 2022 to Oct24'!$E$2:$CJ$41,MATCH($B33,'[2]Data 2022 to Oct24'!$B$2:$B$41),K$23)</f>
        <v>0</v>
      </c>
      <c r="L33" s="3" cm="1">
        <f t="array" ref="L33">INDEX('[2]Data 2022 to Oct24'!$E$2:$CJ$41,MATCH($B33,'[2]Data 2022 to Oct24'!$B$2:$B$41),L$23)</f>
        <v>992.89</v>
      </c>
      <c r="M33" s="3" cm="1">
        <f t="array" ref="M33">INDEX('[2]Data 2022 to Oct24'!$E$2:$CJ$41,MATCH($B33,'[2]Data 2022 to Oct24'!$B$2:$B$41),M$23)</f>
        <v>0</v>
      </c>
      <c r="N33" s="3" cm="1">
        <f t="array" ref="N33">INDEX('[2]Data 2022 to Oct24'!$E$2:$CJ$41,MATCH($B33,'[2]Data 2022 to Oct24'!$B$2:$B$41),N$23)</f>
        <v>498.17</v>
      </c>
      <c r="O33" s="3" cm="1">
        <f t="array" ref="O33">INDEX('[2]Data 2022 to Oct24'!$E$2:$CJ$41,MATCH($B33,'[2]Data 2022 to Oct24'!$B$2:$B$41),O$23)</f>
        <v>0</v>
      </c>
      <c r="P33" s="3" cm="1">
        <f t="array" ref="P33">INDEX('[2]Data 2022 to Oct24'!$E$2:$CJ$41,MATCH($B33,'[2]Data 2022 to Oct24'!$B$2:$B$41),P$23)</f>
        <v>0</v>
      </c>
      <c r="Q33" s="3" cm="1">
        <f t="array" ref="Q33">INDEX('[2]Data 2022 to Oct24'!$E$2:$CJ$41,MATCH($B33,'[2]Data 2022 to Oct24'!$B$2:$B$41),Q$23)</f>
        <v>0</v>
      </c>
      <c r="R33" s="3" cm="1">
        <f t="array" ref="R33">INDEX('[2]Data 2022 to Oct24'!$E$2:$CJ$41,MATCH($B33,'[2]Data 2022 to Oct24'!$B$2:$B$41),R$23)</f>
        <v>0</v>
      </c>
      <c r="T33" s="4">
        <f>SUM($G33:G33)</f>
        <v>0</v>
      </c>
      <c r="U33" s="4">
        <f>SUM($G33:H33)</f>
        <v>0</v>
      </c>
      <c r="V33" s="4">
        <f>SUM($G33:I33)</f>
        <v>0</v>
      </c>
      <c r="W33" s="4">
        <f>SUM($G33:J33)</f>
        <v>0</v>
      </c>
      <c r="X33" s="4">
        <f>SUM($G33:K33)</f>
        <v>0</v>
      </c>
      <c r="Y33" s="4">
        <f>SUM($G33:L33)</f>
        <v>992.89</v>
      </c>
      <c r="Z33" s="4">
        <f>SUM($G33:M33)</f>
        <v>992.89</v>
      </c>
      <c r="AA33" s="4">
        <f>SUM($G33:N33)</f>
        <v>1491.06</v>
      </c>
      <c r="AB33" s="4">
        <f>SUM($G33:O33)</f>
        <v>1491.06</v>
      </c>
      <c r="AC33" s="4">
        <f>SUM($G33:P33)</f>
        <v>1491.06</v>
      </c>
      <c r="AD33" s="4">
        <f>SUM($G33:Q33)</f>
        <v>1491.06</v>
      </c>
      <c r="AE33" s="4">
        <f>SUM($G33:R33)</f>
        <v>1491.06</v>
      </c>
    </row>
    <row r="34" spans="2:31">
      <c r="B34">
        <v>53011</v>
      </c>
      <c r="C34" t="s">
        <v>106</v>
      </c>
      <c r="D34" t="str">
        <f>VLOOKUP($B34, Mapping!$A:$E, 5, 0)</f>
        <v>Other</v>
      </c>
      <c r="E34" t="s">
        <v>83</v>
      </c>
      <c r="F34" t="s">
        <v>101</v>
      </c>
      <c r="G34" s="3" cm="1">
        <f t="array" ref="G34">INDEX('[2]Data 2022 to Oct24'!$E$2:$CJ$41,MATCH($B34,'[2]Data 2022 to Oct24'!$B$2:$B$41),G$23)</f>
        <v>0</v>
      </c>
      <c r="H34" s="3" cm="1">
        <f t="array" ref="H34">INDEX('[2]Data 2022 to Oct24'!$E$2:$CJ$41,MATCH($B34,'[2]Data 2022 to Oct24'!$B$2:$B$41),H$23)</f>
        <v>0</v>
      </c>
      <c r="I34" s="3" cm="1">
        <f t="array" ref="I34">INDEX('[2]Data 2022 to Oct24'!$E$2:$CJ$41,MATCH($B34,'[2]Data 2022 to Oct24'!$B$2:$B$41),I$23)</f>
        <v>0</v>
      </c>
      <c r="J34" s="3" cm="1">
        <f t="array" ref="J34">INDEX('[2]Data 2022 to Oct24'!$E$2:$CJ$41,MATCH($B34,'[2]Data 2022 to Oct24'!$B$2:$B$41),J$23)</f>
        <v>0</v>
      </c>
      <c r="K34" s="3" cm="1">
        <f t="array" ref="K34">INDEX('[2]Data 2022 to Oct24'!$E$2:$CJ$41,MATCH($B34,'[2]Data 2022 to Oct24'!$B$2:$B$41),K$23)</f>
        <v>0</v>
      </c>
      <c r="L34" s="3" cm="1">
        <f t="array" ref="L34">INDEX('[2]Data 2022 to Oct24'!$E$2:$CJ$41,MATCH($B34,'[2]Data 2022 to Oct24'!$B$2:$B$41),L$23)</f>
        <v>0</v>
      </c>
      <c r="M34" s="3" cm="1">
        <f t="array" ref="M34">INDEX('[2]Data 2022 to Oct24'!$E$2:$CJ$41,MATCH($B34,'[2]Data 2022 to Oct24'!$B$2:$B$41),M$23)</f>
        <v>0</v>
      </c>
      <c r="N34" s="3" cm="1">
        <f t="array" ref="N34">INDEX('[2]Data 2022 to Oct24'!$E$2:$CJ$41,MATCH($B34,'[2]Data 2022 to Oct24'!$B$2:$B$41),N$23)</f>
        <v>0</v>
      </c>
      <c r="O34" s="3" cm="1">
        <f t="array" ref="O34">INDEX('[2]Data 2022 to Oct24'!$E$2:$CJ$41,MATCH($B34,'[2]Data 2022 to Oct24'!$B$2:$B$41),O$23)</f>
        <v>0</v>
      </c>
      <c r="P34" s="3" cm="1">
        <f t="array" ref="P34">INDEX('[2]Data 2022 to Oct24'!$E$2:$CJ$41,MATCH($B34,'[2]Data 2022 to Oct24'!$B$2:$B$41),P$23)</f>
        <v>0</v>
      </c>
      <c r="Q34" s="3" cm="1">
        <f t="array" ref="Q34">INDEX('[2]Data 2022 to Oct24'!$E$2:$CJ$41,MATCH($B34,'[2]Data 2022 to Oct24'!$B$2:$B$41),Q$23)</f>
        <v>0</v>
      </c>
      <c r="R34" s="3" cm="1">
        <f t="array" ref="R34">INDEX('[2]Data 2022 to Oct24'!$E$2:$CJ$41,MATCH($B34,'[2]Data 2022 to Oct24'!$B$2:$B$41),R$23)</f>
        <v>0</v>
      </c>
      <c r="T34" s="4">
        <f>SUM($G34:G34)</f>
        <v>0</v>
      </c>
      <c r="U34" s="4">
        <f>SUM($G34:H34)</f>
        <v>0</v>
      </c>
      <c r="V34" s="4">
        <f>SUM($G34:I34)</f>
        <v>0</v>
      </c>
      <c r="W34" s="4">
        <f>SUM($G34:J34)</f>
        <v>0</v>
      </c>
      <c r="X34" s="4">
        <f>SUM($G34:K34)</f>
        <v>0</v>
      </c>
      <c r="Y34" s="4">
        <f>SUM($G34:L34)</f>
        <v>0</v>
      </c>
      <c r="Z34" s="4">
        <f>SUM($G34:M34)</f>
        <v>0</v>
      </c>
      <c r="AA34" s="4">
        <f>SUM($G34:N34)</f>
        <v>0</v>
      </c>
      <c r="AB34" s="4">
        <f>SUM($G34:O34)</f>
        <v>0</v>
      </c>
      <c r="AC34" s="4">
        <f>SUM($G34:P34)</f>
        <v>0</v>
      </c>
      <c r="AD34" s="4">
        <f>SUM($G34:Q34)</f>
        <v>0</v>
      </c>
      <c r="AE34" s="4">
        <f>SUM($G34:R34)</f>
        <v>0</v>
      </c>
    </row>
    <row r="35" spans="2:31">
      <c r="B35">
        <v>53012</v>
      </c>
      <c r="C35" t="s">
        <v>107</v>
      </c>
      <c r="D35" t="str">
        <f>VLOOKUP($B35, Mapping!$A:$E, 5, 0)</f>
        <v>Other</v>
      </c>
      <c r="E35" t="s">
        <v>83</v>
      </c>
      <c r="F35" t="s">
        <v>101</v>
      </c>
      <c r="G35" s="3" cm="1">
        <f t="array" ref="G35">INDEX('[2]Data 2022 to Oct24'!$E$2:$CJ$41,MATCH($B35,'[2]Data 2022 to Oct24'!$B$2:$B$41),G$23)</f>
        <v>0</v>
      </c>
      <c r="H35" s="3" cm="1">
        <f t="array" ref="H35">INDEX('[2]Data 2022 to Oct24'!$E$2:$CJ$41,MATCH($B35,'[2]Data 2022 to Oct24'!$B$2:$B$41),H$23)</f>
        <v>0</v>
      </c>
      <c r="I35" s="3" cm="1">
        <f t="array" ref="I35">INDEX('[2]Data 2022 to Oct24'!$E$2:$CJ$41,MATCH($B35,'[2]Data 2022 to Oct24'!$B$2:$B$41),I$23)</f>
        <v>0</v>
      </c>
      <c r="J35" s="3" cm="1">
        <f t="array" ref="J35">INDEX('[2]Data 2022 to Oct24'!$E$2:$CJ$41,MATCH($B35,'[2]Data 2022 to Oct24'!$B$2:$B$41),J$23)</f>
        <v>0</v>
      </c>
      <c r="K35" s="3" cm="1">
        <f t="array" ref="K35">INDEX('[2]Data 2022 to Oct24'!$E$2:$CJ$41,MATCH($B35,'[2]Data 2022 to Oct24'!$B$2:$B$41),K$23)</f>
        <v>0</v>
      </c>
      <c r="L35" s="3" cm="1">
        <f t="array" ref="L35">INDEX('[2]Data 2022 to Oct24'!$E$2:$CJ$41,MATCH($B35,'[2]Data 2022 to Oct24'!$B$2:$B$41),L$23)</f>
        <v>0</v>
      </c>
      <c r="M35" s="3" cm="1">
        <f t="array" ref="M35">INDEX('[2]Data 2022 to Oct24'!$E$2:$CJ$41,MATCH($B35,'[2]Data 2022 to Oct24'!$B$2:$B$41),M$23)</f>
        <v>0</v>
      </c>
      <c r="N35" s="3" cm="1">
        <f t="array" ref="N35">INDEX('[2]Data 2022 to Oct24'!$E$2:$CJ$41,MATCH($B35,'[2]Data 2022 to Oct24'!$B$2:$B$41),N$23)</f>
        <v>0</v>
      </c>
      <c r="O35" s="3" cm="1">
        <f t="array" ref="O35">INDEX('[2]Data 2022 to Oct24'!$E$2:$CJ$41,MATCH($B35,'[2]Data 2022 to Oct24'!$B$2:$B$41),O$23)</f>
        <v>0</v>
      </c>
      <c r="P35" s="3" cm="1">
        <f t="array" ref="P35">INDEX('[2]Data 2022 to Oct24'!$E$2:$CJ$41,MATCH($B35,'[2]Data 2022 to Oct24'!$B$2:$B$41),P$23)</f>
        <v>0</v>
      </c>
      <c r="Q35" s="3" cm="1">
        <f t="array" ref="Q35">INDEX('[2]Data 2022 to Oct24'!$E$2:$CJ$41,MATCH($B35,'[2]Data 2022 to Oct24'!$B$2:$B$41),Q$23)</f>
        <v>0</v>
      </c>
      <c r="R35" s="3" cm="1">
        <f t="array" ref="R35">INDEX('[2]Data 2022 to Oct24'!$E$2:$CJ$41,MATCH($B35,'[2]Data 2022 to Oct24'!$B$2:$B$41),R$23)</f>
        <v>0</v>
      </c>
      <c r="T35" s="4">
        <f>SUM($G35:G35)</f>
        <v>0</v>
      </c>
      <c r="U35" s="4">
        <f>SUM($G35:H35)</f>
        <v>0</v>
      </c>
      <c r="V35" s="4">
        <f>SUM($G35:I35)</f>
        <v>0</v>
      </c>
      <c r="W35" s="4">
        <f>SUM($G35:J35)</f>
        <v>0</v>
      </c>
      <c r="X35" s="4">
        <f>SUM($G35:K35)</f>
        <v>0</v>
      </c>
      <c r="Y35" s="4">
        <f>SUM($G35:L35)</f>
        <v>0</v>
      </c>
      <c r="Z35" s="4">
        <f>SUM($G35:M35)</f>
        <v>0</v>
      </c>
      <c r="AA35" s="4">
        <f>SUM($G35:N35)</f>
        <v>0</v>
      </c>
      <c r="AB35" s="4">
        <f>SUM($G35:O35)</f>
        <v>0</v>
      </c>
      <c r="AC35" s="4">
        <f>SUM($G35:P35)</f>
        <v>0</v>
      </c>
      <c r="AD35" s="4">
        <f>SUM($G35:Q35)</f>
        <v>0</v>
      </c>
      <c r="AE35" s="4">
        <f>SUM($G35:R35)</f>
        <v>0</v>
      </c>
    </row>
    <row r="36" spans="2:31">
      <c r="B36">
        <v>59100</v>
      </c>
      <c r="C36" t="s">
        <v>108</v>
      </c>
      <c r="D36" t="str">
        <f>VLOOKUP($B36, Mapping!$A:$E, 5, 0)</f>
        <v>Other</v>
      </c>
      <c r="E36" t="s">
        <v>83</v>
      </c>
      <c r="F36" t="s">
        <v>101</v>
      </c>
      <c r="G36" s="3" cm="1">
        <f t="array" ref="G36">INDEX('[2]Data 2022 to Oct24'!$E$2:$CJ$41,MATCH($B36,'[2]Data 2022 to Oct24'!$B$2:$B$41),G$23)</f>
        <v>8241.64</v>
      </c>
      <c r="H36" s="3" cm="1">
        <f t="array" ref="H36">INDEX('[2]Data 2022 to Oct24'!$E$2:$CJ$41,MATCH($B36,'[2]Data 2022 to Oct24'!$B$2:$B$41),H$23)</f>
        <v>9477.32</v>
      </c>
      <c r="I36" s="3" cm="1">
        <f t="array" ref="I36">INDEX('[2]Data 2022 to Oct24'!$E$2:$CJ$41,MATCH($B36,'[2]Data 2022 to Oct24'!$B$2:$B$41),I$23)</f>
        <v>6938.66</v>
      </c>
      <c r="J36" s="3" cm="1">
        <f t="array" ref="J36">INDEX('[2]Data 2022 to Oct24'!$E$2:$CJ$41,MATCH($B36,'[2]Data 2022 to Oct24'!$B$2:$B$41),J$23)</f>
        <v>6718.17</v>
      </c>
      <c r="K36" s="3" cm="1">
        <f t="array" ref="K36">INDEX('[2]Data 2022 to Oct24'!$E$2:$CJ$41,MATCH($B36,'[2]Data 2022 to Oct24'!$B$2:$B$41),K$23)</f>
        <v>5044.32</v>
      </c>
      <c r="L36" s="3" cm="1">
        <f t="array" ref="L36">INDEX('[2]Data 2022 to Oct24'!$E$2:$CJ$41,MATCH($B36,'[2]Data 2022 to Oct24'!$B$2:$B$41),L$23)</f>
        <v>6972.82</v>
      </c>
      <c r="M36" s="3" cm="1">
        <f t="array" ref="M36">INDEX('[2]Data 2022 to Oct24'!$E$2:$CJ$41,MATCH($B36,'[2]Data 2022 to Oct24'!$B$2:$B$41),M$23)</f>
        <v>7275.58</v>
      </c>
      <c r="N36" s="3" cm="1">
        <f t="array" ref="N36">INDEX('[2]Data 2022 to Oct24'!$E$2:$CJ$41,MATCH($B36,'[2]Data 2022 to Oct24'!$B$2:$B$41),N$23)</f>
        <v>4339.83</v>
      </c>
      <c r="O36" s="3" cm="1">
        <f t="array" ref="O36">INDEX('[2]Data 2022 to Oct24'!$E$2:$CJ$41,MATCH($B36,'[2]Data 2022 to Oct24'!$B$2:$B$41),O$23)</f>
        <v>5940.82</v>
      </c>
      <c r="P36" s="3" cm="1">
        <f t="array" ref="P36">INDEX('[2]Data 2022 to Oct24'!$E$2:$CJ$41,MATCH($B36,'[2]Data 2022 to Oct24'!$B$2:$B$41),P$23)</f>
        <v>5446.59</v>
      </c>
      <c r="Q36" s="3" cm="1">
        <f t="array" ref="Q36">INDEX('[2]Data 2022 to Oct24'!$E$2:$CJ$41,MATCH($B36,'[2]Data 2022 to Oct24'!$B$2:$B$41),Q$23)</f>
        <v>6069.91</v>
      </c>
      <c r="R36" s="3" cm="1">
        <f t="array" ref="R36">INDEX('[2]Data 2022 to Oct24'!$E$2:$CJ$41,MATCH($B36,'[2]Data 2022 to Oct24'!$B$2:$B$41),R$23)</f>
        <v>4891.66</v>
      </c>
      <c r="T36" s="4">
        <f>SUM($G36:G36)</f>
        <v>8241.64</v>
      </c>
      <c r="U36" s="4">
        <f>SUM($G36:H36)</f>
        <v>17718.96</v>
      </c>
      <c r="V36" s="4">
        <f>SUM($G36:I36)</f>
        <v>24657.62</v>
      </c>
      <c r="W36" s="4">
        <f>SUM($G36:J36)</f>
        <v>31375.79</v>
      </c>
      <c r="X36" s="4">
        <f>SUM($G36:K36)</f>
        <v>36420.11</v>
      </c>
      <c r="Y36" s="4">
        <f>SUM($G36:L36)</f>
        <v>43392.93</v>
      </c>
      <c r="Z36" s="4">
        <f>SUM($G36:M36)</f>
        <v>50668.51</v>
      </c>
      <c r="AA36" s="4">
        <f>SUM($G36:N36)</f>
        <v>55008.340000000004</v>
      </c>
      <c r="AB36" s="4">
        <f>SUM($G36:O36)</f>
        <v>60949.16</v>
      </c>
      <c r="AC36" s="4">
        <f>SUM($G36:P36)</f>
        <v>66395.75</v>
      </c>
      <c r="AD36" s="4">
        <f>SUM($G36:Q36)</f>
        <v>72465.66</v>
      </c>
      <c r="AE36" s="4">
        <f>SUM($G36:R36)</f>
        <v>77357.320000000007</v>
      </c>
    </row>
    <row r="37" spans="2:31">
      <c r="B37">
        <v>59200</v>
      </c>
      <c r="C37" t="s">
        <v>109</v>
      </c>
      <c r="D37" t="str">
        <f>VLOOKUP($B37, Mapping!$A:$E, 5, 0)</f>
        <v>Other</v>
      </c>
      <c r="E37" t="s">
        <v>83</v>
      </c>
      <c r="F37" t="s">
        <v>101</v>
      </c>
      <c r="G37" s="3" cm="1">
        <f t="array" ref="G37">INDEX('[2]Data 2022 to Oct24'!$E$2:$CJ$41,MATCH($B37,'[2]Data 2022 to Oct24'!$B$2:$B$41),G$23)</f>
        <v>4279</v>
      </c>
      <c r="H37" s="3" cm="1">
        <f t="array" ref="H37">INDEX('[2]Data 2022 to Oct24'!$E$2:$CJ$41,MATCH($B37,'[2]Data 2022 to Oct24'!$B$2:$B$41),H$23)</f>
        <v>4417.95</v>
      </c>
      <c r="I37" s="3" cm="1">
        <f t="array" ref="I37">INDEX('[2]Data 2022 to Oct24'!$E$2:$CJ$41,MATCH($B37,'[2]Data 2022 to Oct24'!$B$2:$B$41),I$23)</f>
        <v>768.95</v>
      </c>
      <c r="J37" s="3" cm="1">
        <f t="array" ref="J37">INDEX('[2]Data 2022 to Oct24'!$E$2:$CJ$41,MATCH($B37,'[2]Data 2022 to Oct24'!$B$2:$B$41),J$23)</f>
        <v>1654.5</v>
      </c>
      <c r="K37" s="3" cm="1">
        <f t="array" ref="K37">INDEX('[2]Data 2022 to Oct24'!$E$2:$CJ$41,MATCH($B37,'[2]Data 2022 to Oct24'!$B$2:$B$41),K$23)</f>
        <v>175</v>
      </c>
      <c r="L37" s="3" cm="1">
        <f t="array" ref="L37">INDEX('[2]Data 2022 to Oct24'!$E$2:$CJ$41,MATCH($B37,'[2]Data 2022 to Oct24'!$B$2:$B$41),L$23)</f>
        <v>1163.3499999999999</v>
      </c>
      <c r="M37" s="3" cm="1">
        <f t="array" ref="M37">INDEX('[2]Data 2022 to Oct24'!$E$2:$CJ$41,MATCH($B37,'[2]Data 2022 to Oct24'!$B$2:$B$41),M$23)</f>
        <v>253</v>
      </c>
      <c r="N37" s="3" cm="1">
        <f t="array" ref="N37">INDEX('[2]Data 2022 to Oct24'!$E$2:$CJ$41,MATCH($B37,'[2]Data 2022 to Oct24'!$B$2:$B$41),N$23)</f>
        <v>58</v>
      </c>
      <c r="O37" s="3" cm="1">
        <f t="array" ref="O37">INDEX('[2]Data 2022 to Oct24'!$E$2:$CJ$41,MATCH($B37,'[2]Data 2022 to Oct24'!$B$2:$B$41),O$23)</f>
        <v>844</v>
      </c>
      <c r="P37" s="3" cm="1">
        <f t="array" ref="P37">INDEX('[2]Data 2022 to Oct24'!$E$2:$CJ$41,MATCH($B37,'[2]Data 2022 to Oct24'!$B$2:$B$41),P$23)</f>
        <v>1985</v>
      </c>
      <c r="Q37" s="3" cm="1">
        <f t="array" ref="Q37">INDEX('[2]Data 2022 to Oct24'!$E$2:$CJ$41,MATCH($B37,'[2]Data 2022 to Oct24'!$B$2:$B$41),Q$23)</f>
        <v>1948</v>
      </c>
      <c r="R37" s="3" cm="1">
        <f t="array" ref="R37">INDEX('[2]Data 2022 to Oct24'!$E$2:$CJ$41,MATCH($B37,'[2]Data 2022 to Oct24'!$B$2:$B$41),R$23)</f>
        <v>994</v>
      </c>
      <c r="T37" s="4">
        <f>SUM($G37:G37)</f>
        <v>4279</v>
      </c>
      <c r="U37" s="4">
        <f>SUM($G37:H37)</f>
        <v>8696.9500000000007</v>
      </c>
      <c r="V37" s="4">
        <f>SUM($G37:I37)</f>
        <v>9465.9000000000015</v>
      </c>
      <c r="W37" s="4">
        <f>SUM($G37:J37)</f>
        <v>11120.400000000001</v>
      </c>
      <c r="X37" s="4">
        <f>SUM($G37:K37)</f>
        <v>11295.400000000001</v>
      </c>
      <c r="Y37" s="4">
        <f>SUM($G37:L37)</f>
        <v>12458.750000000002</v>
      </c>
      <c r="Z37" s="4">
        <f>SUM($G37:M37)</f>
        <v>12711.750000000002</v>
      </c>
      <c r="AA37" s="4">
        <f>SUM($G37:N37)</f>
        <v>12769.750000000002</v>
      </c>
      <c r="AB37" s="4">
        <f>SUM($G37:O37)</f>
        <v>13613.750000000002</v>
      </c>
      <c r="AC37" s="4">
        <f>SUM($G37:P37)</f>
        <v>15598.750000000002</v>
      </c>
      <c r="AD37" s="4">
        <f>SUM($G37:Q37)</f>
        <v>17546.75</v>
      </c>
      <c r="AE37" s="4">
        <f>SUM($G37:R37)</f>
        <v>18540.75</v>
      </c>
    </row>
    <row r="38" spans="2:31">
      <c r="B38">
        <v>51202</v>
      </c>
      <c r="C38" t="s">
        <v>110</v>
      </c>
      <c r="D38" t="str">
        <f>VLOOKUP($B38, Mapping!$A:$E, 5, 0)</f>
        <v>Other</v>
      </c>
      <c r="E38" t="s">
        <v>83</v>
      </c>
      <c r="F38" t="s">
        <v>101</v>
      </c>
      <c r="G38" s="3" cm="1">
        <f t="array" ref="G38">INDEX('[2]Data 2022 to Oct24'!$E$2:$CJ$41,MATCH($B38,'[2]Data 2022 to Oct24'!$B$2:$B$41),G$23)</f>
        <v>0</v>
      </c>
      <c r="H38" s="3" cm="1">
        <f t="array" ref="H38">INDEX('[2]Data 2022 to Oct24'!$E$2:$CJ$41,MATCH($B38,'[2]Data 2022 to Oct24'!$B$2:$B$41),H$23)</f>
        <v>0</v>
      </c>
      <c r="I38" s="3" cm="1">
        <f t="array" ref="I38">INDEX('[2]Data 2022 to Oct24'!$E$2:$CJ$41,MATCH($B38,'[2]Data 2022 to Oct24'!$B$2:$B$41),I$23)</f>
        <v>0</v>
      </c>
      <c r="J38" s="3" cm="1">
        <f t="array" ref="J38">INDEX('[2]Data 2022 to Oct24'!$E$2:$CJ$41,MATCH($B38,'[2]Data 2022 to Oct24'!$B$2:$B$41),J$23)</f>
        <v>0</v>
      </c>
      <c r="K38" s="3" cm="1">
        <f t="array" ref="K38">INDEX('[2]Data 2022 to Oct24'!$E$2:$CJ$41,MATCH($B38,'[2]Data 2022 to Oct24'!$B$2:$B$41),K$23)</f>
        <v>0</v>
      </c>
      <c r="L38" s="3" cm="1">
        <f t="array" ref="L38">INDEX('[2]Data 2022 to Oct24'!$E$2:$CJ$41,MATCH($B38,'[2]Data 2022 to Oct24'!$B$2:$B$41),L$23)</f>
        <v>0</v>
      </c>
      <c r="M38" s="3" cm="1">
        <f t="array" ref="M38">INDEX('[2]Data 2022 to Oct24'!$E$2:$CJ$41,MATCH($B38,'[2]Data 2022 to Oct24'!$B$2:$B$41),M$23)</f>
        <v>0</v>
      </c>
      <c r="N38" s="3" cm="1">
        <f t="array" ref="N38">INDEX('[2]Data 2022 to Oct24'!$E$2:$CJ$41,MATCH($B38,'[2]Data 2022 to Oct24'!$B$2:$B$41),N$23)</f>
        <v>0</v>
      </c>
      <c r="O38" s="3" cm="1">
        <f t="array" ref="O38">INDEX('[2]Data 2022 to Oct24'!$E$2:$CJ$41,MATCH($B38,'[2]Data 2022 to Oct24'!$B$2:$B$41),O$23)</f>
        <v>0</v>
      </c>
      <c r="P38" s="3" cm="1">
        <f t="array" ref="P38">INDEX('[2]Data 2022 to Oct24'!$E$2:$CJ$41,MATCH($B38,'[2]Data 2022 to Oct24'!$B$2:$B$41),P$23)</f>
        <v>0</v>
      </c>
      <c r="Q38" s="3" cm="1">
        <f t="array" ref="Q38">INDEX('[2]Data 2022 to Oct24'!$E$2:$CJ$41,MATCH($B38,'[2]Data 2022 to Oct24'!$B$2:$B$41),Q$23)</f>
        <v>0</v>
      </c>
      <c r="R38" s="3" cm="1">
        <f t="array" ref="R38">INDEX('[2]Data 2022 to Oct24'!$E$2:$CJ$41,MATCH($B38,'[2]Data 2022 to Oct24'!$B$2:$B$41),R$23)</f>
        <v>0</v>
      </c>
      <c r="T38" s="4">
        <f>SUM($G38:G38)</f>
        <v>0</v>
      </c>
      <c r="U38" s="4">
        <f>SUM($G38:H38)</f>
        <v>0</v>
      </c>
      <c r="V38" s="4">
        <f>SUM($G38:I38)</f>
        <v>0</v>
      </c>
      <c r="W38" s="4">
        <f>SUM($G38:J38)</f>
        <v>0</v>
      </c>
      <c r="X38" s="4">
        <f>SUM($G38:K38)</f>
        <v>0</v>
      </c>
      <c r="Y38" s="4">
        <f>SUM($G38:L38)</f>
        <v>0</v>
      </c>
      <c r="Z38" s="4">
        <f>SUM($G38:M38)</f>
        <v>0</v>
      </c>
      <c r="AA38" s="4">
        <f>SUM($G38:N38)</f>
        <v>0</v>
      </c>
      <c r="AB38" s="4">
        <f>SUM($G38:O38)</f>
        <v>0</v>
      </c>
      <c r="AC38" s="4">
        <f>SUM($G38:P38)</f>
        <v>0</v>
      </c>
      <c r="AD38" s="4">
        <f>SUM($G38:Q38)</f>
        <v>0</v>
      </c>
      <c r="AE38" s="4">
        <f>SUM($G38:R38)</f>
        <v>0</v>
      </c>
    </row>
    <row r="39" spans="2:31">
      <c r="B39">
        <v>51180</v>
      </c>
      <c r="C39" t="s">
        <v>111</v>
      </c>
      <c r="D39" t="str">
        <f>VLOOKUP($B39, Mapping!$A:$E, 5, 0)</f>
        <v>eTailers</v>
      </c>
      <c r="E39" t="s">
        <v>83</v>
      </c>
      <c r="F39" t="s">
        <v>101</v>
      </c>
      <c r="G39" s="3" cm="1">
        <f t="array" ref="G39">INDEX('[2]Data 2022 to Oct24'!$E$2:$CJ$41,MATCH($B39,'[2]Data 2022 to Oct24'!$B$2:$B$41),G$23)</f>
        <v>0</v>
      </c>
      <c r="H39" s="3" cm="1">
        <f t="array" ref="H39">INDEX('[2]Data 2022 to Oct24'!$E$2:$CJ$41,MATCH($B39,'[2]Data 2022 to Oct24'!$B$2:$B$41),H$23)</f>
        <v>0</v>
      </c>
      <c r="I39" s="3" cm="1">
        <f t="array" ref="I39">INDEX('[2]Data 2022 to Oct24'!$E$2:$CJ$41,MATCH($B39,'[2]Data 2022 to Oct24'!$B$2:$B$41),I$23)</f>
        <v>0</v>
      </c>
      <c r="J39" s="3" cm="1">
        <f t="array" ref="J39">INDEX('[2]Data 2022 to Oct24'!$E$2:$CJ$41,MATCH($B39,'[2]Data 2022 to Oct24'!$B$2:$B$41),J$23)</f>
        <v>9457.7800000000007</v>
      </c>
      <c r="K39" s="3" cm="1">
        <f t="array" ref="K39">INDEX('[2]Data 2022 to Oct24'!$E$2:$CJ$41,MATCH($B39,'[2]Data 2022 to Oct24'!$B$2:$B$41),K$23)</f>
        <v>0</v>
      </c>
      <c r="L39" s="3" cm="1">
        <f t="array" ref="L39">INDEX('[2]Data 2022 to Oct24'!$E$2:$CJ$41,MATCH($B39,'[2]Data 2022 to Oct24'!$B$2:$B$41),L$23)</f>
        <v>0</v>
      </c>
      <c r="M39" s="3" cm="1">
        <f t="array" ref="M39">INDEX('[2]Data 2022 to Oct24'!$E$2:$CJ$41,MATCH($B39,'[2]Data 2022 to Oct24'!$B$2:$B$41),M$23)</f>
        <v>0</v>
      </c>
      <c r="N39" s="3" cm="1">
        <f t="array" ref="N39">INDEX('[2]Data 2022 to Oct24'!$E$2:$CJ$41,MATCH($B39,'[2]Data 2022 to Oct24'!$B$2:$B$41),N$23)</f>
        <v>-17.28</v>
      </c>
      <c r="O39" s="3" cm="1">
        <f t="array" ref="O39">INDEX('[2]Data 2022 to Oct24'!$E$2:$CJ$41,MATCH($B39,'[2]Data 2022 to Oct24'!$B$2:$B$41),O$23)</f>
        <v>0</v>
      </c>
      <c r="P39" s="3" cm="1">
        <f t="array" ref="P39">INDEX('[2]Data 2022 to Oct24'!$E$2:$CJ$41,MATCH($B39,'[2]Data 2022 to Oct24'!$B$2:$B$41),P$23)</f>
        <v>0</v>
      </c>
      <c r="Q39" s="3" cm="1">
        <f t="array" ref="Q39">INDEX('[2]Data 2022 to Oct24'!$E$2:$CJ$41,MATCH($B39,'[2]Data 2022 to Oct24'!$B$2:$B$41),Q$23)</f>
        <v>0</v>
      </c>
      <c r="R39" s="3" cm="1">
        <f t="array" ref="R39">INDEX('[2]Data 2022 to Oct24'!$E$2:$CJ$41,MATCH($B39,'[2]Data 2022 to Oct24'!$B$2:$B$41),R$23)</f>
        <v>0</v>
      </c>
      <c r="T39" s="4">
        <f>SUM($G39:G39)</f>
        <v>0</v>
      </c>
      <c r="U39" s="4">
        <f>SUM($G39:H39)</f>
        <v>0</v>
      </c>
      <c r="V39" s="4">
        <f>SUM($G39:I39)</f>
        <v>0</v>
      </c>
      <c r="W39" s="4">
        <f>SUM($G39:J39)</f>
        <v>9457.7800000000007</v>
      </c>
      <c r="X39" s="4">
        <f>SUM($G39:K39)</f>
        <v>9457.7800000000007</v>
      </c>
      <c r="Y39" s="4">
        <f>SUM($G39:L39)</f>
        <v>9457.7800000000007</v>
      </c>
      <c r="Z39" s="4">
        <f>SUM($G39:M39)</f>
        <v>9457.7800000000007</v>
      </c>
      <c r="AA39" s="4">
        <f>SUM($G39:N39)</f>
        <v>9440.5</v>
      </c>
      <c r="AB39" s="4">
        <f>SUM($G39:O39)</f>
        <v>9440.5</v>
      </c>
      <c r="AC39" s="4">
        <f>SUM($G39:P39)</f>
        <v>9440.5</v>
      </c>
      <c r="AD39" s="4">
        <f>SUM($G39:Q39)</f>
        <v>9440.5</v>
      </c>
      <c r="AE39" s="4">
        <f>SUM($G39:R39)</f>
        <v>9440.5</v>
      </c>
    </row>
    <row r="40" spans="2:31">
      <c r="B40">
        <v>51207</v>
      </c>
      <c r="C40" t="s">
        <v>112</v>
      </c>
      <c r="D40" t="str">
        <f>VLOOKUP($B40, Mapping!$A:$E, 5, 0)</f>
        <v>Other</v>
      </c>
      <c r="E40" t="s">
        <v>83</v>
      </c>
      <c r="F40" t="s">
        <v>101</v>
      </c>
      <c r="G40" s="3" cm="1">
        <f t="array" ref="G40">INDEX('[2]Data 2022 to Oct24'!$E$2:$CJ$41,MATCH($B40,'[2]Data 2022 to Oct24'!$B$2:$B$41),G$23)</f>
        <v>0</v>
      </c>
      <c r="H40" s="3" cm="1">
        <f t="array" ref="H40">INDEX('[2]Data 2022 to Oct24'!$E$2:$CJ$41,MATCH($B40,'[2]Data 2022 to Oct24'!$B$2:$B$41),H$23)</f>
        <v>0</v>
      </c>
      <c r="I40" s="3" cm="1">
        <f t="array" ref="I40">INDEX('[2]Data 2022 to Oct24'!$E$2:$CJ$41,MATCH($B40,'[2]Data 2022 to Oct24'!$B$2:$B$41),I$23)</f>
        <v>0</v>
      </c>
      <c r="J40" s="3" cm="1">
        <f t="array" ref="J40">INDEX('[2]Data 2022 to Oct24'!$E$2:$CJ$41,MATCH($B40,'[2]Data 2022 to Oct24'!$B$2:$B$41),J$23)</f>
        <v>0</v>
      </c>
      <c r="K40" s="3" cm="1">
        <f t="array" ref="K40">INDEX('[2]Data 2022 to Oct24'!$E$2:$CJ$41,MATCH($B40,'[2]Data 2022 to Oct24'!$B$2:$B$41),K$23)</f>
        <v>0</v>
      </c>
      <c r="L40" s="3" cm="1">
        <f t="array" ref="L40">INDEX('[2]Data 2022 to Oct24'!$E$2:$CJ$41,MATCH($B40,'[2]Data 2022 to Oct24'!$B$2:$B$41),L$23)</f>
        <v>0</v>
      </c>
      <c r="M40" s="3" cm="1">
        <f t="array" ref="M40">INDEX('[2]Data 2022 to Oct24'!$E$2:$CJ$41,MATCH($B40,'[2]Data 2022 to Oct24'!$B$2:$B$41),M$23)</f>
        <v>0</v>
      </c>
      <c r="N40" s="3" cm="1">
        <f t="array" ref="N40">INDEX('[2]Data 2022 to Oct24'!$E$2:$CJ$41,MATCH($B40,'[2]Data 2022 to Oct24'!$B$2:$B$41),N$23)</f>
        <v>0</v>
      </c>
      <c r="O40" s="3" cm="1">
        <f t="array" ref="O40">INDEX('[2]Data 2022 to Oct24'!$E$2:$CJ$41,MATCH($B40,'[2]Data 2022 to Oct24'!$B$2:$B$41),O$23)</f>
        <v>0</v>
      </c>
      <c r="P40" s="3" cm="1">
        <f t="array" ref="P40">INDEX('[2]Data 2022 to Oct24'!$E$2:$CJ$41,MATCH($B40,'[2]Data 2022 to Oct24'!$B$2:$B$41),P$23)</f>
        <v>0</v>
      </c>
      <c r="Q40" s="3" cm="1">
        <f t="array" ref="Q40">INDEX('[2]Data 2022 to Oct24'!$E$2:$CJ$41,MATCH($B40,'[2]Data 2022 to Oct24'!$B$2:$B$41),Q$23)</f>
        <v>0</v>
      </c>
      <c r="R40" s="3" cm="1">
        <f t="array" ref="R40">INDEX('[2]Data 2022 to Oct24'!$E$2:$CJ$41,MATCH($B40,'[2]Data 2022 to Oct24'!$B$2:$B$41),R$23)</f>
        <v>0</v>
      </c>
      <c r="T40" s="4">
        <f>SUM($G40:G40)</f>
        <v>0</v>
      </c>
      <c r="U40" s="4">
        <f>SUM($G40:H40)</f>
        <v>0</v>
      </c>
      <c r="V40" s="4">
        <f>SUM($G40:I40)</f>
        <v>0</v>
      </c>
      <c r="W40" s="4">
        <f>SUM($G40:J40)</f>
        <v>0</v>
      </c>
      <c r="X40" s="4">
        <f>SUM($G40:K40)</f>
        <v>0</v>
      </c>
      <c r="Y40" s="4">
        <f>SUM($G40:L40)</f>
        <v>0</v>
      </c>
      <c r="Z40" s="4">
        <f>SUM($G40:M40)</f>
        <v>0</v>
      </c>
      <c r="AA40" s="4">
        <f>SUM($G40:N40)</f>
        <v>0</v>
      </c>
      <c r="AB40" s="4">
        <f>SUM($G40:O40)</f>
        <v>0</v>
      </c>
      <c r="AC40" s="4">
        <f>SUM($G40:P40)</f>
        <v>0</v>
      </c>
      <c r="AD40" s="4">
        <f>SUM($G40:Q40)</f>
        <v>0</v>
      </c>
      <c r="AE40" s="4">
        <f>SUM($G40:R40)</f>
        <v>0</v>
      </c>
    </row>
    <row r="41" spans="2:31">
      <c r="B41">
        <v>51209</v>
      </c>
      <c r="C41" t="s">
        <v>113</v>
      </c>
      <c r="D41" t="str">
        <f>VLOOKUP($B41, Mapping!$A:$E, 5, 0)</f>
        <v>Other</v>
      </c>
      <c r="E41" t="s">
        <v>83</v>
      </c>
      <c r="F41" t="s">
        <v>101</v>
      </c>
      <c r="G41" s="3" cm="1">
        <f t="array" ref="G41">INDEX('[2]Data 2022 to Oct24'!$E$2:$CJ$41,MATCH($B41,'[2]Data 2022 to Oct24'!$B$2:$B$41),G$23)</f>
        <v>0</v>
      </c>
      <c r="H41" s="3" cm="1">
        <f t="array" ref="H41">INDEX('[2]Data 2022 to Oct24'!$E$2:$CJ$41,MATCH($B41,'[2]Data 2022 to Oct24'!$B$2:$B$41),H$23)</f>
        <v>0</v>
      </c>
      <c r="I41" s="3" cm="1">
        <f t="array" ref="I41">INDEX('[2]Data 2022 to Oct24'!$E$2:$CJ$41,MATCH($B41,'[2]Data 2022 to Oct24'!$B$2:$B$41),I$23)</f>
        <v>0</v>
      </c>
      <c r="J41" s="3" cm="1">
        <f t="array" ref="J41">INDEX('[2]Data 2022 to Oct24'!$E$2:$CJ$41,MATCH($B41,'[2]Data 2022 to Oct24'!$B$2:$B$41),J$23)</f>
        <v>0</v>
      </c>
      <c r="K41" s="3" cm="1">
        <f t="array" ref="K41">INDEX('[2]Data 2022 to Oct24'!$E$2:$CJ$41,MATCH($B41,'[2]Data 2022 to Oct24'!$B$2:$B$41),K$23)</f>
        <v>0</v>
      </c>
      <c r="L41" s="3" cm="1">
        <f t="array" ref="L41">INDEX('[2]Data 2022 to Oct24'!$E$2:$CJ$41,MATCH($B41,'[2]Data 2022 to Oct24'!$B$2:$B$41),L$23)</f>
        <v>0</v>
      </c>
      <c r="M41" s="3" cm="1">
        <f t="array" ref="M41">INDEX('[2]Data 2022 to Oct24'!$E$2:$CJ$41,MATCH($B41,'[2]Data 2022 to Oct24'!$B$2:$B$41),M$23)</f>
        <v>0</v>
      </c>
      <c r="N41" s="3" cm="1">
        <f t="array" ref="N41">INDEX('[2]Data 2022 to Oct24'!$E$2:$CJ$41,MATCH($B41,'[2]Data 2022 to Oct24'!$B$2:$B$41),N$23)</f>
        <v>0</v>
      </c>
      <c r="O41" s="3" cm="1">
        <f t="array" ref="O41">INDEX('[2]Data 2022 to Oct24'!$E$2:$CJ$41,MATCH($B41,'[2]Data 2022 to Oct24'!$B$2:$B$41),O$23)</f>
        <v>0</v>
      </c>
      <c r="P41" s="3" cm="1">
        <f t="array" ref="P41">INDEX('[2]Data 2022 to Oct24'!$E$2:$CJ$41,MATCH($B41,'[2]Data 2022 to Oct24'!$B$2:$B$41),P$23)</f>
        <v>0</v>
      </c>
      <c r="Q41" s="3" cm="1">
        <f t="array" ref="Q41">INDEX('[2]Data 2022 to Oct24'!$E$2:$CJ$41,MATCH($B41,'[2]Data 2022 to Oct24'!$B$2:$B$41),Q$23)</f>
        <v>0</v>
      </c>
      <c r="R41" s="3" cm="1">
        <f t="array" ref="R41">INDEX('[2]Data 2022 to Oct24'!$E$2:$CJ$41,MATCH($B41,'[2]Data 2022 to Oct24'!$B$2:$B$41),R$23)</f>
        <v>0</v>
      </c>
      <c r="T41" s="4">
        <f>SUM($G41:G41)</f>
        <v>0</v>
      </c>
      <c r="U41" s="4">
        <f>SUM($G41:H41)</f>
        <v>0</v>
      </c>
      <c r="V41" s="4">
        <f>SUM($G41:I41)</f>
        <v>0</v>
      </c>
      <c r="W41" s="4">
        <f>SUM($G41:J41)</f>
        <v>0</v>
      </c>
      <c r="X41" s="4">
        <f>SUM($G41:K41)</f>
        <v>0</v>
      </c>
      <c r="Y41" s="4">
        <f>SUM($G41:L41)</f>
        <v>0</v>
      </c>
      <c r="Z41" s="4">
        <f>SUM($G41:M41)</f>
        <v>0</v>
      </c>
      <c r="AA41" s="4">
        <f>SUM($G41:N41)</f>
        <v>0</v>
      </c>
      <c r="AB41" s="4">
        <f>SUM($G41:O41)</f>
        <v>0</v>
      </c>
      <c r="AC41" s="4">
        <f>SUM($G41:P41)</f>
        <v>0</v>
      </c>
      <c r="AD41" s="4">
        <f>SUM($G41:Q41)</f>
        <v>0</v>
      </c>
      <c r="AE41" s="4">
        <f>SUM($G41:R41)</f>
        <v>0</v>
      </c>
    </row>
    <row r="42" spans="2:31">
      <c r="B42">
        <v>51178</v>
      </c>
      <c r="C42" t="s">
        <v>114</v>
      </c>
      <c r="D42" t="str">
        <f>VLOOKUP($B42, Mapping!$A:$E, 5, 0)</f>
        <v>eTailers</v>
      </c>
      <c r="E42" t="s">
        <v>83</v>
      </c>
      <c r="F42" t="s">
        <v>101</v>
      </c>
      <c r="G42" s="3" cm="1">
        <f t="array" ref="G42">INDEX('[2]Data 2022 to Oct24'!$E$2:$CJ$41,MATCH($B42,'[2]Data 2022 to Oct24'!$B$2:$B$41),G$23)</f>
        <v>0</v>
      </c>
      <c r="H42" s="3" cm="1">
        <f t="array" ref="H42">INDEX('[2]Data 2022 to Oct24'!$E$2:$CJ$41,MATCH($B42,'[2]Data 2022 to Oct24'!$B$2:$B$41),H$23)</f>
        <v>0</v>
      </c>
      <c r="I42" s="3" cm="1">
        <f t="array" ref="I42">INDEX('[2]Data 2022 to Oct24'!$E$2:$CJ$41,MATCH($B42,'[2]Data 2022 to Oct24'!$B$2:$B$41),I$23)</f>
        <v>6863.93</v>
      </c>
      <c r="J42" s="3" cm="1">
        <f t="array" ref="J42">INDEX('[2]Data 2022 to Oct24'!$E$2:$CJ$41,MATCH($B42,'[2]Data 2022 to Oct24'!$B$2:$B$41),J$23)</f>
        <v>914.37</v>
      </c>
      <c r="K42" s="3" cm="1">
        <f t="array" ref="K42">INDEX('[2]Data 2022 to Oct24'!$E$2:$CJ$41,MATCH($B42,'[2]Data 2022 to Oct24'!$B$2:$B$41),K$23)</f>
        <v>0</v>
      </c>
      <c r="L42" s="3" cm="1">
        <f t="array" ref="L42">INDEX('[2]Data 2022 to Oct24'!$E$2:$CJ$41,MATCH($B42,'[2]Data 2022 to Oct24'!$B$2:$B$41),L$23)</f>
        <v>0</v>
      </c>
      <c r="M42" s="3" cm="1">
        <f t="array" ref="M42">INDEX('[2]Data 2022 to Oct24'!$E$2:$CJ$41,MATCH($B42,'[2]Data 2022 to Oct24'!$B$2:$B$41),M$23)</f>
        <v>0</v>
      </c>
      <c r="N42" s="3" cm="1">
        <f t="array" ref="N42">INDEX('[2]Data 2022 to Oct24'!$E$2:$CJ$41,MATCH($B42,'[2]Data 2022 to Oct24'!$B$2:$B$41),N$23)</f>
        <v>225</v>
      </c>
      <c r="O42" s="3" cm="1">
        <f t="array" ref="O42">INDEX('[2]Data 2022 to Oct24'!$E$2:$CJ$41,MATCH($B42,'[2]Data 2022 to Oct24'!$B$2:$B$41),O$23)</f>
        <v>0</v>
      </c>
      <c r="P42" s="3" cm="1">
        <f t="array" ref="P42">INDEX('[2]Data 2022 to Oct24'!$E$2:$CJ$41,MATCH($B42,'[2]Data 2022 to Oct24'!$B$2:$B$41),P$23)</f>
        <v>0</v>
      </c>
      <c r="Q42" s="3" cm="1">
        <f t="array" ref="Q42">INDEX('[2]Data 2022 to Oct24'!$E$2:$CJ$41,MATCH($B42,'[2]Data 2022 to Oct24'!$B$2:$B$41),Q$23)</f>
        <v>0</v>
      </c>
      <c r="R42" s="3" cm="1">
        <f t="array" ref="R42">INDEX('[2]Data 2022 to Oct24'!$E$2:$CJ$41,MATCH($B42,'[2]Data 2022 to Oct24'!$B$2:$B$41),R$23)</f>
        <v>0</v>
      </c>
      <c r="T42" s="4">
        <f>SUM($G42:G42)</f>
        <v>0</v>
      </c>
      <c r="U42" s="4">
        <f>SUM($G42:H42)</f>
        <v>0</v>
      </c>
      <c r="V42" s="4">
        <f>SUM($G42:I42)</f>
        <v>6863.93</v>
      </c>
      <c r="W42" s="4">
        <f>SUM($G42:J42)</f>
        <v>7778.3</v>
      </c>
      <c r="X42" s="4">
        <f>SUM($G42:K42)</f>
        <v>7778.3</v>
      </c>
      <c r="Y42" s="4">
        <f>SUM($G42:L42)</f>
        <v>7778.3</v>
      </c>
      <c r="Z42" s="4">
        <f>SUM($G42:M42)</f>
        <v>7778.3</v>
      </c>
      <c r="AA42" s="4">
        <f>SUM($G42:N42)</f>
        <v>8003.3</v>
      </c>
      <c r="AB42" s="4">
        <f>SUM($G42:O42)</f>
        <v>8003.3</v>
      </c>
      <c r="AC42" s="4">
        <f>SUM($G42:P42)</f>
        <v>8003.3</v>
      </c>
      <c r="AD42" s="4">
        <f>SUM($G42:Q42)</f>
        <v>8003.3</v>
      </c>
      <c r="AE42" s="4">
        <f>SUM($G42:R42)</f>
        <v>8003.3</v>
      </c>
    </row>
    <row r="43" spans="2:31">
      <c r="B43">
        <v>51158</v>
      </c>
      <c r="C43" t="s">
        <v>115</v>
      </c>
      <c r="D43" t="str">
        <f>VLOOKUP($B43, Mapping!$A:$E, 5, 0)</f>
        <v>Other</v>
      </c>
      <c r="E43" t="s">
        <v>83</v>
      </c>
      <c r="F43" t="s">
        <v>101</v>
      </c>
      <c r="G43" s="3" cm="1">
        <f t="array" ref="G43">INDEX('[2]Data 2022 to Oct24'!$E$2:$CJ$41,MATCH($B43,'[2]Data 2022 to Oct24'!$B$2:$B$41),G$23)</f>
        <v>0</v>
      </c>
      <c r="H43" s="3" cm="1">
        <f t="array" ref="H43">INDEX('[2]Data 2022 to Oct24'!$E$2:$CJ$41,MATCH($B43,'[2]Data 2022 to Oct24'!$B$2:$B$41),H$23)</f>
        <v>0</v>
      </c>
      <c r="I43" s="3" cm="1">
        <f t="array" ref="I43">INDEX('[2]Data 2022 to Oct24'!$E$2:$CJ$41,MATCH($B43,'[2]Data 2022 to Oct24'!$B$2:$B$41),I$23)</f>
        <v>0</v>
      </c>
      <c r="J43" s="3" cm="1">
        <f t="array" ref="J43">INDEX('[2]Data 2022 to Oct24'!$E$2:$CJ$41,MATCH($B43,'[2]Data 2022 to Oct24'!$B$2:$B$41),J$23)</f>
        <v>0</v>
      </c>
      <c r="K43" s="3" cm="1">
        <f t="array" ref="K43">INDEX('[2]Data 2022 to Oct24'!$E$2:$CJ$41,MATCH($B43,'[2]Data 2022 to Oct24'!$B$2:$B$41),K$23)</f>
        <v>0</v>
      </c>
      <c r="L43" s="3" cm="1">
        <f t="array" ref="L43">INDEX('[2]Data 2022 to Oct24'!$E$2:$CJ$41,MATCH($B43,'[2]Data 2022 to Oct24'!$B$2:$B$41),L$23)</f>
        <v>0</v>
      </c>
      <c r="M43" s="3" cm="1">
        <f t="array" ref="M43">INDEX('[2]Data 2022 to Oct24'!$E$2:$CJ$41,MATCH($B43,'[2]Data 2022 to Oct24'!$B$2:$B$41),M$23)</f>
        <v>0</v>
      </c>
      <c r="N43" s="3" cm="1">
        <f t="array" ref="N43">INDEX('[2]Data 2022 to Oct24'!$E$2:$CJ$41,MATCH($B43,'[2]Data 2022 to Oct24'!$B$2:$B$41),N$23)</f>
        <v>0</v>
      </c>
      <c r="O43" s="3" cm="1">
        <f t="array" ref="O43">INDEX('[2]Data 2022 to Oct24'!$E$2:$CJ$41,MATCH($B43,'[2]Data 2022 to Oct24'!$B$2:$B$41),O$23)</f>
        <v>0</v>
      </c>
      <c r="P43" s="3" cm="1">
        <f t="array" ref="P43">INDEX('[2]Data 2022 to Oct24'!$E$2:$CJ$41,MATCH($B43,'[2]Data 2022 to Oct24'!$B$2:$B$41),P$23)</f>
        <v>0</v>
      </c>
      <c r="Q43" s="3" cm="1">
        <f t="array" ref="Q43">INDEX('[2]Data 2022 to Oct24'!$E$2:$CJ$41,MATCH($B43,'[2]Data 2022 to Oct24'!$B$2:$B$41),Q$23)</f>
        <v>0</v>
      </c>
      <c r="R43" s="3" cm="1">
        <f t="array" ref="R43">INDEX('[2]Data 2022 to Oct24'!$E$2:$CJ$41,MATCH($B43,'[2]Data 2022 to Oct24'!$B$2:$B$41),R$23)</f>
        <v>0</v>
      </c>
      <c r="T43" s="4">
        <f>SUM($G43:G43)</f>
        <v>0</v>
      </c>
      <c r="U43" s="4">
        <f>SUM($G43:H43)</f>
        <v>0</v>
      </c>
      <c r="V43" s="4">
        <f>SUM($G43:I43)</f>
        <v>0</v>
      </c>
      <c r="W43" s="4">
        <f>SUM($G43:J43)</f>
        <v>0</v>
      </c>
      <c r="X43" s="4">
        <f>SUM($G43:K43)</f>
        <v>0</v>
      </c>
      <c r="Y43" s="4">
        <f>SUM($G43:L43)</f>
        <v>0</v>
      </c>
      <c r="Z43" s="4">
        <f>SUM($G43:M43)</f>
        <v>0</v>
      </c>
      <c r="AA43" s="4">
        <f>SUM($G43:N43)</f>
        <v>0</v>
      </c>
      <c r="AB43" s="4">
        <f>SUM($G43:O43)</f>
        <v>0</v>
      </c>
      <c r="AC43" s="4">
        <f>SUM($G43:P43)</f>
        <v>0</v>
      </c>
      <c r="AD43" s="4">
        <f>SUM($G43:Q43)</f>
        <v>0</v>
      </c>
      <c r="AE43" s="4">
        <f>SUM($G43:R43)</f>
        <v>0</v>
      </c>
    </row>
    <row r="44" spans="2:31">
      <c r="B44">
        <v>51184</v>
      </c>
      <c r="C44" t="s">
        <v>37</v>
      </c>
      <c r="D44" t="str">
        <f>VLOOKUP($B44, Mapping!$A:$E, 5, 0)</f>
        <v>Spa</v>
      </c>
      <c r="E44" t="s">
        <v>101</v>
      </c>
      <c r="F44" t="s">
        <v>101</v>
      </c>
      <c r="G44" s="3" cm="1">
        <f t="array" ref="G44">INDEX('[2]Data 2022 to Oct24'!$E$2:$CJ$41,MATCH($B44,'[2]Data 2022 to Oct24'!$B$2:$B$41),G$23)</f>
        <v>0</v>
      </c>
      <c r="H44" s="3" cm="1">
        <f t="array" ref="H44">INDEX('[2]Data 2022 to Oct24'!$E$2:$CJ$41,MATCH($B44,'[2]Data 2022 to Oct24'!$B$2:$B$41),H$23)</f>
        <v>0</v>
      </c>
      <c r="I44" s="3" cm="1">
        <f t="array" ref="I44">INDEX('[2]Data 2022 to Oct24'!$E$2:$CJ$41,MATCH($B44,'[2]Data 2022 to Oct24'!$B$2:$B$41),I$23)</f>
        <v>0</v>
      </c>
      <c r="J44" s="3" cm="1">
        <f t="array" ref="J44">INDEX('[2]Data 2022 to Oct24'!$E$2:$CJ$41,MATCH($B44,'[2]Data 2022 to Oct24'!$B$2:$B$41),J$23)</f>
        <v>0</v>
      </c>
      <c r="K44" s="3" cm="1">
        <f t="array" ref="K44">INDEX('[2]Data 2022 to Oct24'!$E$2:$CJ$41,MATCH($B44,'[2]Data 2022 to Oct24'!$B$2:$B$41),K$23)</f>
        <v>0</v>
      </c>
      <c r="L44" s="3" cm="1">
        <f t="array" ref="L44">INDEX('[2]Data 2022 to Oct24'!$E$2:$CJ$41,MATCH($B44,'[2]Data 2022 to Oct24'!$B$2:$B$41),L$23)</f>
        <v>0</v>
      </c>
      <c r="M44" s="3" cm="1">
        <f t="array" ref="M44">INDEX('[2]Data 2022 to Oct24'!$E$2:$CJ$41,MATCH($B44,'[2]Data 2022 to Oct24'!$B$2:$B$41),M$23)</f>
        <v>0</v>
      </c>
      <c r="N44" s="3" cm="1">
        <f t="array" ref="N44">INDEX('[2]Data 2022 to Oct24'!$E$2:$CJ$41,MATCH($B44,'[2]Data 2022 to Oct24'!$B$2:$B$41),N$23)</f>
        <v>0</v>
      </c>
      <c r="O44" s="3" cm="1">
        <f t="array" ref="O44">INDEX('[2]Data 2022 to Oct24'!$E$2:$CJ$41,MATCH($B44,'[2]Data 2022 to Oct24'!$B$2:$B$41),O$23)</f>
        <v>0</v>
      </c>
      <c r="P44" s="3" cm="1">
        <f t="array" ref="P44">INDEX('[2]Data 2022 to Oct24'!$E$2:$CJ$41,MATCH($B44,'[2]Data 2022 to Oct24'!$B$2:$B$41),P$23)</f>
        <v>0</v>
      </c>
      <c r="Q44" s="3" cm="1">
        <f t="array" ref="Q44">INDEX('[2]Data 2022 to Oct24'!$E$2:$CJ$41,MATCH($B44,'[2]Data 2022 to Oct24'!$B$2:$B$41),Q$23)</f>
        <v>0</v>
      </c>
      <c r="R44" s="3" cm="1">
        <f t="array" ref="R44">INDEX('[2]Data 2022 to Oct24'!$E$2:$CJ$41,MATCH($B44,'[2]Data 2022 to Oct24'!$B$2:$B$41),R$23)</f>
        <v>0</v>
      </c>
      <c r="T44" s="4">
        <f>SUM($G44:G44)</f>
        <v>0</v>
      </c>
      <c r="U44" s="4">
        <f>SUM($G44:H44)</f>
        <v>0</v>
      </c>
      <c r="V44" s="4">
        <f>SUM($G44:I44)</f>
        <v>0</v>
      </c>
      <c r="W44" s="4">
        <f>SUM($G44:J44)</f>
        <v>0</v>
      </c>
      <c r="X44" s="4">
        <f>SUM($G44:K44)</f>
        <v>0</v>
      </c>
      <c r="Y44" s="4">
        <f>SUM($G44:L44)</f>
        <v>0</v>
      </c>
      <c r="Z44" s="4">
        <f>SUM($G44:M44)</f>
        <v>0</v>
      </c>
      <c r="AA44" s="4">
        <f>SUM($G44:N44)</f>
        <v>0</v>
      </c>
      <c r="AB44" s="4">
        <f>SUM($G44:O44)</f>
        <v>0</v>
      </c>
      <c r="AC44" s="4">
        <f>SUM($G44:P44)</f>
        <v>0</v>
      </c>
      <c r="AD44" s="4">
        <f>SUM($G44:Q44)</f>
        <v>0</v>
      </c>
      <c r="AE44" s="4">
        <f>SUM($G44:R44)</f>
        <v>0</v>
      </c>
    </row>
    <row r="45" spans="2:31">
      <c r="B45">
        <v>51185</v>
      </c>
      <c r="C45" t="s">
        <v>38</v>
      </c>
      <c r="D45" t="str">
        <f>VLOOKUP($B45, Mapping!$A:$E, 5, 0)</f>
        <v>Spa</v>
      </c>
      <c r="E45" t="s">
        <v>101</v>
      </c>
      <c r="F45" t="s">
        <v>101</v>
      </c>
      <c r="G45" s="3" cm="1">
        <f t="array" ref="G45">INDEX('[2]Data 2022 to Oct24'!$E$2:$CJ$41,MATCH($B45,'[2]Data 2022 to Oct24'!$B$2:$B$41),G$23)</f>
        <v>0</v>
      </c>
      <c r="H45" s="3" cm="1">
        <f t="array" ref="H45">INDEX('[2]Data 2022 to Oct24'!$E$2:$CJ$41,MATCH($B45,'[2]Data 2022 to Oct24'!$B$2:$B$41),H$23)</f>
        <v>0</v>
      </c>
      <c r="I45" s="3" cm="1">
        <f t="array" ref="I45">INDEX('[2]Data 2022 to Oct24'!$E$2:$CJ$41,MATCH($B45,'[2]Data 2022 to Oct24'!$B$2:$B$41),I$23)</f>
        <v>0</v>
      </c>
      <c r="J45" s="3" cm="1">
        <f t="array" ref="J45">INDEX('[2]Data 2022 to Oct24'!$E$2:$CJ$41,MATCH($B45,'[2]Data 2022 to Oct24'!$B$2:$B$41),J$23)</f>
        <v>0</v>
      </c>
      <c r="K45" s="3" cm="1">
        <f t="array" ref="K45">INDEX('[2]Data 2022 to Oct24'!$E$2:$CJ$41,MATCH($B45,'[2]Data 2022 to Oct24'!$B$2:$B$41),K$23)</f>
        <v>0</v>
      </c>
      <c r="L45" s="3" cm="1">
        <f t="array" ref="L45">INDEX('[2]Data 2022 to Oct24'!$E$2:$CJ$41,MATCH($B45,'[2]Data 2022 to Oct24'!$B$2:$B$41),L$23)</f>
        <v>0</v>
      </c>
      <c r="M45" s="3" cm="1">
        <f t="array" ref="M45">INDEX('[2]Data 2022 to Oct24'!$E$2:$CJ$41,MATCH($B45,'[2]Data 2022 to Oct24'!$B$2:$B$41),M$23)</f>
        <v>0</v>
      </c>
      <c r="N45" s="3" cm="1">
        <f t="array" ref="N45">INDEX('[2]Data 2022 to Oct24'!$E$2:$CJ$41,MATCH($B45,'[2]Data 2022 to Oct24'!$B$2:$B$41),N$23)</f>
        <v>0</v>
      </c>
      <c r="O45" s="3" cm="1">
        <f t="array" ref="O45">INDEX('[2]Data 2022 to Oct24'!$E$2:$CJ$41,MATCH($B45,'[2]Data 2022 to Oct24'!$B$2:$B$41),O$23)</f>
        <v>0</v>
      </c>
      <c r="P45" s="3" cm="1">
        <f t="array" ref="P45">INDEX('[2]Data 2022 to Oct24'!$E$2:$CJ$41,MATCH($B45,'[2]Data 2022 to Oct24'!$B$2:$B$41),P$23)</f>
        <v>0</v>
      </c>
      <c r="Q45" s="3" cm="1">
        <f t="array" ref="Q45">INDEX('[2]Data 2022 to Oct24'!$E$2:$CJ$41,MATCH($B45,'[2]Data 2022 to Oct24'!$B$2:$B$41),Q$23)</f>
        <v>0</v>
      </c>
      <c r="R45" s="3" cm="1">
        <f t="array" ref="R45">INDEX('[2]Data 2022 to Oct24'!$E$2:$CJ$41,MATCH($B45,'[2]Data 2022 to Oct24'!$B$2:$B$41),R$23)</f>
        <v>0</v>
      </c>
      <c r="T45" s="4">
        <f>SUM($G45:G45)</f>
        <v>0</v>
      </c>
      <c r="U45" s="4">
        <f>SUM($G45:H45)</f>
        <v>0</v>
      </c>
      <c r="V45" s="4">
        <f>SUM($G45:I45)</f>
        <v>0</v>
      </c>
      <c r="W45" s="4">
        <f>SUM($G45:J45)</f>
        <v>0</v>
      </c>
      <c r="X45" s="4">
        <f>SUM($G45:K45)</f>
        <v>0</v>
      </c>
      <c r="Y45" s="4">
        <f>SUM($G45:L45)</f>
        <v>0</v>
      </c>
      <c r="Z45" s="4">
        <f>SUM($G45:M45)</f>
        <v>0</v>
      </c>
      <c r="AA45" s="4">
        <f>SUM($G45:N45)</f>
        <v>0</v>
      </c>
      <c r="AB45" s="4">
        <f>SUM($G45:O45)</f>
        <v>0</v>
      </c>
      <c r="AC45" s="4">
        <f>SUM($G45:P45)</f>
        <v>0</v>
      </c>
      <c r="AD45" s="4">
        <f>SUM($G45:Q45)</f>
        <v>0</v>
      </c>
      <c r="AE45" s="4">
        <f>SUM($G45:R45)</f>
        <v>0</v>
      </c>
    </row>
    <row r="46" spans="2:31">
      <c r="B46">
        <v>51186</v>
      </c>
      <c r="C46" t="s">
        <v>39</v>
      </c>
      <c r="D46" t="str">
        <f>VLOOKUP($B46, Mapping!$A:$E, 5, 0)</f>
        <v>Spa</v>
      </c>
      <c r="E46" t="s">
        <v>101</v>
      </c>
      <c r="F46" t="s">
        <v>101</v>
      </c>
      <c r="G46" s="3" cm="1">
        <f t="array" ref="G46">INDEX('[2]Data 2022 to Oct24'!$E$2:$CJ$41,MATCH($B46,'[2]Data 2022 to Oct24'!$B$2:$B$41),G$23)</f>
        <v>0</v>
      </c>
      <c r="H46" s="3" cm="1">
        <f t="array" ref="H46">INDEX('[2]Data 2022 to Oct24'!$E$2:$CJ$41,MATCH($B46,'[2]Data 2022 to Oct24'!$B$2:$B$41),H$23)</f>
        <v>0</v>
      </c>
      <c r="I46" s="3" cm="1">
        <f t="array" ref="I46">INDEX('[2]Data 2022 to Oct24'!$E$2:$CJ$41,MATCH($B46,'[2]Data 2022 to Oct24'!$B$2:$B$41),I$23)</f>
        <v>0</v>
      </c>
      <c r="J46" s="3" cm="1">
        <f t="array" ref="J46">INDEX('[2]Data 2022 to Oct24'!$E$2:$CJ$41,MATCH($B46,'[2]Data 2022 to Oct24'!$B$2:$B$41),J$23)</f>
        <v>0</v>
      </c>
      <c r="K46" s="3" cm="1">
        <f t="array" ref="K46">INDEX('[2]Data 2022 to Oct24'!$E$2:$CJ$41,MATCH($B46,'[2]Data 2022 to Oct24'!$B$2:$B$41),K$23)</f>
        <v>0</v>
      </c>
      <c r="L46" s="3" cm="1">
        <f t="array" ref="L46">INDEX('[2]Data 2022 to Oct24'!$E$2:$CJ$41,MATCH($B46,'[2]Data 2022 to Oct24'!$B$2:$B$41),L$23)</f>
        <v>0</v>
      </c>
      <c r="M46" s="3" cm="1">
        <f t="array" ref="M46">INDEX('[2]Data 2022 to Oct24'!$E$2:$CJ$41,MATCH($B46,'[2]Data 2022 to Oct24'!$B$2:$B$41),M$23)</f>
        <v>0</v>
      </c>
      <c r="N46" s="3" cm="1">
        <f t="array" ref="N46">INDEX('[2]Data 2022 to Oct24'!$E$2:$CJ$41,MATCH($B46,'[2]Data 2022 to Oct24'!$B$2:$B$41),N$23)</f>
        <v>0</v>
      </c>
      <c r="O46" s="3" cm="1">
        <f t="array" ref="O46">INDEX('[2]Data 2022 to Oct24'!$E$2:$CJ$41,MATCH($B46,'[2]Data 2022 to Oct24'!$B$2:$B$41),O$23)</f>
        <v>0</v>
      </c>
      <c r="P46" s="3" cm="1">
        <f t="array" ref="P46">INDEX('[2]Data 2022 to Oct24'!$E$2:$CJ$41,MATCH($B46,'[2]Data 2022 to Oct24'!$B$2:$B$41),P$23)</f>
        <v>0</v>
      </c>
      <c r="Q46" s="3" cm="1">
        <f t="array" ref="Q46">INDEX('[2]Data 2022 to Oct24'!$E$2:$CJ$41,MATCH($B46,'[2]Data 2022 to Oct24'!$B$2:$B$41),Q$23)</f>
        <v>0</v>
      </c>
      <c r="R46" s="3" cm="1">
        <f t="array" ref="R46">INDEX('[2]Data 2022 to Oct24'!$E$2:$CJ$41,MATCH($B46,'[2]Data 2022 to Oct24'!$B$2:$B$41),R$23)</f>
        <v>0</v>
      </c>
      <c r="T46" s="4">
        <f>SUM($G46:G46)</f>
        <v>0</v>
      </c>
      <c r="U46" s="4">
        <f>SUM($G46:H46)</f>
        <v>0</v>
      </c>
      <c r="V46" s="4">
        <f>SUM($G46:I46)</f>
        <v>0</v>
      </c>
      <c r="W46" s="4">
        <f>SUM($G46:J46)</f>
        <v>0</v>
      </c>
      <c r="X46" s="4">
        <f>SUM($G46:K46)</f>
        <v>0</v>
      </c>
      <c r="Y46" s="4">
        <f>SUM($G46:L46)</f>
        <v>0</v>
      </c>
      <c r="Z46" s="4">
        <f>SUM($G46:M46)</f>
        <v>0</v>
      </c>
      <c r="AA46" s="4">
        <f>SUM($G46:N46)</f>
        <v>0</v>
      </c>
      <c r="AB46" s="4">
        <f>SUM($G46:O46)</f>
        <v>0</v>
      </c>
      <c r="AC46" s="4">
        <f>SUM($G46:P46)</f>
        <v>0</v>
      </c>
      <c r="AD46" s="4">
        <f>SUM($G46:Q46)</f>
        <v>0</v>
      </c>
      <c r="AE46" s="4">
        <f>SUM($G46:R46)</f>
        <v>0</v>
      </c>
    </row>
    <row r="47" spans="2:31">
      <c r="B47">
        <v>51187</v>
      </c>
      <c r="C47" t="s">
        <v>40</v>
      </c>
      <c r="D47" t="str">
        <f>VLOOKUP($B47, Mapping!$A:$E, 5, 0)</f>
        <v>Spa</v>
      </c>
      <c r="E47" t="s">
        <v>101</v>
      </c>
      <c r="F47" t="s">
        <v>101</v>
      </c>
      <c r="G47" s="3" cm="1">
        <f t="array" ref="G47">INDEX('[2]Data 2022 to Oct24'!$E$2:$CJ$41,MATCH($B47,'[2]Data 2022 to Oct24'!$B$2:$B$41),G$23)</f>
        <v>0</v>
      </c>
      <c r="H47" s="3" cm="1">
        <f t="array" ref="H47">INDEX('[2]Data 2022 to Oct24'!$E$2:$CJ$41,MATCH($B47,'[2]Data 2022 to Oct24'!$B$2:$B$41),H$23)</f>
        <v>0</v>
      </c>
      <c r="I47" s="3" cm="1">
        <f t="array" ref="I47">INDEX('[2]Data 2022 to Oct24'!$E$2:$CJ$41,MATCH($B47,'[2]Data 2022 to Oct24'!$B$2:$B$41),I$23)</f>
        <v>0</v>
      </c>
      <c r="J47" s="3" cm="1">
        <f t="array" ref="J47">INDEX('[2]Data 2022 to Oct24'!$E$2:$CJ$41,MATCH($B47,'[2]Data 2022 to Oct24'!$B$2:$B$41),J$23)</f>
        <v>0</v>
      </c>
      <c r="K47" s="3" cm="1">
        <f t="array" ref="K47">INDEX('[2]Data 2022 to Oct24'!$E$2:$CJ$41,MATCH($B47,'[2]Data 2022 to Oct24'!$B$2:$B$41),K$23)</f>
        <v>0</v>
      </c>
      <c r="L47" s="3" cm="1">
        <f t="array" ref="L47">INDEX('[2]Data 2022 to Oct24'!$E$2:$CJ$41,MATCH($B47,'[2]Data 2022 to Oct24'!$B$2:$B$41),L$23)</f>
        <v>0</v>
      </c>
      <c r="M47" s="3" cm="1">
        <f t="array" ref="M47">INDEX('[2]Data 2022 to Oct24'!$E$2:$CJ$41,MATCH($B47,'[2]Data 2022 to Oct24'!$B$2:$B$41),M$23)</f>
        <v>0</v>
      </c>
      <c r="N47" s="3" cm="1">
        <f t="array" ref="N47">INDEX('[2]Data 2022 to Oct24'!$E$2:$CJ$41,MATCH($B47,'[2]Data 2022 to Oct24'!$B$2:$B$41),N$23)</f>
        <v>0</v>
      </c>
      <c r="O47" s="3" cm="1">
        <f t="array" ref="O47">INDEX('[2]Data 2022 to Oct24'!$E$2:$CJ$41,MATCH($B47,'[2]Data 2022 to Oct24'!$B$2:$B$41),O$23)</f>
        <v>0</v>
      </c>
      <c r="P47" s="3" cm="1">
        <f t="array" ref="P47">INDEX('[2]Data 2022 to Oct24'!$E$2:$CJ$41,MATCH($B47,'[2]Data 2022 to Oct24'!$B$2:$B$41),P$23)</f>
        <v>0</v>
      </c>
      <c r="Q47" s="3" cm="1">
        <f t="array" ref="Q47">INDEX('[2]Data 2022 to Oct24'!$E$2:$CJ$41,MATCH($B47,'[2]Data 2022 to Oct24'!$B$2:$B$41),Q$23)</f>
        <v>0</v>
      </c>
      <c r="R47" s="3" cm="1">
        <f t="array" ref="R47">INDEX('[2]Data 2022 to Oct24'!$E$2:$CJ$41,MATCH($B47,'[2]Data 2022 to Oct24'!$B$2:$B$41),R$23)</f>
        <v>0</v>
      </c>
      <c r="T47" s="4">
        <f>SUM($G47:G47)</f>
        <v>0</v>
      </c>
      <c r="U47" s="4">
        <f>SUM($G47:H47)</f>
        <v>0</v>
      </c>
      <c r="V47" s="4">
        <f>SUM($G47:I47)</f>
        <v>0</v>
      </c>
      <c r="W47" s="4">
        <f>SUM($G47:J47)</f>
        <v>0</v>
      </c>
      <c r="X47" s="4">
        <f>SUM($G47:K47)</f>
        <v>0</v>
      </c>
      <c r="Y47" s="4">
        <f>SUM($G47:L47)</f>
        <v>0</v>
      </c>
      <c r="Z47" s="4">
        <f>SUM($G47:M47)</f>
        <v>0</v>
      </c>
      <c r="AA47" s="4">
        <f>SUM($G47:N47)</f>
        <v>0</v>
      </c>
      <c r="AB47" s="4">
        <f>SUM($G47:O47)</f>
        <v>0</v>
      </c>
      <c r="AC47" s="4">
        <f>SUM($G47:P47)</f>
        <v>0</v>
      </c>
      <c r="AD47" s="4">
        <f>SUM($G47:Q47)</f>
        <v>0</v>
      </c>
      <c r="AE47" s="4">
        <f>SUM($G47:R47)</f>
        <v>0</v>
      </c>
    </row>
    <row r="48" spans="2:31">
      <c r="B48">
        <v>53000</v>
      </c>
      <c r="C48" t="s">
        <v>42</v>
      </c>
      <c r="D48" t="str">
        <f>VLOOKUP($B48, Mapping!$A:$E, 5, 0)</f>
        <v>Other</v>
      </c>
      <c r="E48" t="s">
        <v>83</v>
      </c>
      <c r="F48" t="s">
        <v>101</v>
      </c>
      <c r="G48" s="3" cm="1">
        <f t="array" ref="G48">INDEX('[2]Data 2022 to Oct24'!$E$2:$CJ$41,MATCH($B48,'[2]Data 2022 to Oct24'!$B$2:$B$41),G$23)</f>
        <v>0</v>
      </c>
      <c r="H48" s="3" cm="1">
        <f t="array" ref="H48">INDEX('[2]Data 2022 to Oct24'!$E$2:$CJ$41,MATCH($B48,'[2]Data 2022 to Oct24'!$B$2:$B$41),H$23)</f>
        <v>0</v>
      </c>
      <c r="I48" s="3" cm="1">
        <f t="array" ref="I48">INDEX('[2]Data 2022 to Oct24'!$E$2:$CJ$41,MATCH($B48,'[2]Data 2022 to Oct24'!$B$2:$B$41),I$23)</f>
        <v>2577.31</v>
      </c>
      <c r="J48" s="3" cm="1">
        <f t="array" ref="J48">INDEX('[2]Data 2022 to Oct24'!$E$2:$CJ$41,MATCH($B48,'[2]Data 2022 to Oct24'!$B$2:$B$41),J$23)</f>
        <v>0</v>
      </c>
      <c r="K48" s="3" cm="1">
        <f t="array" ref="K48">INDEX('[2]Data 2022 to Oct24'!$E$2:$CJ$41,MATCH($B48,'[2]Data 2022 to Oct24'!$B$2:$B$41),K$23)</f>
        <v>0</v>
      </c>
      <c r="L48" s="3" cm="1">
        <f t="array" ref="L48">INDEX('[2]Data 2022 to Oct24'!$E$2:$CJ$41,MATCH($B48,'[2]Data 2022 to Oct24'!$B$2:$B$41),L$23)</f>
        <v>3413.83</v>
      </c>
      <c r="M48" s="3" cm="1">
        <f t="array" ref="M48">INDEX('[2]Data 2022 to Oct24'!$E$2:$CJ$41,MATCH($B48,'[2]Data 2022 to Oct24'!$B$2:$B$41),M$23)</f>
        <v>0</v>
      </c>
      <c r="N48" s="3" cm="1">
        <f t="array" ref="N48">INDEX('[2]Data 2022 to Oct24'!$E$2:$CJ$41,MATCH($B48,'[2]Data 2022 to Oct24'!$B$2:$B$41),N$23)</f>
        <v>0</v>
      </c>
      <c r="O48" s="3" cm="1">
        <f t="array" ref="O48">INDEX('[2]Data 2022 to Oct24'!$E$2:$CJ$41,MATCH($B48,'[2]Data 2022 to Oct24'!$B$2:$B$41),O$23)</f>
        <v>0</v>
      </c>
      <c r="P48" s="3" cm="1">
        <f t="array" ref="P48">INDEX('[2]Data 2022 to Oct24'!$E$2:$CJ$41,MATCH($B48,'[2]Data 2022 to Oct24'!$B$2:$B$41),P$23)</f>
        <v>1656.66</v>
      </c>
      <c r="Q48" s="3" cm="1">
        <f t="array" ref="Q48">INDEX('[2]Data 2022 to Oct24'!$E$2:$CJ$41,MATCH($B48,'[2]Data 2022 to Oct24'!$B$2:$B$41),Q$23)</f>
        <v>0</v>
      </c>
      <c r="R48" s="3" cm="1">
        <f t="array" ref="R48">INDEX('[2]Data 2022 to Oct24'!$E$2:$CJ$41,MATCH($B48,'[2]Data 2022 to Oct24'!$B$2:$B$41),R$23)</f>
        <v>0</v>
      </c>
      <c r="T48" s="4">
        <f>SUM($G48:G48)</f>
        <v>0</v>
      </c>
      <c r="U48" s="4">
        <f>SUM($G48:H48)</f>
        <v>0</v>
      </c>
      <c r="V48" s="4">
        <f>SUM($G48:I48)</f>
        <v>2577.31</v>
      </c>
      <c r="W48" s="4">
        <f>SUM($G48:J48)</f>
        <v>2577.31</v>
      </c>
      <c r="X48" s="4">
        <f>SUM($G48:K48)</f>
        <v>2577.31</v>
      </c>
      <c r="Y48" s="4">
        <f>SUM($G48:L48)</f>
        <v>5991.1399999999994</v>
      </c>
      <c r="Z48" s="4">
        <f>SUM($G48:M48)</f>
        <v>5991.1399999999994</v>
      </c>
      <c r="AA48" s="4">
        <f>SUM($G48:N48)</f>
        <v>5991.1399999999994</v>
      </c>
      <c r="AB48" s="4">
        <f>SUM($G48:O48)</f>
        <v>5991.1399999999994</v>
      </c>
      <c r="AC48" s="4">
        <f>SUM($G48:P48)</f>
        <v>7647.7999999999993</v>
      </c>
      <c r="AD48" s="4">
        <f>SUM($G48:Q48)</f>
        <v>7647.7999999999993</v>
      </c>
      <c r="AE48" s="4">
        <f>SUM($G48:R48)</f>
        <v>7647.7999999999993</v>
      </c>
    </row>
    <row r="49" spans="2:31">
      <c r="B49" s="5">
        <v>53014</v>
      </c>
      <c r="C49" s="5" t="s">
        <v>43</v>
      </c>
      <c r="D49" t="str">
        <f>VLOOKUP($B49, Mapping!$A:$E, 5, 0)</f>
        <v>Spa</v>
      </c>
      <c r="E49" t="s">
        <v>101</v>
      </c>
      <c r="F49" t="s">
        <v>101</v>
      </c>
      <c r="G49" s="3" cm="1">
        <f t="array" ref="G49">INDEX('[2]Data 2022 to Oct24'!$E$2:$CJ$41,MATCH($B49,'[2]Data 2022 to Oct24'!$B$2:$B$41),G$23)</f>
        <v>0</v>
      </c>
      <c r="H49" s="3" cm="1">
        <f t="array" ref="H49">INDEX('[2]Data 2022 to Oct24'!$E$2:$CJ$41,MATCH($B49,'[2]Data 2022 to Oct24'!$B$2:$B$41),H$23)</f>
        <v>0</v>
      </c>
      <c r="I49" s="3" cm="1">
        <f t="array" ref="I49">INDEX('[2]Data 2022 to Oct24'!$E$2:$CJ$41,MATCH($B49,'[2]Data 2022 to Oct24'!$B$2:$B$41),I$23)</f>
        <v>0</v>
      </c>
      <c r="J49" s="3" cm="1">
        <f t="array" ref="J49">INDEX('[2]Data 2022 to Oct24'!$E$2:$CJ$41,MATCH($B49,'[2]Data 2022 to Oct24'!$B$2:$B$41),J$23)</f>
        <v>0</v>
      </c>
      <c r="K49" s="3" cm="1">
        <f t="array" ref="K49">INDEX('[2]Data 2022 to Oct24'!$E$2:$CJ$41,MATCH($B49,'[2]Data 2022 to Oct24'!$B$2:$B$41),K$23)</f>
        <v>0</v>
      </c>
      <c r="L49" s="3" cm="1">
        <f t="array" ref="L49">INDEX('[2]Data 2022 to Oct24'!$E$2:$CJ$41,MATCH($B49,'[2]Data 2022 to Oct24'!$B$2:$B$41),L$23)</f>
        <v>0</v>
      </c>
      <c r="M49" s="3" cm="1">
        <f t="array" ref="M49">INDEX('[2]Data 2022 to Oct24'!$E$2:$CJ$41,MATCH($B49,'[2]Data 2022 to Oct24'!$B$2:$B$41),M$23)</f>
        <v>0</v>
      </c>
      <c r="N49" s="3" cm="1">
        <f t="array" ref="N49">INDEX('[2]Data 2022 to Oct24'!$E$2:$CJ$41,MATCH($B49,'[2]Data 2022 to Oct24'!$B$2:$B$41),N$23)</f>
        <v>0</v>
      </c>
      <c r="O49" s="3" cm="1">
        <f t="array" ref="O49">INDEX('[2]Data 2022 to Oct24'!$E$2:$CJ$41,MATCH($B49,'[2]Data 2022 to Oct24'!$B$2:$B$41),O$23)</f>
        <v>0</v>
      </c>
      <c r="P49" s="3" cm="1">
        <f t="array" ref="P49">INDEX('[2]Data 2022 to Oct24'!$E$2:$CJ$41,MATCH($B49,'[2]Data 2022 to Oct24'!$B$2:$B$41),P$23)</f>
        <v>0</v>
      </c>
      <c r="Q49" s="3" cm="1">
        <f t="array" ref="Q49">INDEX('[2]Data 2022 to Oct24'!$E$2:$CJ$41,MATCH($B49,'[2]Data 2022 to Oct24'!$B$2:$B$41),Q$23)</f>
        <v>0</v>
      </c>
      <c r="R49" s="3" cm="1">
        <f t="array" ref="R49">INDEX('[2]Data 2022 to Oct24'!$E$2:$CJ$41,MATCH($B49,'[2]Data 2022 to Oct24'!$B$2:$B$41),R$23)</f>
        <v>0</v>
      </c>
      <c r="T49" s="4">
        <f>SUM($G49:G49)</f>
        <v>0</v>
      </c>
      <c r="U49" s="4">
        <f>SUM($G49:H49)</f>
        <v>0</v>
      </c>
      <c r="V49" s="4">
        <f>SUM($G49:I49)</f>
        <v>0</v>
      </c>
      <c r="W49" s="4">
        <f>SUM($G49:J49)</f>
        <v>0</v>
      </c>
      <c r="X49" s="4">
        <f>SUM($G49:K49)</f>
        <v>0</v>
      </c>
      <c r="Y49" s="4">
        <f>SUM($G49:L49)</f>
        <v>0</v>
      </c>
      <c r="Z49" s="4">
        <f>SUM($G49:M49)</f>
        <v>0</v>
      </c>
      <c r="AA49" s="4">
        <f>SUM($G49:N49)</f>
        <v>0</v>
      </c>
      <c r="AB49" s="4">
        <f>SUM($G49:O49)</f>
        <v>0</v>
      </c>
      <c r="AC49" s="4">
        <f>SUM($G49:P49)</f>
        <v>0</v>
      </c>
      <c r="AD49" s="4">
        <f>SUM($G49:Q49)</f>
        <v>0</v>
      </c>
      <c r="AE49" s="4">
        <f>SUM($G49:R49)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FEBF-9CE6-4F46-8733-427A5CDBFEE9}">
  <dimension ref="B1:AF49"/>
  <sheetViews>
    <sheetView topLeftCell="F19" workbookViewId="0">
      <selection activeCell="I27" sqref="I27"/>
    </sheetView>
  </sheetViews>
  <sheetFormatPr defaultRowHeight="15"/>
  <cols>
    <col min="2" max="2" width="6" bestFit="1" customWidth="1"/>
    <col min="3" max="3" width="40.42578125" bestFit="1" customWidth="1"/>
    <col min="4" max="7" width="12.85546875" customWidth="1"/>
    <col min="8" max="11" width="9.5703125" bestFit="1" customWidth="1"/>
    <col min="12" max="14" width="10.5703125" bestFit="1" customWidth="1"/>
    <col min="15" max="15" width="9.5703125" bestFit="1" customWidth="1"/>
    <col min="16" max="16" width="10.5703125" bestFit="1" customWidth="1"/>
    <col min="17" max="19" width="9.5703125" bestFit="1" customWidth="1"/>
  </cols>
  <sheetData>
    <row r="1" spans="4:19">
      <c r="D1" s="1" t="s">
        <v>11</v>
      </c>
      <c r="E1" s="1"/>
    </row>
    <row r="2" spans="4:19">
      <c r="D2" t="s">
        <v>89</v>
      </c>
      <c r="H2">
        <f>SUMIFS(H$25:H$76, $D$25:$D$76, $D$1)</f>
        <v>3456.36</v>
      </c>
      <c r="I2">
        <f t="shared" ref="I2:S2" si="0">SUMIFS(I$25:I$76, $D$25:$D$76, $D$1)</f>
        <v>15075.98</v>
      </c>
      <c r="J2">
        <f t="shared" si="0"/>
        <v>11339.970000000001</v>
      </c>
      <c r="K2">
        <f t="shared" si="0"/>
        <v>10523.67</v>
      </c>
      <c r="L2">
        <f t="shared" si="0"/>
        <v>25910.01</v>
      </c>
      <c r="M2">
        <f t="shared" si="0"/>
        <v>5428.43</v>
      </c>
      <c r="N2">
        <f t="shared" si="0"/>
        <v>5654.86</v>
      </c>
      <c r="O2">
        <f t="shared" si="0"/>
        <v>21514.27</v>
      </c>
      <c r="P2">
        <f t="shared" si="0"/>
        <v>16608.170000000002</v>
      </c>
      <c r="Q2">
        <f t="shared" si="0"/>
        <v>15379.869999999999</v>
      </c>
      <c r="R2">
        <f t="shared" si="0"/>
        <v>1864.53</v>
      </c>
      <c r="S2">
        <f t="shared" si="0"/>
        <v>4143.66</v>
      </c>
    </row>
    <row r="3" spans="4:19">
      <c r="D3" t="s">
        <v>90</v>
      </c>
      <c r="H3">
        <f>SUM($H2:H2)</f>
        <v>3456.36</v>
      </c>
      <c r="I3">
        <f>SUM($H2:I2)</f>
        <v>18532.34</v>
      </c>
      <c r="J3">
        <f>SUM($H2:J2)</f>
        <v>29872.31</v>
      </c>
      <c r="K3">
        <f>SUM($H2:K2)</f>
        <v>40395.980000000003</v>
      </c>
      <c r="L3">
        <f>SUM($H2:L2)</f>
        <v>66305.990000000005</v>
      </c>
      <c r="M3">
        <f>SUM($H2:M2)</f>
        <v>71734.420000000013</v>
      </c>
      <c r="N3">
        <f>SUM($H2:N2)</f>
        <v>77389.280000000013</v>
      </c>
      <c r="O3">
        <f>SUM($H2:O2)</f>
        <v>98903.550000000017</v>
      </c>
      <c r="P3">
        <f>SUM($H2:P2)</f>
        <v>115511.72000000002</v>
      </c>
      <c r="Q3">
        <f>SUM($H2:Q2)</f>
        <v>130891.59000000001</v>
      </c>
      <c r="R3">
        <f>SUM($H2:R2)</f>
        <v>132756.12000000002</v>
      </c>
      <c r="S3">
        <f>SUM($H2:S2)</f>
        <v>136899.78000000003</v>
      </c>
    </row>
    <row r="4" spans="4:19">
      <c r="D4" t="s">
        <v>91</v>
      </c>
      <c r="H4">
        <f>COUNTIFS(H$25:H$76,"&gt;0", $D$25:$D$76, $D$1)</f>
        <v>1</v>
      </c>
      <c r="I4">
        <f t="shared" ref="I4:S4" si="1">COUNTIFS(I$25:I$76,"&gt;0", $D$25:$D$76, $D$1)</f>
        <v>3</v>
      </c>
      <c r="J4">
        <f t="shared" si="1"/>
        <v>2</v>
      </c>
      <c r="K4">
        <f t="shared" si="1"/>
        <v>3</v>
      </c>
      <c r="L4">
        <f t="shared" si="1"/>
        <v>2</v>
      </c>
      <c r="M4">
        <f t="shared" si="1"/>
        <v>2</v>
      </c>
      <c r="N4">
        <f t="shared" si="1"/>
        <v>2</v>
      </c>
      <c r="O4">
        <f t="shared" si="1"/>
        <v>2</v>
      </c>
      <c r="P4">
        <f t="shared" si="1"/>
        <v>2</v>
      </c>
      <c r="Q4">
        <f t="shared" si="1"/>
        <v>2</v>
      </c>
      <c r="R4">
        <f t="shared" si="1"/>
        <v>1</v>
      </c>
      <c r="S4">
        <f t="shared" si="1"/>
        <v>2</v>
      </c>
    </row>
    <row r="5" spans="4:19">
      <c r="D5" t="s">
        <v>92</v>
      </c>
      <c r="H5">
        <f>COUNTIFS(U$25:U$76,"&gt;0", $D$25:$D$76, $D$1)</f>
        <v>1</v>
      </c>
      <c r="I5">
        <f t="shared" ref="I5:S5" si="2">COUNTIFS(V$25:V$76,"&gt;0", $D$25:$D$76, $D$1)</f>
        <v>3</v>
      </c>
      <c r="J5">
        <f t="shared" si="2"/>
        <v>3</v>
      </c>
      <c r="K5">
        <f t="shared" si="2"/>
        <v>3</v>
      </c>
      <c r="L5">
        <f t="shared" si="2"/>
        <v>3</v>
      </c>
      <c r="M5">
        <f t="shared" si="2"/>
        <v>3</v>
      </c>
      <c r="N5">
        <f t="shared" si="2"/>
        <v>3</v>
      </c>
      <c r="O5">
        <f t="shared" si="2"/>
        <v>3</v>
      </c>
      <c r="P5">
        <f t="shared" si="2"/>
        <v>3</v>
      </c>
      <c r="Q5">
        <f t="shared" si="2"/>
        <v>3</v>
      </c>
      <c r="R5">
        <f t="shared" si="2"/>
        <v>3</v>
      </c>
      <c r="S5">
        <f t="shared" si="2"/>
        <v>3</v>
      </c>
    </row>
    <row r="6" spans="4:19">
      <c r="D6" t="s">
        <v>93</v>
      </c>
      <c r="H6">
        <f t="shared" ref="H6:S6" si="3">COUNTIFS($F$25:$F$76,"Yes", $D$25:$D$76, $D$1)+COUNTIFS( $G$25:$G$76, "&lt;="&amp;H$24, $D$25:$D$76, $D$1)</f>
        <v>3</v>
      </c>
      <c r="I6">
        <f t="shared" si="3"/>
        <v>3</v>
      </c>
      <c r="J6">
        <f t="shared" si="3"/>
        <v>3</v>
      </c>
      <c r="K6">
        <f t="shared" si="3"/>
        <v>3</v>
      </c>
      <c r="L6">
        <f t="shared" si="3"/>
        <v>3</v>
      </c>
      <c r="M6">
        <f t="shared" si="3"/>
        <v>3</v>
      </c>
      <c r="N6">
        <f t="shared" si="3"/>
        <v>3</v>
      </c>
      <c r="O6">
        <f t="shared" si="3"/>
        <v>3</v>
      </c>
      <c r="P6">
        <f t="shared" si="3"/>
        <v>3</v>
      </c>
      <c r="Q6">
        <f t="shared" si="3"/>
        <v>3</v>
      </c>
      <c r="R6">
        <f t="shared" si="3"/>
        <v>3</v>
      </c>
      <c r="S6">
        <f t="shared" si="3"/>
        <v>3</v>
      </c>
    </row>
    <row r="7" spans="4:19">
      <c r="D7" t="s">
        <v>94</v>
      </c>
      <c r="H7">
        <f t="shared" ref="H7:S7" si="4">COUNTIFS( $G$25:$G$76, H$24, $D$25:$D$76, $D$1)</f>
        <v>0</v>
      </c>
      <c r="I7">
        <f t="shared" si="4"/>
        <v>0</v>
      </c>
      <c r="J7">
        <f t="shared" si="4"/>
        <v>0</v>
      </c>
      <c r="K7">
        <f t="shared" si="4"/>
        <v>0</v>
      </c>
      <c r="L7">
        <f t="shared" si="4"/>
        <v>0</v>
      </c>
      <c r="M7">
        <f t="shared" si="4"/>
        <v>0</v>
      </c>
      <c r="N7">
        <f t="shared" si="4"/>
        <v>0</v>
      </c>
      <c r="O7">
        <f t="shared" si="4"/>
        <v>0</v>
      </c>
      <c r="P7">
        <f t="shared" si="4"/>
        <v>0</v>
      </c>
      <c r="Q7">
        <f t="shared" si="4"/>
        <v>0</v>
      </c>
      <c r="R7">
        <f t="shared" si="4"/>
        <v>0</v>
      </c>
      <c r="S7">
        <f t="shared" si="4"/>
        <v>0</v>
      </c>
    </row>
    <row r="8" spans="4:19">
      <c r="D8" t="s">
        <v>95</v>
      </c>
      <c r="H8">
        <f>SUM($H7:H7)</f>
        <v>0</v>
      </c>
      <c r="I8">
        <f>SUM($H7:I7)</f>
        <v>0</v>
      </c>
      <c r="J8">
        <f>SUM($H7:J7)</f>
        <v>0</v>
      </c>
      <c r="K8">
        <f>SUM($H7:K7)</f>
        <v>0</v>
      </c>
      <c r="L8">
        <f>SUM($H7:L7)</f>
        <v>0</v>
      </c>
      <c r="M8">
        <f>SUM($H7:M7)</f>
        <v>0</v>
      </c>
      <c r="N8">
        <f>SUM($H7:N7)</f>
        <v>0</v>
      </c>
      <c r="O8">
        <f>SUM($H7:O7)</f>
        <v>0</v>
      </c>
      <c r="P8">
        <f>SUM($H7:P7)</f>
        <v>0</v>
      </c>
      <c r="Q8">
        <f>SUM($H7:Q7)</f>
        <v>0</v>
      </c>
      <c r="R8">
        <f>SUM($H7:R7)</f>
        <v>0</v>
      </c>
      <c r="S8">
        <f>SUM($H7:S7)</f>
        <v>0</v>
      </c>
    </row>
    <row r="9" spans="4:19">
      <c r="D9" t="s">
        <v>96</v>
      </c>
      <c r="H9">
        <f t="shared" ref="H9:S9" si="5">SUMIFS( H$25:H$76, $G$25:$G$76, H$24, $D$25:$D$76, $D$1)</f>
        <v>0</v>
      </c>
      <c r="I9">
        <f t="shared" si="5"/>
        <v>0</v>
      </c>
      <c r="J9">
        <f t="shared" si="5"/>
        <v>0</v>
      </c>
      <c r="K9">
        <f t="shared" si="5"/>
        <v>0</v>
      </c>
      <c r="L9">
        <f t="shared" si="5"/>
        <v>0</v>
      </c>
      <c r="M9">
        <f t="shared" si="5"/>
        <v>0</v>
      </c>
      <c r="N9">
        <f t="shared" si="5"/>
        <v>0</v>
      </c>
      <c r="O9">
        <f t="shared" si="5"/>
        <v>0</v>
      </c>
      <c r="P9">
        <f t="shared" si="5"/>
        <v>0</v>
      </c>
      <c r="Q9">
        <f t="shared" si="5"/>
        <v>0</v>
      </c>
      <c r="R9">
        <f t="shared" si="5"/>
        <v>0</v>
      </c>
      <c r="S9">
        <f t="shared" si="5"/>
        <v>0</v>
      </c>
    </row>
    <row r="10" spans="4:19">
      <c r="D10" t="s">
        <v>97</v>
      </c>
      <c r="H10">
        <f t="shared" ref="H10:S10" si="6">SUMIFS( U$25:U$76, $G$25:$G$76, "&lt;="&amp;H$24, $D$25:$D$76, $D$1)</f>
        <v>0</v>
      </c>
      <c r="I10">
        <f t="shared" si="6"/>
        <v>0</v>
      </c>
      <c r="J10">
        <f t="shared" si="6"/>
        <v>0</v>
      </c>
      <c r="K10">
        <f t="shared" si="6"/>
        <v>0</v>
      </c>
      <c r="L10">
        <f t="shared" si="6"/>
        <v>0</v>
      </c>
      <c r="M10">
        <f t="shared" si="6"/>
        <v>0</v>
      </c>
      <c r="N10">
        <f t="shared" si="6"/>
        <v>0</v>
      </c>
      <c r="O10">
        <f t="shared" si="6"/>
        <v>0</v>
      </c>
      <c r="P10">
        <f t="shared" si="6"/>
        <v>0</v>
      </c>
      <c r="Q10">
        <f t="shared" si="6"/>
        <v>0</v>
      </c>
      <c r="R10">
        <f t="shared" si="6"/>
        <v>0</v>
      </c>
      <c r="S10">
        <f t="shared" si="6"/>
        <v>0</v>
      </c>
    </row>
    <row r="12" spans="4:19">
      <c r="D12" s="1" t="s">
        <v>10</v>
      </c>
      <c r="E12" s="1"/>
    </row>
    <row r="13" spans="4:19">
      <c r="D13" t="s">
        <v>89</v>
      </c>
      <c r="H13">
        <f t="shared" ref="H13:S13" si="7">SUMIFS(H$25:H$76, $D$25:$D$76, $D$12)</f>
        <v>0</v>
      </c>
      <c r="I13">
        <f t="shared" si="7"/>
        <v>0</v>
      </c>
      <c r="J13">
        <f t="shared" si="7"/>
        <v>0</v>
      </c>
      <c r="K13">
        <f t="shared" si="7"/>
        <v>0</v>
      </c>
      <c r="L13">
        <f t="shared" si="7"/>
        <v>0</v>
      </c>
      <c r="M13">
        <f t="shared" si="7"/>
        <v>0</v>
      </c>
      <c r="N13">
        <f t="shared" si="7"/>
        <v>0</v>
      </c>
      <c r="O13">
        <f t="shared" si="7"/>
        <v>0</v>
      </c>
      <c r="P13">
        <f t="shared" si="7"/>
        <v>0</v>
      </c>
      <c r="Q13">
        <f t="shared" si="7"/>
        <v>0</v>
      </c>
      <c r="R13">
        <f t="shared" si="7"/>
        <v>2266.7800000000002</v>
      </c>
      <c r="S13">
        <f t="shared" si="7"/>
        <v>7829.69</v>
      </c>
    </row>
    <row r="14" spans="4:19">
      <c r="D14" t="s">
        <v>90</v>
      </c>
      <c r="H14">
        <f>SUM($H13:H13)</f>
        <v>0</v>
      </c>
      <c r="I14">
        <f>SUM($H13:I13)</f>
        <v>0</v>
      </c>
      <c r="J14">
        <f>SUM($H13:J13)</f>
        <v>0</v>
      </c>
      <c r="K14">
        <f>SUM($H13:K13)</f>
        <v>0</v>
      </c>
      <c r="L14">
        <f>SUM($H13:L13)</f>
        <v>0</v>
      </c>
      <c r="M14">
        <f>SUM($H13:M13)</f>
        <v>0</v>
      </c>
      <c r="N14">
        <f>SUM($H13:N13)</f>
        <v>0</v>
      </c>
      <c r="O14">
        <f>SUM($H13:O13)</f>
        <v>0</v>
      </c>
      <c r="P14">
        <f>SUM($H13:P13)</f>
        <v>0</v>
      </c>
      <c r="Q14">
        <f>SUM($H13:Q13)</f>
        <v>0</v>
      </c>
      <c r="R14">
        <f>SUM($H13:R13)</f>
        <v>2266.7800000000002</v>
      </c>
      <c r="S14">
        <f>SUM($H13:S13)</f>
        <v>10096.469999999999</v>
      </c>
    </row>
    <row r="15" spans="4:19">
      <c r="D15" t="s">
        <v>91</v>
      </c>
      <c r="H15">
        <f t="shared" ref="H15:S15" si="8">COUNTIFS(H$25:H$76,"&gt;0", $D$25:$D$76, $D$12)</f>
        <v>0</v>
      </c>
      <c r="I15">
        <f t="shared" si="8"/>
        <v>0</v>
      </c>
      <c r="J15">
        <f t="shared" si="8"/>
        <v>0</v>
      </c>
      <c r="K15">
        <f t="shared" si="8"/>
        <v>0</v>
      </c>
      <c r="L15">
        <f t="shared" si="8"/>
        <v>0</v>
      </c>
      <c r="M15">
        <f t="shared" si="8"/>
        <v>0</v>
      </c>
      <c r="N15">
        <f t="shared" si="8"/>
        <v>0</v>
      </c>
      <c r="O15">
        <f t="shared" si="8"/>
        <v>0</v>
      </c>
      <c r="P15">
        <f t="shared" si="8"/>
        <v>0</v>
      </c>
      <c r="Q15">
        <f t="shared" si="8"/>
        <v>0</v>
      </c>
      <c r="R15">
        <f t="shared" si="8"/>
        <v>1</v>
      </c>
      <c r="S15">
        <f t="shared" si="8"/>
        <v>2</v>
      </c>
    </row>
    <row r="16" spans="4:19">
      <c r="D16" t="s">
        <v>92</v>
      </c>
      <c r="H16">
        <f t="shared" ref="H16:S16" si="9">COUNTIFS(U$25:U$76,"&gt;0", $D$25:$D$76, $D$12)</f>
        <v>0</v>
      </c>
      <c r="I16">
        <f t="shared" si="9"/>
        <v>0</v>
      </c>
      <c r="J16">
        <f t="shared" si="9"/>
        <v>0</v>
      </c>
      <c r="K16">
        <f t="shared" si="9"/>
        <v>0</v>
      </c>
      <c r="L16">
        <f t="shared" si="9"/>
        <v>0</v>
      </c>
      <c r="M16">
        <f t="shared" si="9"/>
        <v>0</v>
      </c>
      <c r="N16">
        <f t="shared" si="9"/>
        <v>0</v>
      </c>
      <c r="O16">
        <f t="shared" si="9"/>
        <v>0</v>
      </c>
      <c r="P16">
        <f t="shared" si="9"/>
        <v>0</v>
      </c>
      <c r="Q16">
        <f t="shared" si="9"/>
        <v>0</v>
      </c>
      <c r="R16">
        <f t="shared" si="9"/>
        <v>1</v>
      </c>
      <c r="S16">
        <f t="shared" si="9"/>
        <v>3</v>
      </c>
    </row>
    <row r="17" spans="2:32">
      <c r="D17" t="s">
        <v>93</v>
      </c>
      <c r="H17">
        <f t="shared" ref="H17:S17" si="10">COUNTIFS($F$25:$F$76,"Yes", $D$25:$D$76, $D$12)+COUNTIFS( $G$25:$G$76, "&lt;="&amp;H$24, $D$25:$D$76, $D$12)</f>
        <v>0</v>
      </c>
      <c r="I17">
        <f t="shared" si="10"/>
        <v>0</v>
      </c>
      <c r="J17">
        <f t="shared" si="10"/>
        <v>0</v>
      </c>
      <c r="K17">
        <f t="shared" si="10"/>
        <v>0</v>
      </c>
      <c r="L17">
        <f t="shared" si="10"/>
        <v>0</v>
      </c>
      <c r="M17">
        <f t="shared" si="10"/>
        <v>0</v>
      </c>
      <c r="N17">
        <f t="shared" si="10"/>
        <v>0</v>
      </c>
      <c r="O17">
        <f t="shared" si="10"/>
        <v>0</v>
      </c>
      <c r="P17">
        <f t="shared" si="10"/>
        <v>0</v>
      </c>
      <c r="Q17">
        <f t="shared" si="10"/>
        <v>0</v>
      </c>
      <c r="R17">
        <f t="shared" si="10"/>
        <v>1</v>
      </c>
      <c r="S17">
        <f t="shared" si="10"/>
        <v>3</v>
      </c>
    </row>
    <row r="18" spans="2:32">
      <c r="D18" t="s">
        <v>94</v>
      </c>
      <c r="H18">
        <f t="shared" ref="H18:S18" si="11">COUNTIFS( $G$25:$G$76, H$24, $D$25:$D$76, $D$12)</f>
        <v>0</v>
      </c>
      <c r="I18">
        <f t="shared" si="11"/>
        <v>0</v>
      </c>
      <c r="J18">
        <f t="shared" si="11"/>
        <v>0</v>
      </c>
      <c r="K18">
        <f t="shared" si="11"/>
        <v>0</v>
      </c>
      <c r="L18">
        <f t="shared" si="11"/>
        <v>0</v>
      </c>
      <c r="M18">
        <f t="shared" si="11"/>
        <v>0</v>
      </c>
      <c r="N18">
        <f t="shared" si="11"/>
        <v>0</v>
      </c>
      <c r="O18">
        <f t="shared" si="11"/>
        <v>0</v>
      </c>
      <c r="P18">
        <f t="shared" si="11"/>
        <v>0</v>
      </c>
      <c r="Q18">
        <f t="shared" si="11"/>
        <v>0</v>
      </c>
      <c r="R18">
        <f t="shared" si="11"/>
        <v>1</v>
      </c>
      <c r="S18">
        <f t="shared" si="11"/>
        <v>2</v>
      </c>
    </row>
    <row r="19" spans="2:32">
      <c r="D19" t="s">
        <v>95</v>
      </c>
      <c r="H19">
        <f>SUM($H18:H18)</f>
        <v>0</v>
      </c>
      <c r="I19">
        <f>SUM($H18:I18)</f>
        <v>0</v>
      </c>
      <c r="J19">
        <f>SUM($H18:J18)</f>
        <v>0</v>
      </c>
      <c r="K19">
        <f>SUM($H18:K18)</f>
        <v>0</v>
      </c>
      <c r="L19">
        <f>SUM($H18:L18)</f>
        <v>0</v>
      </c>
      <c r="M19">
        <f>SUM($H18:M18)</f>
        <v>0</v>
      </c>
      <c r="N19">
        <f>SUM($H18:N18)</f>
        <v>0</v>
      </c>
      <c r="O19">
        <f>SUM($H18:O18)</f>
        <v>0</v>
      </c>
      <c r="P19">
        <f>SUM($H18:P18)</f>
        <v>0</v>
      </c>
      <c r="Q19">
        <f>SUM($H18:Q18)</f>
        <v>0</v>
      </c>
      <c r="R19">
        <f>SUM($H18:R18)</f>
        <v>1</v>
      </c>
      <c r="S19">
        <f>SUM($H18:S18)</f>
        <v>3</v>
      </c>
    </row>
    <row r="20" spans="2:32">
      <c r="D20" t="s">
        <v>96</v>
      </c>
      <c r="H20">
        <f t="shared" ref="H20:S20" si="12">SUMIFS( H$25:H$76, $G$25:$G$76, H$24, $D$25:$D$76, $D$12)</f>
        <v>0</v>
      </c>
      <c r="I20">
        <f t="shared" si="12"/>
        <v>0</v>
      </c>
      <c r="J20">
        <f t="shared" si="12"/>
        <v>0</v>
      </c>
      <c r="K20">
        <f t="shared" si="12"/>
        <v>0</v>
      </c>
      <c r="L20">
        <f t="shared" si="12"/>
        <v>0</v>
      </c>
      <c r="M20">
        <f t="shared" si="12"/>
        <v>0</v>
      </c>
      <c r="N20">
        <f t="shared" si="12"/>
        <v>0</v>
      </c>
      <c r="O20">
        <f t="shared" si="12"/>
        <v>0</v>
      </c>
      <c r="P20">
        <f t="shared" si="12"/>
        <v>0</v>
      </c>
      <c r="Q20">
        <f t="shared" si="12"/>
        <v>0</v>
      </c>
      <c r="R20">
        <f t="shared" si="12"/>
        <v>2266.7800000000002</v>
      </c>
      <c r="S20">
        <f t="shared" si="12"/>
        <v>7829.69</v>
      </c>
    </row>
    <row r="21" spans="2:32">
      <c r="D21" t="s">
        <v>97</v>
      </c>
      <c r="H21">
        <f t="shared" ref="H21:S21" si="13">SUMIFS( U$25:U$76, $G$25:$G$76, "&lt;="&amp;H$24, $D$25:$D$76, $D$12)</f>
        <v>0</v>
      </c>
      <c r="I21">
        <f t="shared" si="13"/>
        <v>0</v>
      </c>
      <c r="J21">
        <f t="shared" si="13"/>
        <v>0</v>
      </c>
      <c r="K21">
        <f t="shared" si="13"/>
        <v>0</v>
      </c>
      <c r="L21">
        <f t="shared" si="13"/>
        <v>0</v>
      </c>
      <c r="M21">
        <f t="shared" si="13"/>
        <v>0</v>
      </c>
      <c r="N21">
        <f t="shared" si="13"/>
        <v>0</v>
      </c>
      <c r="O21">
        <f t="shared" si="13"/>
        <v>0</v>
      </c>
      <c r="P21">
        <f t="shared" si="13"/>
        <v>0</v>
      </c>
      <c r="Q21">
        <f t="shared" si="13"/>
        <v>0</v>
      </c>
      <c r="R21">
        <f t="shared" si="13"/>
        <v>2266.7800000000002</v>
      </c>
      <c r="S21">
        <f t="shared" si="13"/>
        <v>10096.469999999999</v>
      </c>
    </row>
    <row r="23" spans="2:32">
      <c r="H23">
        <v>37</v>
      </c>
      <c r="I23">
        <f>H23+3</f>
        <v>40</v>
      </c>
      <c r="J23">
        <f t="shared" ref="J23:S23" si="14">I23+3</f>
        <v>43</v>
      </c>
      <c r="K23">
        <f t="shared" si="14"/>
        <v>46</v>
      </c>
      <c r="L23">
        <f t="shared" si="14"/>
        <v>49</v>
      </c>
      <c r="M23">
        <f t="shared" si="14"/>
        <v>52</v>
      </c>
      <c r="N23">
        <f t="shared" si="14"/>
        <v>55</v>
      </c>
      <c r="O23">
        <f t="shared" si="14"/>
        <v>58</v>
      </c>
      <c r="P23">
        <f t="shared" si="14"/>
        <v>61</v>
      </c>
      <c r="Q23">
        <f t="shared" si="14"/>
        <v>64</v>
      </c>
      <c r="R23">
        <f t="shared" si="14"/>
        <v>67</v>
      </c>
      <c r="S23">
        <f t="shared" si="14"/>
        <v>70</v>
      </c>
    </row>
    <row r="24" spans="2:32">
      <c r="D24" t="s">
        <v>98</v>
      </c>
      <c r="E24" t="s">
        <v>69</v>
      </c>
      <c r="F24" t="s">
        <v>99</v>
      </c>
      <c r="G24" t="s">
        <v>100</v>
      </c>
      <c r="H24" s="2">
        <v>44927</v>
      </c>
      <c r="I24" s="2">
        <v>44958</v>
      </c>
      <c r="J24" s="2">
        <v>44986</v>
      </c>
      <c r="K24" s="2">
        <v>45017</v>
      </c>
      <c r="L24" s="2">
        <v>45047</v>
      </c>
      <c r="M24" s="2">
        <v>45078</v>
      </c>
      <c r="N24" s="2">
        <v>45108</v>
      </c>
      <c r="O24" s="2">
        <v>45139</v>
      </c>
      <c r="P24" s="2">
        <v>45170</v>
      </c>
      <c r="Q24" s="2">
        <v>45200</v>
      </c>
      <c r="R24" s="2">
        <v>45231</v>
      </c>
      <c r="S24" s="2">
        <v>45261</v>
      </c>
    </row>
    <row r="25" spans="2:32">
      <c r="B25">
        <v>51101</v>
      </c>
      <c r="C25" t="s">
        <v>63</v>
      </c>
      <c r="D25" t="str">
        <f>VLOOKUP($B25, Mapping!$A:$E, 5, 0)</f>
        <v>Retail</v>
      </c>
      <c r="E25" t="str">
        <f>IF(D25="Spa",VLOOKUP($B25,Mapping!$A:$D,4,0), D25)</f>
        <v>Retail</v>
      </c>
      <c r="F25" t="s">
        <v>83</v>
      </c>
      <c r="G25" t="s">
        <v>101</v>
      </c>
      <c r="H25" s="3" cm="1">
        <f t="array" ref="H25">INDEX('[2]Data 2022 to Oct24'!$E$2:$CJ$41,MATCH($B25,'[2]Data 2022 to Oct24'!$B$2:$B$41),H$23)</f>
        <v>0</v>
      </c>
      <c r="I25" s="3" cm="1">
        <f t="array" ref="I25">INDEX('[2]Data 2022 to Oct24'!$E$2:$CJ$41,MATCH($B25,'[2]Data 2022 to Oct24'!$B$2:$B$41),I$23)</f>
        <v>11174.34</v>
      </c>
      <c r="J25" s="3" cm="1">
        <f t="array" ref="J25">INDEX('[2]Data 2022 to Oct24'!$E$2:$CJ$41,MATCH($B25,'[2]Data 2022 to Oct24'!$B$2:$B$41),J$23)</f>
        <v>6360.22</v>
      </c>
      <c r="K25" s="3" cm="1">
        <f t="array" ref="K25">INDEX('[2]Data 2022 to Oct24'!$E$2:$CJ$41,MATCH($B25,'[2]Data 2022 to Oct24'!$B$2:$B$41),K$23)</f>
        <v>8054.93</v>
      </c>
      <c r="L25" s="3" cm="1">
        <f t="array" ref="L25">INDEX('[2]Data 2022 to Oct24'!$E$2:$CJ$41,MATCH($B25,'[2]Data 2022 to Oct24'!$B$2:$B$41),L$23)</f>
        <v>23429.8</v>
      </c>
      <c r="M25" s="3" cm="1">
        <f t="array" ref="M25">INDEX('[2]Data 2022 to Oct24'!$E$2:$CJ$41,MATCH($B25,'[2]Data 2022 to Oct24'!$B$2:$B$41),M$23)</f>
        <v>4147.08</v>
      </c>
      <c r="N25" s="3" cm="1">
        <f t="array" ref="N25">INDEX('[2]Data 2022 to Oct24'!$E$2:$CJ$41,MATCH($B25,'[2]Data 2022 to Oct24'!$B$2:$B$41),N$23)</f>
        <v>4586.91</v>
      </c>
      <c r="O25" s="3" cm="1">
        <f t="array" ref="O25">INDEX('[2]Data 2022 to Oct24'!$E$2:$CJ$41,MATCH($B25,'[2]Data 2022 to Oct24'!$B$2:$B$41),O$23)</f>
        <v>18599.96</v>
      </c>
      <c r="P25" s="3" cm="1">
        <f t="array" ref="P25">INDEX('[2]Data 2022 to Oct24'!$E$2:$CJ$41,MATCH($B25,'[2]Data 2022 to Oct24'!$B$2:$B$41),P$23)</f>
        <v>15707.34</v>
      </c>
      <c r="Q25" s="3" cm="1">
        <f t="array" ref="Q25">INDEX('[2]Data 2022 to Oct24'!$E$2:$CJ$41,MATCH($B25,'[2]Data 2022 to Oct24'!$B$2:$B$41),Q$23)</f>
        <v>12675.39</v>
      </c>
      <c r="R25" s="3" cm="1">
        <f t="array" ref="R25">INDEX('[2]Data 2022 to Oct24'!$E$2:$CJ$41,MATCH($B25,'[2]Data 2022 to Oct24'!$B$2:$B$41),R$23)</f>
        <v>0</v>
      </c>
      <c r="S25" s="3" cm="1">
        <f t="array" ref="S25">INDEX('[2]Data 2022 to Oct24'!$E$2:$CJ$41,MATCH($B25,'[2]Data 2022 to Oct24'!$B$2:$B$41),S$23)</f>
        <v>3934.31</v>
      </c>
      <c r="U25" s="4">
        <f>SUM($H25:H25)</f>
        <v>0</v>
      </c>
      <c r="V25" s="4">
        <f>SUM($H25:I25)</f>
        <v>11174.34</v>
      </c>
      <c r="W25" s="4">
        <f>SUM($H25:J25)</f>
        <v>17534.560000000001</v>
      </c>
      <c r="X25" s="4">
        <f>SUM($H25:K25)</f>
        <v>25589.49</v>
      </c>
      <c r="Y25" s="4">
        <f>SUM($H25:L25)</f>
        <v>49019.29</v>
      </c>
      <c r="Z25" s="4">
        <f>SUM($H25:M25)</f>
        <v>53166.37</v>
      </c>
      <c r="AA25" s="4">
        <f>SUM($H25:N25)</f>
        <v>57753.279999999999</v>
      </c>
      <c r="AB25" s="4">
        <f>SUM($H25:O25)</f>
        <v>76353.239999999991</v>
      </c>
      <c r="AC25" s="4">
        <f>SUM($H25:P25)</f>
        <v>92060.579999999987</v>
      </c>
      <c r="AD25" s="4">
        <f>SUM($H25:Q25)</f>
        <v>104735.96999999999</v>
      </c>
      <c r="AE25" s="4">
        <f>SUM($H25:R25)</f>
        <v>104735.96999999999</v>
      </c>
      <c r="AF25" s="4">
        <f>SUM($H25:S25)</f>
        <v>108670.27999999998</v>
      </c>
    </row>
    <row r="26" spans="2:32">
      <c r="B26">
        <v>51172</v>
      </c>
      <c r="C26" t="s">
        <v>64</v>
      </c>
      <c r="D26" t="str">
        <f>VLOOKUP($B26, Mapping!$A:$E, 5, 0)</f>
        <v>Retail</v>
      </c>
      <c r="E26" t="str">
        <f>IF(D26="Spa",VLOOKUP($B26,Mapping!$A:$D,4,0), D26)</f>
        <v>Retail</v>
      </c>
      <c r="F26" t="s">
        <v>83</v>
      </c>
      <c r="G26" t="s">
        <v>101</v>
      </c>
      <c r="H26" s="3" cm="1">
        <f t="array" ref="H26">INDEX('[2]Data 2022 to Oct24'!$E$2:$CJ$41,MATCH($B26,'[2]Data 2022 to Oct24'!$B$2:$B$41),H$23)</f>
        <v>3456.36</v>
      </c>
      <c r="I26" s="3" cm="1">
        <f t="array" ref="I26">INDEX('[2]Data 2022 to Oct24'!$E$2:$CJ$41,MATCH($B26,'[2]Data 2022 to Oct24'!$B$2:$B$41),I$23)</f>
        <v>2799.14</v>
      </c>
      <c r="J26" s="3" cm="1">
        <f t="array" ref="J26">INDEX('[2]Data 2022 to Oct24'!$E$2:$CJ$41,MATCH($B26,'[2]Data 2022 to Oct24'!$B$2:$B$41),J$23)</f>
        <v>4979.75</v>
      </c>
      <c r="K26" s="3" cm="1">
        <f t="array" ref="K26">INDEX('[2]Data 2022 to Oct24'!$E$2:$CJ$41,MATCH($B26,'[2]Data 2022 to Oct24'!$B$2:$B$41),K$23)</f>
        <v>1321.18</v>
      </c>
      <c r="L26" s="3" cm="1">
        <f t="array" ref="L26">INDEX('[2]Data 2022 to Oct24'!$E$2:$CJ$41,MATCH($B26,'[2]Data 2022 to Oct24'!$B$2:$B$41),L$23)</f>
        <v>2480.21</v>
      </c>
      <c r="M26" s="3" cm="1">
        <f t="array" ref="M26">INDEX('[2]Data 2022 to Oct24'!$E$2:$CJ$41,MATCH($B26,'[2]Data 2022 to Oct24'!$B$2:$B$41),M$23)</f>
        <v>1281.3499999999999</v>
      </c>
      <c r="N26" s="3" cm="1">
        <f t="array" ref="N26">INDEX('[2]Data 2022 to Oct24'!$E$2:$CJ$41,MATCH($B26,'[2]Data 2022 to Oct24'!$B$2:$B$41),N$23)</f>
        <v>1067.95</v>
      </c>
      <c r="O26" s="3" cm="1">
        <f t="array" ref="O26">INDEX('[2]Data 2022 to Oct24'!$E$2:$CJ$41,MATCH($B26,'[2]Data 2022 to Oct24'!$B$2:$B$41),O$23)</f>
        <v>2914.31</v>
      </c>
      <c r="P26" s="3" cm="1">
        <f t="array" ref="P26">INDEX('[2]Data 2022 to Oct24'!$E$2:$CJ$41,MATCH($B26,'[2]Data 2022 to Oct24'!$B$2:$B$41),P$23)</f>
        <v>900.83</v>
      </c>
      <c r="Q26" s="3" cm="1">
        <f t="array" ref="Q26">INDEX('[2]Data 2022 to Oct24'!$E$2:$CJ$41,MATCH($B26,'[2]Data 2022 to Oct24'!$B$2:$B$41),Q$23)</f>
        <v>2704.48</v>
      </c>
      <c r="R26" s="3" cm="1">
        <f t="array" ref="R26">INDEX('[2]Data 2022 to Oct24'!$E$2:$CJ$41,MATCH($B26,'[2]Data 2022 to Oct24'!$B$2:$B$41),R$23)</f>
        <v>1864.53</v>
      </c>
      <c r="S26" s="3" cm="1">
        <f t="array" ref="S26">INDEX('[2]Data 2022 to Oct24'!$E$2:$CJ$41,MATCH($B26,'[2]Data 2022 to Oct24'!$B$2:$B$41),S$23)</f>
        <v>-1067.57</v>
      </c>
      <c r="U26" s="4">
        <f>SUM($H26:H26)</f>
        <v>3456.36</v>
      </c>
      <c r="V26" s="4">
        <f>SUM($H26:I26)</f>
        <v>6255.5</v>
      </c>
      <c r="W26" s="4">
        <f>SUM($H26:J26)</f>
        <v>11235.25</v>
      </c>
      <c r="X26" s="4">
        <f>SUM($H26:K26)</f>
        <v>12556.43</v>
      </c>
      <c r="Y26" s="4">
        <f>SUM($H26:L26)</f>
        <v>15036.64</v>
      </c>
      <c r="Z26" s="4">
        <f>SUM($H26:M26)</f>
        <v>16317.99</v>
      </c>
      <c r="AA26" s="4">
        <f>SUM($H26:N26)</f>
        <v>17385.939999999999</v>
      </c>
      <c r="AB26" s="4">
        <f>SUM($H26:O26)</f>
        <v>20300.25</v>
      </c>
      <c r="AC26" s="4">
        <f>SUM($H26:P26)</f>
        <v>21201.08</v>
      </c>
      <c r="AD26" s="4">
        <f>SUM($H26:Q26)</f>
        <v>23905.56</v>
      </c>
      <c r="AE26" s="4">
        <f>SUM($H26:R26)</f>
        <v>25770.09</v>
      </c>
      <c r="AF26" s="4">
        <f>SUM($H26:S26)</f>
        <v>24702.52</v>
      </c>
    </row>
    <row r="27" spans="2:32">
      <c r="B27">
        <v>51175</v>
      </c>
      <c r="C27" t="s">
        <v>66</v>
      </c>
      <c r="D27" t="str">
        <f>VLOOKUP($B27, Mapping!$A:$E, 5, 0)</f>
        <v>eTailers</v>
      </c>
      <c r="E27" t="str">
        <f>IF(D27="Spa",VLOOKUP($B27,Mapping!$A:$D,4,0), D27)</f>
        <v>eTailers</v>
      </c>
      <c r="F27" t="s">
        <v>83</v>
      </c>
      <c r="G27" t="s">
        <v>101</v>
      </c>
      <c r="H27" s="3" cm="1">
        <f t="array" ref="H27">INDEX('[2]Data 2022 to Oct24'!$E$2:$CJ$41,MATCH($B27,'[2]Data 2022 to Oct24'!$B$2:$B$41),H$23)</f>
        <v>19307.61</v>
      </c>
      <c r="I27" s="3" cm="1">
        <f t="array" ref="I27">INDEX('[2]Data 2022 to Oct24'!$E$2:$CJ$41,MATCH($B27,'[2]Data 2022 to Oct24'!$B$2:$B$41),I$23)</f>
        <v>0</v>
      </c>
      <c r="J27" s="3" cm="1">
        <f t="array" ref="J27">INDEX('[2]Data 2022 to Oct24'!$E$2:$CJ$41,MATCH($B27,'[2]Data 2022 to Oct24'!$B$2:$B$41),J$23)</f>
        <v>19307.61</v>
      </c>
      <c r="K27" s="3" cm="1">
        <f t="array" ref="K27">INDEX('[2]Data 2022 to Oct24'!$E$2:$CJ$41,MATCH($B27,'[2]Data 2022 to Oct24'!$B$2:$B$41),K$23)</f>
        <v>7865.55</v>
      </c>
      <c r="L27" s="3" cm="1">
        <f t="array" ref="L27">INDEX('[2]Data 2022 to Oct24'!$E$2:$CJ$41,MATCH($B27,'[2]Data 2022 to Oct24'!$B$2:$B$41),L$23)</f>
        <v>-853.15</v>
      </c>
      <c r="M27" s="3" cm="1">
        <f t="array" ref="M27">INDEX('[2]Data 2022 to Oct24'!$E$2:$CJ$41,MATCH($B27,'[2]Data 2022 to Oct24'!$B$2:$B$41),M$23)</f>
        <v>0</v>
      </c>
      <c r="N27" s="3" cm="1">
        <f t="array" ref="N27">INDEX('[2]Data 2022 to Oct24'!$E$2:$CJ$41,MATCH($B27,'[2]Data 2022 to Oct24'!$B$2:$B$41),N$23)</f>
        <v>0</v>
      </c>
      <c r="O27" s="3" cm="1">
        <f t="array" ref="O27">INDEX('[2]Data 2022 to Oct24'!$E$2:$CJ$41,MATCH($B27,'[2]Data 2022 to Oct24'!$B$2:$B$41),O$23)</f>
        <v>1379.28</v>
      </c>
      <c r="P27" s="3" cm="1">
        <f t="array" ref="P27">INDEX('[2]Data 2022 to Oct24'!$E$2:$CJ$41,MATCH($B27,'[2]Data 2022 to Oct24'!$B$2:$B$41),P$23)</f>
        <v>-1180.2</v>
      </c>
      <c r="Q27" s="3" cm="1">
        <f t="array" ref="Q27">INDEX('[2]Data 2022 to Oct24'!$E$2:$CJ$41,MATCH($B27,'[2]Data 2022 to Oct24'!$B$2:$B$41),Q$23)</f>
        <v>0</v>
      </c>
      <c r="R27" s="3" cm="1">
        <f t="array" ref="R27">INDEX('[2]Data 2022 to Oct24'!$E$2:$CJ$41,MATCH($B27,'[2]Data 2022 to Oct24'!$B$2:$B$41),R$23)</f>
        <v>0</v>
      </c>
      <c r="S27" s="3" cm="1">
        <f t="array" ref="S27">INDEX('[2]Data 2022 to Oct24'!$E$2:$CJ$41,MATCH($B27,'[2]Data 2022 to Oct24'!$B$2:$B$41),S$23)</f>
        <v>-154.35</v>
      </c>
      <c r="U27" s="4">
        <f>SUM($H27:H27)</f>
        <v>19307.61</v>
      </c>
      <c r="V27" s="4">
        <f>SUM($H27:I27)</f>
        <v>19307.61</v>
      </c>
      <c r="W27" s="4">
        <f>SUM($H27:J27)</f>
        <v>38615.22</v>
      </c>
      <c r="X27" s="4">
        <f>SUM($H27:K27)</f>
        <v>46480.770000000004</v>
      </c>
      <c r="Y27" s="4">
        <f>SUM($H27:L27)</f>
        <v>45627.62</v>
      </c>
      <c r="Z27" s="4">
        <f>SUM($H27:M27)</f>
        <v>45627.62</v>
      </c>
      <c r="AA27" s="4">
        <f>SUM($H27:N27)</f>
        <v>45627.62</v>
      </c>
      <c r="AB27" s="4">
        <f>SUM($H27:O27)</f>
        <v>47006.9</v>
      </c>
      <c r="AC27" s="4">
        <f>SUM($H27:P27)</f>
        <v>45826.700000000004</v>
      </c>
      <c r="AD27" s="4">
        <f>SUM($H27:Q27)</f>
        <v>45826.700000000004</v>
      </c>
      <c r="AE27" s="4">
        <f>SUM($H27:R27)</f>
        <v>45826.700000000004</v>
      </c>
      <c r="AF27" s="4">
        <f>SUM($H27:S27)</f>
        <v>45672.350000000006</v>
      </c>
    </row>
    <row r="28" spans="2:32">
      <c r="B28">
        <v>51176</v>
      </c>
      <c r="C28" t="s">
        <v>67</v>
      </c>
      <c r="D28" t="str">
        <f>VLOOKUP($B28, Mapping!$A:$E, 5, 0)</f>
        <v>eTailers</v>
      </c>
      <c r="E28" t="str">
        <f>IF(D28="Spa",VLOOKUP($B28,Mapping!$A:$D,4,0), D28)</f>
        <v>eTailers</v>
      </c>
      <c r="F28" t="s">
        <v>83</v>
      </c>
      <c r="G28" t="s">
        <v>101</v>
      </c>
      <c r="H28" s="3" cm="1">
        <f t="array" ref="H28">INDEX('[2]Data 2022 to Oct24'!$E$2:$CJ$41,MATCH($B28,'[2]Data 2022 to Oct24'!$B$2:$B$41),H$23)</f>
        <v>1820.07</v>
      </c>
      <c r="I28" s="3" cm="1">
        <f t="array" ref="I28">INDEX('[2]Data 2022 to Oct24'!$E$2:$CJ$41,MATCH($B28,'[2]Data 2022 to Oct24'!$B$2:$B$41),I$23)</f>
        <v>13190.11</v>
      </c>
      <c r="J28" s="3" cm="1">
        <f t="array" ref="J28">INDEX('[2]Data 2022 to Oct24'!$E$2:$CJ$41,MATCH($B28,'[2]Data 2022 to Oct24'!$B$2:$B$41),J$23)</f>
        <v>7708.89</v>
      </c>
      <c r="K28" s="3" cm="1">
        <f t="array" ref="K28">INDEX('[2]Data 2022 to Oct24'!$E$2:$CJ$41,MATCH($B28,'[2]Data 2022 to Oct24'!$B$2:$B$41),K$23)</f>
        <v>0</v>
      </c>
      <c r="L28" s="3" cm="1">
        <f t="array" ref="L28">INDEX('[2]Data 2022 to Oct24'!$E$2:$CJ$41,MATCH($B28,'[2]Data 2022 to Oct24'!$B$2:$B$41),L$23)</f>
        <v>496.86</v>
      </c>
      <c r="M28" s="3" cm="1">
        <f t="array" ref="M28">INDEX('[2]Data 2022 to Oct24'!$E$2:$CJ$41,MATCH($B28,'[2]Data 2022 to Oct24'!$B$2:$B$41),M$23)</f>
        <v>1231.02</v>
      </c>
      <c r="N28" s="3" cm="1">
        <f t="array" ref="N28">INDEX('[2]Data 2022 to Oct24'!$E$2:$CJ$41,MATCH($B28,'[2]Data 2022 to Oct24'!$B$2:$B$41),N$23)</f>
        <v>0</v>
      </c>
      <c r="O28" s="3" cm="1">
        <f t="array" ref="O28">INDEX('[2]Data 2022 to Oct24'!$E$2:$CJ$41,MATCH($B28,'[2]Data 2022 to Oct24'!$B$2:$B$41),O$23)</f>
        <v>2157.1799999999998</v>
      </c>
      <c r="P28" s="3" cm="1">
        <f t="array" ref="P28">INDEX('[2]Data 2022 to Oct24'!$E$2:$CJ$41,MATCH($B28,'[2]Data 2022 to Oct24'!$B$2:$B$41),P$23)</f>
        <v>0</v>
      </c>
      <c r="Q28" s="3" cm="1">
        <f t="array" ref="Q28">INDEX('[2]Data 2022 to Oct24'!$E$2:$CJ$41,MATCH($B28,'[2]Data 2022 to Oct24'!$B$2:$B$41),Q$23)</f>
        <v>6018.68</v>
      </c>
      <c r="R28" s="3" cm="1">
        <f t="array" ref="R28">INDEX('[2]Data 2022 to Oct24'!$E$2:$CJ$41,MATCH($B28,'[2]Data 2022 to Oct24'!$B$2:$B$41),R$23)</f>
        <v>0</v>
      </c>
      <c r="S28" s="3" cm="1">
        <f t="array" ref="S28">INDEX('[2]Data 2022 to Oct24'!$E$2:$CJ$41,MATCH($B28,'[2]Data 2022 to Oct24'!$B$2:$B$41),S$23)</f>
        <v>-1255.8800000000001</v>
      </c>
      <c r="U28" s="4">
        <f>SUM($H28:H28)</f>
        <v>1820.07</v>
      </c>
      <c r="V28" s="4">
        <f>SUM($H28:I28)</f>
        <v>15010.18</v>
      </c>
      <c r="W28" s="4">
        <f>SUM($H28:J28)</f>
        <v>22719.07</v>
      </c>
      <c r="X28" s="4">
        <f>SUM($H28:K28)</f>
        <v>22719.07</v>
      </c>
      <c r="Y28" s="4">
        <f>SUM($H28:L28)</f>
        <v>23215.93</v>
      </c>
      <c r="Z28" s="4">
        <f>SUM($H28:M28)</f>
        <v>24446.95</v>
      </c>
      <c r="AA28" s="4">
        <f>SUM($H28:N28)</f>
        <v>24446.95</v>
      </c>
      <c r="AB28" s="4">
        <f>SUM($H28:O28)</f>
        <v>26604.13</v>
      </c>
      <c r="AC28" s="4">
        <f>SUM($H28:P28)</f>
        <v>26604.13</v>
      </c>
      <c r="AD28" s="4">
        <f>SUM($H28:Q28)</f>
        <v>32622.81</v>
      </c>
      <c r="AE28" s="4">
        <f>SUM($H28:R28)</f>
        <v>32622.81</v>
      </c>
      <c r="AF28" s="4">
        <f>SUM($H28:S28)</f>
        <v>31366.93</v>
      </c>
    </row>
    <row r="29" spans="2:32">
      <c r="B29">
        <v>51177</v>
      </c>
      <c r="C29" t="s">
        <v>102</v>
      </c>
      <c r="D29" t="str">
        <f>VLOOKUP($B29, Mapping!$A:$E, 5, 0)</f>
        <v>eTailers</v>
      </c>
      <c r="E29" t="str">
        <f>IF(D29="Spa",VLOOKUP($B29,Mapping!$A:$D,4,0), D29)</f>
        <v>eTailers</v>
      </c>
      <c r="F29" t="s">
        <v>83</v>
      </c>
      <c r="G29" t="s">
        <v>101</v>
      </c>
      <c r="H29" s="3" cm="1">
        <f t="array" ref="H29">INDEX('[2]Data 2022 to Oct24'!$E$2:$CJ$41,MATCH($B29,'[2]Data 2022 to Oct24'!$B$2:$B$41),H$23)</f>
        <v>0</v>
      </c>
      <c r="I29" s="3" cm="1">
        <f t="array" ref="I29">INDEX('[2]Data 2022 to Oct24'!$E$2:$CJ$41,MATCH($B29,'[2]Data 2022 to Oct24'!$B$2:$B$41),I$23)</f>
        <v>7490.94</v>
      </c>
      <c r="J29" s="3" cm="1">
        <f t="array" ref="J29">INDEX('[2]Data 2022 to Oct24'!$E$2:$CJ$41,MATCH($B29,'[2]Data 2022 to Oct24'!$B$2:$B$41),J$23)</f>
        <v>0</v>
      </c>
      <c r="K29" s="3" cm="1">
        <f t="array" ref="K29">INDEX('[2]Data 2022 to Oct24'!$E$2:$CJ$41,MATCH($B29,'[2]Data 2022 to Oct24'!$B$2:$B$41),K$23)</f>
        <v>0</v>
      </c>
      <c r="L29" s="3" cm="1">
        <f t="array" ref="L29">INDEX('[2]Data 2022 to Oct24'!$E$2:$CJ$41,MATCH($B29,'[2]Data 2022 to Oct24'!$B$2:$B$41),L$23)</f>
        <v>0</v>
      </c>
      <c r="M29" s="3" cm="1">
        <f t="array" ref="M29">INDEX('[2]Data 2022 to Oct24'!$E$2:$CJ$41,MATCH($B29,'[2]Data 2022 to Oct24'!$B$2:$B$41),M$23)</f>
        <v>3220.55</v>
      </c>
      <c r="N29" s="3" cm="1">
        <f t="array" ref="N29">INDEX('[2]Data 2022 to Oct24'!$E$2:$CJ$41,MATCH($B29,'[2]Data 2022 to Oct24'!$B$2:$B$41),N$23)</f>
        <v>0</v>
      </c>
      <c r="O29" s="3" cm="1">
        <f t="array" ref="O29">INDEX('[2]Data 2022 to Oct24'!$E$2:$CJ$41,MATCH($B29,'[2]Data 2022 to Oct24'!$B$2:$B$41),O$23)</f>
        <v>0</v>
      </c>
      <c r="P29" s="3" cm="1">
        <f t="array" ref="P29">INDEX('[2]Data 2022 to Oct24'!$E$2:$CJ$41,MATCH($B29,'[2]Data 2022 to Oct24'!$B$2:$B$41),P$23)</f>
        <v>2960.41</v>
      </c>
      <c r="Q29" s="3" cm="1">
        <f t="array" ref="Q29">INDEX('[2]Data 2022 to Oct24'!$E$2:$CJ$41,MATCH($B29,'[2]Data 2022 to Oct24'!$B$2:$B$41),Q$23)</f>
        <v>0</v>
      </c>
      <c r="R29" s="3" cm="1">
        <f t="array" ref="R29">INDEX('[2]Data 2022 to Oct24'!$E$2:$CJ$41,MATCH($B29,'[2]Data 2022 to Oct24'!$B$2:$B$41),R$23)</f>
        <v>0</v>
      </c>
      <c r="S29" s="3" cm="1">
        <f t="array" ref="S29">INDEX('[2]Data 2022 to Oct24'!$E$2:$CJ$41,MATCH($B29,'[2]Data 2022 to Oct24'!$B$2:$B$41),S$23)</f>
        <v>-7006.05</v>
      </c>
      <c r="U29" s="4">
        <f>SUM($H29:H29)</f>
        <v>0</v>
      </c>
      <c r="V29" s="4">
        <f>SUM($H29:I29)</f>
        <v>7490.94</v>
      </c>
      <c r="W29" s="4">
        <f>SUM($H29:J29)</f>
        <v>7490.94</v>
      </c>
      <c r="X29" s="4">
        <f>SUM($H29:K29)</f>
        <v>7490.94</v>
      </c>
      <c r="Y29" s="4">
        <f>SUM($H29:L29)</f>
        <v>7490.94</v>
      </c>
      <c r="Z29" s="4">
        <f>SUM($H29:M29)</f>
        <v>10711.49</v>
      </c>
      <c r="AA29" s="4">
        <f>SUM($H29:N29)</f>
        <v>10711.49</v>
      </c>
      <c r="AB29" s="4">
        <f>SUM($H29:O29)</f>
        <v>10711.49</v>
      </c>
      <c r="AC29" s="4">
        <f>SUM($H29:P29)</f>
        <v>13671.9</v>
      </c>
      <c r="AD29" s="4">
        <f>SUM($H29:Q29)</f>
        <v>13671.9</v>
      </c>
      <c r="AE29" s="4">
        <f>SUM($H29:R29)</f>
        <v>13671.9</v>
      </c>
      <c r="AF29" s="4">
        <f>SUM($H29:S29)</f>
        <v>6665.8499999999995</v>
      </c>
    </row>
    <row r="30" spans="2:32">
      <c r="B30">
        <v>51179</v>
      </c>
      <c r="C30" t="s">
        <v>103</v>
      </c>
      <c r="D30" t="str">
        <f>VLOOKUP($B30, Mapping!$A:$E, 5, 0)</f>
        <v>eTailers</v>
      </c>
      <c r="E30" t="str">
        <f>IF(D30="Spa",VLOOKUP($B30,Mapping!$A:$D,4,0), D30)</f>
        <v>eTailers</v>
      </c>
      <c r="F30" t="s">
        <v>83</v>
      </c>
      <c r="G30" t="s">
        <v>101</v>
      </c>
      <c r="H30" s="3" cm="1">
        <f t="array" ref="H30">INDEX('[2]Data 2022 to Oct24'!$E$2:$CJ$41,MATCH($B30,'[2]Data 2022 to Oct24'!$B$2:$B$41),H$23)</f>
        <v>0</v>
      </c>
      <c r="I30" s="3" cm="1">
        <f t="array" ref="I30">INDEX('[2]Data 2022 to Oct24'!$E$2:$CJ$41,MATCH($B30,'[2]Data 2022 to Oct24'!$B$2:$B$41),I$23)</f>
        <v>-415.08</v>
      </c>
      <c r="J30" s="3" cm="1">
        <f t="array" ref="J30">INDEX('[2]Data 2022 to Oct24'!$E$2:$CJ$41,MATCH($B30,'[2]Data 2022 to Oct24'!$B$2:$B$41),J$23)</f>
        <v>2321.9299999999998</v>
      </c>
      <c r="K30" s="3" cm="1">
        <f t="array" ref="K30">INDEX('[2]Data 2022 to Oct24'!$E$2:$CJ$41,MATCH($B30,'[2]Data 2022 to Oct24'!$B$2:$B$41),K$23)</f>
        <v>0</v>
      </c>
      <c r="L30" s="3" cm="1">
        <f t="array" ref="L30">INDEX('[2]Data 2022 to Oct24'!$E$2:$CJ$41,MATCH($B30,'[2]Data 2022 to Oct24'!$B$2:$B$41),L$23)</f>
        <v>0</v>
      </c>
      <c r="M30" s="3" cm="1">
        <f t="array" ref="M30">INDEX('[2]Data 2022 to Oct24'!$E$2:$CJ$41,MATCH($B30,'[2]Data 2022 to Oct24'!$B$2:$B$41),M$23)</f>
        <v>1693.2</v>
      </c>
      <c r="N30" s="3" cm="1">
        <f t="array" ref="N30">INDEX('[2]Data 2022 to Oct24'!$E$2:$CJ$41,MATCH($B30,'[2]Data 2022 to Oct24'!$B$2:$B$41),N$23)</f>
        <v>0</v>
      </c>
      <c r="O30" s="3" cm="1">
        <f t="array" ref="O30">INDEX('[2]Data 2022 to Oct24'!$E$2:$CJ$41,MATCH($B30,'[2]Data 2022 to Oct24'!$B$2:$B$41),O$23)</f>
        <v>0</v>
      </c>
      <c r="P30" s="3" cm="1">
        <f t="array" ref="P30">INDEX('[2]Data 2022 to Oct24'!$E$2:$CJ$41,MATCH($B30,'[2]Data 2022 to Oct24'!$B$2:$B$41),P$23)</f>
        <v>0</v>
      </c>
      <c r="Q30" s="3" cm="1">
        <f t="array" ref="Q30">INDEX('[2]Data 2022 to Oct24'!$E$2:$CJ$41,MATCH($B30,'[2]Data 2022 to Oct24'!$B$2:$B$41),Q$23)</f>
        <v>0</v>
      </c>
      <c r="R30" s="3" cm="1">
        <f t="array" ref="R30">INDEX('[2]Data 2022 to Oct24'!$E$2:$CJ$41,MATCH($B30,'[2]Data 2022 to Oct24'!$B$2:$B$41),R$23)</f>
        <v>0</v>
      </c>
      <c r="S30" s="3" cm="1">
        <f t="array" ref="S30">INDEX('[2]Data 2022 to Oct24'!$E$2:$CJ$41,MATCH($B30,'[2]Data 2022 to Oct24'!$B$2:$B$41),S$23)</f>
        <v>0</v>
      </c>
      <c r="U30" s="4">
        <f>SUM($H30:H30)</f>
        <v>0</v>
      </c>
      <c r="V30" s="4">
        <f>SUM($H30:I30)</f>
        <v>-415.08</v>
      </c>
      <c r="W30" s="4">
        <f>SUM($H30:J30)</f>
        <v>1906.85</v>
      </c>
      <c r="X30" s="4">
        <f>SUM($H30:K30)</f>
        <v>1906.85</v>
      </c>
      <c r="Y30" s="4">
        <f>SUM($H30:L30)</f>
        <v>1906.85</v>
      </c>
      <c r="Z30" s="4">
        <f>SUM($H30:M30)</f>
        <v>3600.05</v>
      </c>
      <c r="AA30" s="4">
        <f>SUM($H30:N30)</f>
        <v>3600.05</v>
      </c>
      <c r="AB30" s="4">
        <f>SUM($H30:O30)</f>
        <v>3600.05</v>
      </c>
      <c r="AC30" s="4">
        <f>SUM($H30:P30)</f>
        <v>3600.05</v>
      </c>
      <c r="AD30" s="4">
        <f>SUM($H30:Q30)</f>
        <v>3600.05</v>
      </c>
      <c r="AE30" s="4">
        <f>SUM($H30:R30)</f>
        <v>3600.05</v>
      </c>
      <c r="AF30" s="4">
        <f>SUM($H30:S30)</f>
        <v>3600.05</v>
      </c>
    </row>
    <row r="31" spans="2:32">
      <c r="B31">
        <v>51183</v>
      </c>
      <c r="C31" t="s">
        <v>65</v>
      </c>
      <c r="D31" t="str">
        <f>VLOOKUP($B31, Mapping!$A:$E, 5, 0)</f>
        <v>Retail</v>
      </c>
      <c r="E31" t="str">
        <f>IF(D31="Spa",VLOOKUP($B31,Mapping!$A:$D,4,0), D31)</f>
        <v>Retail</v>
      </c>
      <c r="F31" t="s">
        <v>83</v>
      </c>
      <c r="G31" t="s">
        <v>101</v>
      </c>
      <c r="H31" s="3" cm="1">
        <f t="array" ref="H31">INDEX('[2]Data 2022 to Oct24'!$E$2:$CJ$41,MATCH($B31,'[2]Data 2022 to Oct24'!$B$2:$B$41),H$23)</f>
        <v>0</v>
      </c>
      <c r="I31" s="3" cm="1">
        <f t="array" ref="I31">INDEX('[2]Data 2022 to Oct24'!$E$2:$CJ$41,MATCH($B31,'[2]Data 2022 to Oct24'!$B$2:$B$41),I$23)</f>
        <v>1102.5</v>
      </c>
      <c r="J31" s="3" cm="1">
        <f t="array" ref="J31">INDEX('[2]Data 2022 to Oct24'!$E$2:$CJ$41,MATCH($B31,'[2]Data 2022 to Oct24'!$B$2:$B$41),J$23)</f>
        <v>0</v>
      </c>
      <c r="K31" s="3" cm="1">
        <f t="array" ref="K31">INDEX('[2]Data 2022 to Oct24'!$E$2:$CJ$41,MATCH($B31,'[2]Data 2022 to Oct24'!$B$2:$B$41),K$23)</f>
        <v>1147.56</v>
      </c>
      <c r="L31" s="3" cm="1">
        <f t="array" ref="L31">INDEX('[2]Data 2022 to Oct24'!$E$2:$CJ$41,MATCH($B31,'[2]Data 2022 to Oct24'!$B$2:$B$41),L$23)</f>
        <v>0</v>
      </c>
      <c r="M31" s="3" cm="1">
        <f t="array" ref="M31">INDEX('[2]Data 2022 to Oct24'!$E$2:$CJ$41,MATCH($B31,'[2]Data 2022 to Oct24'!$B$2:$B$41),M$23)</f>
        <v>0</v>
      </c>
      <c r="N31" s="3" cm="1">
        <f t="array" ref="N31">INDEX('[2]Data 2022 to Oct24'!$E$2:$CJ$41,MATCH($B31,'[2]Data 2022 to Oct24'!$B$2:$B$41),N$23)</f>
        <v>0</v>
      </c>
      <c r="O31" s="3" cm="1">
        <f t="array" ref="O31">INDEX('[2]Data 2022 to Oct24'!$E$2:$CJ$41,MATCH($B31,'[2]Data 2022 to Oct24'!$B$2:$B$41),O$23)</f>
        <v>0</v>
      </c>
      <c r="P31" s="3" cm="1">
        <f t="array" ref="P31">INDEX('[2]Data 2022 to Oct24'!$E$2:$CJ$41,MATCH($B31,'[2]Data 2022 to Oct24'!$B$2:$B$41),P$23)</f>
        <v>0</v>
      </c>
      <c r="Q31" s="3" cm="1">
        <f t="array" ref="Q31">INDEX('[2]Data 2022 to Oct24'!$E$2:$CJ$41,MATCH($B31,'[2]Data 2022 to Oct24'!$B$2:$B$41),Q$23)</f>
        <v>0</v>
      </c>
      <c r="R31" s="3" cm="1">
        <f t="array" ref="R31">INDEX('[2]Data 2022 to Oct24'!$E$2:$CJ$41,MATCH($B31,'[2]Data 2022 to Oct24'!$B$2:$B$41),R$23)</f>
        <v>0</v>
      </c>
      <c r="S31" s="3" cm="1">
        <f t="array" ref="S31">INDEX('[2]Data 2022 to Oct24'!$E$2:$CJ$41,MATCH($B31,'[2]Data 2022 to Oct24'!$B$2:$B$41),S$23)</f>
        <v>1276.92</v>
      </c>
      <c r="U31" s="4">
        <f>SUM($H31:H31)</f>
        <v>0</v>
      </c>
      <c r="V31" s="4">
        <f>SUM($H31:I31)</f>
        <v>1102.5</v>
      </c>
      <c r="W31" s="4">
        <f>SUM($H31:J31)</f>
        <v>1102.5</v>
      </c>
      <c r="X31" s="4">
        <f>SUM($H31:K31)</f>
        <v>2250.06</v>
      </c>
      <c r="Y31" s="4">
        <f>SUM($H31:L31)</f>
        <v>2250.06</v>
      </c>
      <c r="Z31" s="4">
        <f>SUM($H31:M31)</f>
        <v>2250.06</v>
      </c>
      <c r="AA31" s="4">
        <f>SUM($H31:N31)</f>
        <v>2250.06</v>
      </c>
      <c r="AB31" s="4">
        <f>SUM($H31:O31)</f>
        <v>2250.06</v>
      </c>
      <c r="AC31" s="4">
        <f>SUM($H31:P31)</f>
        <v>2250.06</v>
      </c>
      <c r="AD31" s="4">
        <f>SUM($H31:Q31)</f>
        <v>2250.06</v>
      </c>
      <c r="AE31" s="4">
        <f>SUM($H31:R31)</f>
        <v>2250.06</v>
      </c>
      <c r="AF31" s="4">
        <f>SUM($H31:S31)</f>
        <v>3526.98</v>
      </c>
    </row>
    <row r="32" spans="2:32">
      <c r="B32">
        <v>51206</v>
      </c>
      <c r="C32" t="s">
        <v>104</v>
      </c>
      <c r="D32" t="str">
        <f>VLOOKUP($B32, Mapping!$A:$E, 5, 0)</f>
        <v>Other</v>
      </c>
      <c r="E32" t="str">
        <f>IF(D32="Spa",VLOOKUP($B32,Mapping!$A:$D,4,0), D32)</f>
        <v>Other</v>
      </c>
      <c r="F32" t="s">
        <v>83</v>
      </c>
      <c r="G32" t="s">
        <v>101</v>
      </c>
      <c r="H32" s="3" cm="1">
        <f t="array" ref="H32">INDEX('[2]Data 2022 to Oct24'!$E$2:$CJ$41,MATCH($B32,'[2]Data 2022 to Oct24'!$B$2:$B$41),H$23)</f>
        <v>717.3</v>
      </c>
      <c r="I32" s="3" cm="1">
        <f t="array" ref="I32">INDEX('[2]Data 2022 to Oct24'!$E$2:$CJ$41,MATCH($B32,'[2]Data 2022 to Oct24'!$B$2:$B$41),I$23)</f>
        <v>0</v>
      </c>
      <c r="J32" s="3" cm="1">
        <f t="array" ref="J32">INDEX('[2]Data 2022 to Oct24'!$E$2:$CJ$41,MATCH($B32,'[2]Data 2022 to Oct24'!$B$2:$B$41),J$23)</f>
        <v>139.53</v>
      </c>
      <c r="K32" s="3" cm="1">
        <f t="array" ref="K32">INDEX('[2]Data 2022 to Oct24'!$E$2:$CJ$41,MATCH($B32,'[2]Data 2022 to Oct24'!$B$2:$B$41),K$23)</f>
        <v>119.64</v>
      </c>
      <c r="L32" s="3" cm="1">
        <f t="array" ref="L32">INDEX('[2]Data 2022 to Oct24'!$E$2:$CJ$41,MATCH($B32,'[2]Data 2022 to Oct24'!$B$2:$B$41),L$23)</f>
        <v>0</v>
      </c>
      <c r="M32" s="3" cm="1">
        <f t="array" ref="M32">INDEX('[2]Data 2022 to Oct24'!$E$2:$CJ$41,MATCH($B32,'[2]Data 2022 to Oct24'!$B$2:$B$41),M$23)</f>
        <v>30.87</v>
      </c>
      <c r="N32" s="3" cm="1">
        <f t="array" ref="N32">INDEX('[2]Data 2022 to Oct24'!$E$2:$CJ$41,MATCH($B32,'[2]Data 2022 to Oct24'!$B$2:$B$41),N$23)</f>
        <v>0</v>
      </c>
      <c r="O32" s="3" cm="1">
        <f t="array" ref="O32">INDEX('[2]Data 2022 to Oct24'!$E$2:$CJ$41,MATCH($B32,'[2]Data 2022 to Oct24'!$B$2:$B$41),O$23)</f>
        <v>140.84</v>
      </c>
      <c r="P32" s="3" cm="1">
        <f t="array" ref="P32">INDEX('[2]Data 2022 to Oct24'!$E$2:$CJ$41,MATCH($B32,'[2]Data 2022 to Oct24'!$B$2:$B$41),P$23)</f>
        <v>0</v>
      </c>
      <c r="Q32" s="3" cm="1">
        <f t="array" ref="Q32">INDEX('[2]Data 2022 to Oct24'!$E$2:$CJ$41,MATCH($B32,'[2]Data 2022 to Oct24'!$B$2:$B$41),Q$23)</f>
        <v>0</v>
      </c>
      <c r="R32" s="3" cm="1">
        <f t="array" ref="R32">INDEX('[2]Data 2022 to Oct24'!$E$2:$CJ$41,MATCH($B32,'[2]Data 2022 to Oct24'!$B$2:$B$41),R$23)</f>
        <v>44.41</v>
      </c>
      <c r="S32" s="3" cm="1">
        <f t="array" ref="S32">INDEX('[2]Data 2022 to Oct24'!$E$2:$CJ$41,MATCH($B32,'[2]Data 2022 to Oct24'!$B$2:$B$41),S$23)</f>
        <v>411.65</v>
      </c>
      <c r="U32" s="4">
        <f>SUM($H32:H32)</f>
        <v>717.3</v>
      </c>
      <c r="V32" s="4">
        <f>SUM($H32:I32)</f>
        <v>717.3</v>
      </c>
      <c r="W32" s="4">
        <f>SUM($H32:J32)</f>
        <v>856.82999999999993</v>
      </c>
      <c r="X32" s="4">
        <f>SUM($H32:K32)</f>
        <v>976.46999999999991</v>
      </c>
      <c r="Y32" s="4">
        <f>SUM($H32:L32)</f>
        <v>976.46999999999991</v>
      </c>
      <c r="Z32" s="4">
        <f>SUM($H32:M32)</f>
        <v>1007.3399999999999</v>
      </c>
      <c r="AA32" s="4">
        <f>SUM($H32:N32)</f>
        <v>1007.3399999999999</v>
      </c>
      <c r="AB32" s="4">
        <f>SUM($H32:O32)</f>
        <v>1148.1799999999998</v>
      </c>
      <c r="AC32" s="4">
        <f>SUM($H32:P32)</f>
        <v>1148.1799999999998</v>
      </c>
      <c r="AD32" s="4">
        <f>SUM($H32:Q32)</f>
        <v>1148.1799999999998</v>
      </c>
      <c r="AE32" s="4">
        <f>SUM($H32:R32)</f>
        <v>1192.5899999999999</v>
      </c>
      <c r="AF32" s="4">
        <f>SUM($H32:S32)</f>
        <v>1604.2399999999998</v>
      </c>
    </row>
    <row r="33" spans="2:32">
      <c r="B33">
        <v>53008</v>
      </c>
      <c r="C33" t="s">
        <v>105</v>
      </c>
      <c r="D33" t="str">
        <f>VLOOKUP($B33, Mapping!$A:$E, 5, 0)</f>
        <v>Other</v>
      </c>
      <c r="E33" t="str">
        <f>IF(D33="Spa",VLOOKUP($B33,Mapping!$A:$D,4,0), D33)</f>
        <v>Other</v>
      </c>
      <c r="F33" t="s">
        <v>83</v>
      </c>
      <c r="G33" t="s">
        <v>101</v>
      </c>
      <c r="H33" s="3" cm="1">
        <f t="array" ref="H33">INDEX('[2]Data 2022 to Oct24'!$E$2:$CJ$41,MATCH($B33,'[2]Data 2022 to Oct24'!$B$2:$B$41),H$23)</f>
        <v>596.84</v>
      </c>
      <c r="I33" s="3" cm="1">
        <f t="array" ref="I33">INDEX('[2]Data 2022 to Oct24'!$E$2:$CJ$41,MATCH($B33,'[2]Data 2022 to Oct24'!$B$2:$B$41),I$23)</f>
        <v>0</v>
      </c>
      <c r="J33" s="3" cm="1">
        <f t="array" ref="J33">INDEX('[2]Data 2022 to Oct24'!$E$2:$CJ$41,MATCH($B33,'[2]Data 2022 to Oct24'!$B$2:$B$41),J$23)</f>
        <v>984.7</v>
      </c>
      <c r="K33" s="3" cm="1">
        <f t="array" ref="K33">INDEX('[2]Data 2022 to Oct24'!$E$2:$CJ$41,MATCH($B33,'[2]Data 2022 to Oct24'!$B$2:$B$41),K$23)</f>
        <v>0</v>
      </c>
      <c r="L33" s="3" cm="1">
        <f t="array" ref="L33">INDEX('[2]Data 2022 to Oct24'!$E$2:$CJ$41,MATCH($B33,'[2]Data 2022 to Oct24'!$B$2:$B$41),L$23)</f>
        <v>0</v>
      </c>
      <c r="M33" s="3" cm="1">
        <f t="array" ref="M33">INDEX('[2]Data 2022 to Oct24'!$E$2:$CJ$41,MATCH($B33,'[2]Data 2022 to Oct24'!$B$2:$B$41),M$23)</f>
        <v>0</v>
      </c>
      <c r="N33" s="3" cm="1">
        <f t="array" ref="N33">INDEX('[2]Data 2022 to Oct24'!$E$2:$CJ$41,MATCH($B33,'[2]Data 2022 to Oct24'!$B$2:$B$41),N$23)</f>
        <v>0</v>
      </c>
      <c r="O33" s="3" cm="1">
        <f t="array" ref="O33">INDEX('[2]Data 2022 to Oct24'!$E$2:$CJ$41,MATCH($B33,'[2]Data 2022 to Oct24'!$B$2:$B$41),O$23)</f>
        <v>0</v>
      </c>
      <c r="P33" s="3" cm="1">
        <f t="array" ref="P33">INDEX('[2]Data 2022 to Oct24'!$E$2:$CJ$41,MATCH($B33,'[2]Data 2022 to Oct24'!$B$2:$B$41),P$23)</f>
        <v>0</v>
      </c>
      <c r="Q33" s="3" cm="1">
        <f t="array" ref="Q33">INDEX('[2]Data 2022 to Oct24'!$E$2:$CJ$41,MATCH($B33,'[2]Data 2022 to Oct24'!$B$2:$B$41),Q$23)</f>
        <v>0</v>
      </c>
      <c r="R33" s="3" cm="1">
        <f t="array" ref="R33">INDEX('[2]Data 2022 to Oct24'!$E$2:$CJ$41,MATCH($B33,'[2]Data 2022 to Oct24'!$B$2:$B$41),R$23)</f>
        <v>0</v>
      </c>
      <c r="S33" s="3" cm="1">
        <f t="array" ref="S33">INDEX('[2]Data 2022 to Oct24'!$E$2:$CJ$41,MATCH($B33,'[2]Data 2022 to Oct24'!$B$2:$B$41),S$23)</f>
        <v>289.54000000000002</v>
      </c>
      <c r="U33" s="4">
        <f>SUM($H33:H33)</f>
        <v>596.84</v>
      </c>
      <c r="V33" s="4">
        <f>SUM($H33:I33)</f>
        <v>596.84</v>
      </c>
      <c r="W33" s="4">
        <f>SUM($H33:J33)</f>
        <v>1581.54</v>
      </c>
      <c r="X33" s="4">
        <f>SUM($H33:K33)</f>
        <v>1581.54</v>
      </c>
      <c r="Y33" s="4">
        <f>SUM($H33:L33)</f>
        <v>1581.54</v>
      </c>
      <c r="Z33" s="4">
        <f>SUM($H33:M33)</f>
        <v>1581.54</v>
      </c>
      <c r="AA33" s="4">
        <f>SUM($H33:N33)</f>
        <v>1581.54</v>
      </c>
      <c r="AB33" s="4">
        <f>SUM($H33:O33)</f>
        <v>1581.54</v>
      </c>
      <c r="AC33" s="4">
        <f>SUM($H33:P33)</f>
        <v>1581.54</v>
      </c>
      <c r="AD33" s="4">
        <f>SUM($H33:Q33)</f>
        <v>1581.54</v>
      </c>
      <c r="AE33" s="4">
        <f>SUM($H33:R33)</f>
        <v>1581.54</v>
      </c>
      <c r="AF33" s="4">
        <f>SUM($H33:S33)</f>
        <v>1871.08</v>
      </c>
    </row>
    <row r="34" spans="2:32">
      <c r="B34">
        <v>53011</v>
      </c>
      <c r="C34" t="s">
        <v>106</v>
      </c>
      <c r="D34" t="str">
        <f>VLOOKUP($B34, Mapping!$A:$E, 5, 0)</f>
        <v>Other</v>
      </c>
      <c r="E34" t="str">
        <f>IF(D34="Spa",VLOOKUP($B34,Mapping!$A:$D,4,0), D34)</f>
        <v>Other</v>
      </c>
      <c r="F34" t="s">
        <v>83</v>
      </c>
      <c r="G34" t="s">
        <v>101</v>
      </c>
      <c r="H34" s="3" cm="1">
        <f t="array" ref="H34">INDEX('[2]Data 2022 to Oct24'!$E$2:$CJ$41,MATCH($B34,'[2]Data 2022 to Oct24'!$B$2:$B$41),H$23)</f>
        <v>1341.82</v>
      </c>
      <c r="I34" s="3" cm="1">
        <f t="array" ref="I34">INDEX('[2]Data 2022 to Oct24'!$E$2:$CJ$41,MATCH($B34,'[2]Data 2022 to Oct24'!$B$2:$B$41),I$23)</f>
        <v>0</v>
      </c>
      <c r="J34" s="3" cm="1">
        <f t="array" ref="J34">INDEX('[2]Data 2022 to Oct24'!$E$2:$CJ$41,MATCH($B34,'[2]Data 2022 to Oct24'!$B$2:$B$41),J$23)</f>
        <v>0</v>
      </c>
      <c r="K34" s="3" cm="1">
        <f t="array" ref="K34">INDEX('[2]Data 2022 to Oct24'!$E$2:$CJ$41,MATCH($B34,'[2]Data 2022 to Oct24'!$B$2:$B$41),K$23)</f>
        <v>0</v>
      </c>
      <c r="L34" s="3" cm="1">
        <f t="array" ref="L34">INDEX('[2]Data 2022 to Oct24'!$E$2:$CJ$41,MATCH($B34,'[2]Data 2022 to Oct24'!$B$2:$B$41),L$23)</f>
        <v>0</v>
      </c>
      <c r="M34" s="3" cm="1">
        <f t="array" ref="M34">INDEX('[2]Data 2022 to Oct24'!$E$2:$CJ$41,MATCH($B34,'[2]Data 2022 to Oct24'!$B$2:$B$41),M$23)</f>
        <v>0</v>
      </c>
      <c r="N34" s="3" cm="1">
        <f t="array" ref="N34">INDEX('[2]Data 2022 to Oct24'!$E$2:$CJ$41,MATCH($B34,'[2]Data 2022 to Oct24'!$B$2:$B$41),N$23)</f>
        <v>0</v>
      </c>
      <c r="O34" s="3" cm="1">
        <f t="array" ref="O34">INDEX('[2]Data 2022 to Oct24'!$E$2:$CJ$41,MATCH($B34,'[2]Data 2022 to Oct24'!$B$2:$B$41),O$23)</f>
        <v>0</v>
      </c>
      <c r="P34" s="3" cm="1">
        <f t="array" ref="P34">INDEX('[2]Data 2022 to Oct24'!$E$2:$CJ$41,MATCH($B34,'[2]Data 2022 to Oct24'!$B$2:$B$41),P$23)</f>
        <v>0</v>
      </c>
      <c r="Q34" s="3" cm="1">
        <f t="array" ref="Q34">INDEX('[2]Data 2022 to Oct24'!$E$2:$CJ$41,MATCH($B34,'[2]Data 2022 to Oct24'!$B$2:$B$41),Q$23)</f>
        <v>0</v>
      </c>
      <c r="R34" s="3" cm="1">
        <f t="array" ref="R34">INDEX('[2]Data 2022 to Oct24'!$E$2:$CJ$41,MATCH($B34,'[2]Data 2022 to Oct24'!$B$2:$B$41),R$23)</f>
        <v>0</v>
      </c>
      <c r="S34" s="3" cm="1">
        <f t="array" ref="S34">INDEX('[2]Data 2022 to Oct24'!$E$2:$CJ$41,MATCH($B34,'[2]Data 2022 to Oct24'!$B$2:$B$41),S$23)</f>
        <v>0</v>
      </c>
      <c r="U34" s="4">
        <f>SUM($H34:H34)</f>
        <v>1341.82</v>
      </c>
      <c r="V34" s="4">
        <f>SUM($H34:I34)</f>
        <v>1341.82</v>
      </c>
      <c r="W34" s="4">
        <f>SUM($H34:J34)</f>
        <v>1341.82</v>
      </c>
      <c r="X34" s="4">
        <f>SUM($H34:K34)</f>
        <v>1341.82</v>
      </c>
      <c r="Y34" s="4">
        <f>SUM($H34:L34)</f>
        <v>1341.82</v>
      </c>
      <c r="Z34" s="4">
        <f>SUM($H34:M34)</f>
        <v>1341.82</v>
      </c>
      <c r="AA34" s="4">
        <f>SUM($H34:N34)</f>
        <v>1341.82</v>
      </c>
      <c r="AB34" s="4">
        <f>SUM($H34:O34)</f>
        <v>1341.82</v>
      </c>
      <c r="AC34" s="4">
        <f>SUM($H34:P34)</f>
        <v>1341.82</v>
      </c>
      <c r="AD34" s="4">
        <f>SUM($H34:Q34)</f>
        <v>1341.82</v>
      </c>
      <c r="AE34" s="4">
        <f>SUM($H34:R34)</f>
        <v>1341.82</v>
      </c>
      <c r="AF34" s="4">
        <f>SUM($H34:S34)</f>
        <v>1341.82</v>
      </c>
    </row>
    <row r="35" spans="2:32">
      <c r="B35">
        <v>53012</v>
      </c>
      <c r="C35" t="s">
        <v>107</v>
      </c>
      <c r="D35" t="str">
        <f>VLOOKUP($B35, Mapping!$A:$E, 5, 0)</f>
        <v>Other</v>
      </c>
      <c r="E35" t="str">
        <f>IF(D35="Spa",VLOOKUP($B35,Mapping!$A:$D,4,0), D35)</f>
        <v>Other</v>
      </c>
      <c r="F35" t="s">
        <v>83</v>
      </c>
      <c r="G35" t="s">
        <v>101</v>
      </c>
      <c r="H35" s="3" cm="1">
        <f t="array" ref="H35">INDEX('[2]Data 2022 to Oct24'!$E$2:$CJ$41,MATCH($B35,'[2]Data 2022 to Oct24'!$B$2:$B$41),H$23)</f>
        <v>0</v>
      </c>
      <c r="I35" s="3" cm="1">
        <f t="array" ref="I35">INDEX('[2]Data 2022 to Oct24'!$E$2:$CJ$41,MATCH($B35,'[2]Data 2022 to Oct24'!$B$2:$B$41),I$23)</f>
        <v>0</v>
      </c>
      <c r="J35" s="3" cm="1">
        <f t="array" ref="J35">INDEX('[2]Data 2022 to Oct24'!$E$2:$CJ$41,MATCH($B35,'[2]Data 2022 to Oct24'!$B$2:$B$41),J$23)</f>
        <v>0</v>
      </c>
      <c r="K35" s="3" cm="1">
        <f t="array" ref="K35">INDEX('[2]Data 2022 to Oct24'!$E$2:$CJ$41,MATCH($B35,'[2]Data 2022 to Oct24'!$B$2:$B$41),K$23)</f>
        <v>0</v>
      </c>
      <c r="L35" s="3" cm="1">
        <f t="array" ref="L35">INDEX('[2]Data 2022 to Oct24'!$E$2:$CJ$41,MATCH($B35,'[2]Data 2022 to Oct24'!$B$2:$B$41),L$23)</f>
        <v>0</v>
      </c>
      <c r="M35" s="3" cm="1">
        <f t="array" ref="M35">INDEX('[2]Data 2022 to Oct24'!$E$2:$CJ$41,MATCH($B35,'[2]Data 2022 to Oct24'!$B$2:$B$41),M$23)</f>
        <v>0</v>
      </c>
      <c r="N35" s="3" cm="1">
        <f t="array" ref="N35">INDEX('[2]Data 2022 to Oct24'!$E$2:$CJ$41,MATCH($B35,'[2]Data 2022 to Oct24'!$B$2:$B$41),N$23)</f>
        <v>0</v>
      </c>
      <c r="O35" s="3" cm="1">
        <f t="array" ref="O35">INDEX('[2]Data 2022 to Oct24'!$E$2:$CJ$41,MATCH($B35,'[2]Data 2022 to Oct24'!$B$2:$B$41),O$23)</f>
        <v>0</v>
      </c>
      <c r="P35" s="3" cm="1">
        <f t="array" ref="P35">INDEX('[2]Data 2022 to Oct24'!$E$2:$CJ$41,MATCH($B35,'[2]Data 2022 to Oct24'!$B$2:$B$41),P$23)</f>
        <v>0</v>
      </c>
      <c r="Q35" s="3" cm="1">
        <f t="array" ref="Q35">INDEX('[2]Data 2022 to Oct24'!$E$2:$CJ$41,MATCH($B35,'[2]Data 2022 to Oct24'!$B$2:$B$41),Q$23)</f>
        <v>0</v>
      </c>
      <c r="R35" s="3" cm="1">
        <f t="array" ref="R35">INDEX('[2]Data 2022 to Oct24'!$E$2:$CJ$41,MATCH($B35,'[2]Data 2022 to Oct24'!$B$2:$B$41),R$23)</f>
        <v>0</v>
      </c>
      <c r="S35" s="3" cm="1">
        <f t="array" ref="S35">INDEX('[2]Data 2022 to Oct24'!$E$2:$CJ$41,MATCH($B35,'[2]Data 2022 to Oct24'!$B$2:$B$41),S$23)</f>
        <v>0</v>
      </c>
      <c r="U35" s="4">
        <f>SUM($H35:H35)</f>
        <v>0</v>
      </c>
      <c r="V35" s="4">
        <f>SUM($H35:I35)</f>
        <v>0</v>
      </c>
      <c r="W35" s="4">
        <f>SUM($H35:J35)</f>
        <v>0</v>
      </c>
      <c r="X35" s="4">
        <f>SUM($H35:K35)</f>
        <v>0</v>
      </c>
      <c r="Y35" s="4">
        <f>SUM($H35:L35)</f>
        <v>0</v>
      </c>
      <c r="Z35" s="4">
        <f>SUM($H35:M35)</f>
        <v>0</v>
      </c>
      <c r="AA35" s="4">
        <f>SUM($H35:N35)</f>
        <v>0</v>
      </c>
      <c r="AB35" s="4">
        <f>SUM($H35:O35)</f>
        <v>0</v>
      </c>
      <c r="AC35" s="4">
        <f>SUM($H35:P35)</f>
        <v>0</v>
      </c>
      <c r="AD35" s="4">
        <f>SUM($H35:Q35)</f>
        <v>0</v>
      </c>
      <c r="AE35" s="4">
        <f>SUM($H35:R35)</f>
        <v>0</v>
      </c>
      <c r="AF35" s="4">
        <f>SUM($H35:S35)</f>
        <v>0</v>
      </c>
    </row>
    <row r="36" spans="2:32">
      <c r="B36">
        <v>59100</v>
      </c>
      <c r="C36" t="s">
        <v>108</v>
      </c>
      <c r="D36" t="str">
        <f>VLOOKUP($B36, Mapping!$A:$E, 5, 0)</f>
        <v>Other</v>
      </c>
      <c r="E36" t="str">
        <f>IF(D36="Spa",VLOOKUP($B36,Mapping!$A:$D,4,0), D36)</f>
        <v>Other</v>
      </c>
      <c r="F36" t="s">
        <v>83</v>
      </c>
      <c r="G36" t="s">
        <v>101</v>
      </c>
      <c r="H36" s="3" cm="1">
        <f t="array" ref="H36">INDEX('[2]Data 2022 to Oct24'!$E$2:$CJ$41,MATCH($B36,'[2]Data 2022 to Oct24'!$B$2:$B$41),H$23)</f>
        <v>4786.22</v>
      </c>
      <c r="I36" s="3" cm="1">
        <f t="array" ref="I36">INDEX('[2]Data 2022 to Oct24'!$E$2:$CJ$41,MATCH($B36,'[2]Data 2022 to Oct24'!$B$2:$B$41),I$23)</f>
        <v>3378.14</v>
      </c>
      <c r="J36" s="3" cm="1">
        <f t="array" ref="J36">INDEX('[2]Data 2022 to Oct24'!$E$2:$CJ$41,MATCH($B36,'[2]Data 2022 to Oct24'!$B$2:$B$41),J$23)</f>
        <v>3935.42</v>
      </c>
      <c r="K36" s="3" cm="1">
        <f t="array" ref="K36">INDEX('[2]Data 2022 to Oct24'!$E$2:$CJ$41,MATCH($B36,'[2]Data 2022 to Oct24'!$B$2:$B$41),K$23)</f>
        <v>6894.21</v>
      </c>
      <c r="L36" s="3" cm="1">
        <f t="array" ref="L36">INDEX('[2]Data 2022 to Oct24'!$E$2:$CJ$41,MATCH($B36,'[2]Data 2022 to Oct24'!$B$2:$B$41),L$23)</f>
        <v>8149.61</v>
      </c>
      <c r="M36" s="3" cm="1">
        <f t="array" ref="M36">INDEX('[2]Data 2022 to Oct24'!$E$2:$CJ$41,MATCH($B36,'[2]Data 2022 to Oct24'!$B$2:$B$41),M$23)</f>
        <v>5781.65</v>
      </c>
      <c r="N36" s="3" cm="1">
        <f t="array" ref="N36">INDEX('[2]Data 2022 to Oct24'!$E$2:$CJ$41,MATCH($B36,'[2]Data 2022 to Oct24'!$B$2:$B$41),N$23)</f>
        <v>7685.45</v>
      </c>
      <c r="O36" s="3" cm="1">
        <f t="array" ref="O36">INDEX('[2]Data 2022 to Oct24'!$E$2:$CJ$41,MATCH($B36,'[2]Data 2022 to Oct24'!$B$2:$B$41),O$23)</f>
        <v>5717.5</v>
      </c>
      <c r="P36" s="3" cm="1">
        <f t="array" ref="P36">INDEX('[2]Data 2022 to Oct24'!$E$2:$CJ$41,MATCH($B36,'[2]Data 2022 to Oct24'!$B$2:$B$41),P$23)</f>
        <v>2949.58</v>
      </c>
      <c r="Q36" s="3" cm="1">
        <f t="array" ref="Q36">INDEX('[2]Data 2022 to Oct24'!$E$2:$CJ$41,MATCH($B36,'[2]Data 2022 to Oct24'!$B$2:$B$41),Q$23)</f>
        <v>3214.17</v>
      </c>
      <c r="R36" s="3" cm="1">
        <f t="array" ref="R36">INDEX('[2]Data 2022 to Oct24'!$E$2:$CJ$41,MATCH($B36,'[2]Data 2022 to Oct24'!$B$2:$B$41),R$23)</f>
        <v>7510.42</v>
      </c>
      <c r="S36" s="3" cm="1">
        <f t="array" ref="S36">INDEX('[2]Data 2022 to Oct24'!$E$2:$CJ$41,MATCH($B36,'[2]Data 2022 to Oct24'!$B$2:$B$41),S$23)</f>
        <v>5707.12</v>
      </c>
      <c r="U36" s="4">
        <f>SUM($H36:H36)</f>
        <v>4786.22</v>
      </c>
      <c r="V36" s="4">
        <f>SUM($H36:I36)</f>
        <v>8164.3600000000006</v>
      </c>
      <c r="W36" s="4">
        <f>SUM($H36:J36)</f>
        <v>12099.78</v>
      </c>
      <c r="X36" s="4">
        <f>SUM($H36:K36)</f>
        <v>18993.990000000002</v>
      </c>
      <c r="Y36" s="4">
        <f>SUM($H36:L36)</f>
        <v>27143.600000000002</v>
      </c>
      <c r="Z36" s="4">
        <f>SUM($H36:M36)</f>
        <v>32925.25</v>
      </c>
      <c r="AA36" s="4">
        <f>SUM($H36:N36)</f>
        <v>40610.699999999997</v>
      </c>
      <c r="AB36" s="4">
        <f>SUM($H36:O36)</f>
        <v>46328.2</v>
      </c>
      <c r="AC36" s="4">
        <f>SUM($H36:P36)</f>
        <v>49277.78</v>
      </c>
      <c r="AD36" s="4">
        <f>SUM($H36:Q36)</f>
        <v>52491.95</v>
      </c>
      <c r="AE36" s="4">
        <f>SUM($H36:R36)</f>
        <v>60002.369999999995</v>
      </c>
      <c r="AF36" s="4">
        <f>SUM($H36:S36)</f>
        <v>65709.489999999991</v>
      </c>
    </row>
    <row r="37" spans="2:32">
      <c r="B37">
        <v>59200</v>
      </c>
      <c r="C37" t="s">
        <v>109</v>
      </c>
      <c r="D37" t="str">
        <f>VLOOKUP($B37, Mapping!$A:$E, 5, 0)</f>
        <v>Other</v>
      </c>
      <c r="E37" t="str">
        <f>IF(D37="Spa",VLOOKUP($B37,Mapping!$A:$D,4,0), D37)</f>
        <v>Other</v>
      </c>
      <c r="F37" t="s">
        <v>83</v>
      </c>
      <c r="G37" t="s">
        <v>101</v>
      </c>
      <c r="H37" s="3" cm="1">
        <f t="array" ref="H37">INDEX('[2]Data 2022 to Oct24'!$E$2:$CJ$41,MATCH($B37,'[2]Data 2022 to Oct24'!$B$2:$B$41),H$23)</f>
        <v>2440</v>
      </c>
      <c r="I37" s="3" cm="1">
        <f t="array" ref="I37">INDEX('[2]Data 2022 to Oct24'!$E$2:$CJ$41,MATCH($B37,'[2]Data 2022 to Oct24'!$B$2:$B$41),I$23)</f>
        <v>933</v>
      </c>
      <c r="J37" s="3" cm="1">
        <f t="array" ref="J37">INDEX('[2]Data 2022 to Oct24'!$E$2:$CJ$41,MATCH($B37,'[2]Data 2022 to Oct24'!$B$2:$B$41),J$23)</f>
        <v>1335</v>
      </c>
      <c r="K37" s="3" cm="1">
        <f t="array" ref="K37">INDEX('[2]Data 2022 to Oct24'!$E$2:$CJ$41,MATCH($B37,'[2]Data 2022 to Oct24'!$B$2:$B$41),K$23)</f>
        <v>1035</v>
      </c>
      <c r="L37" s="3" cm="1">
        <f t="array" ref="L37">INDEX('[2]Data 2022 to Oct24'!$E$2:$CJ$41,MATCH($B37,'[2]Data 2022 to Oct24'!$B$2:$B$41),L$23)</f>
        <v>1960</v>
      </c>
      <c r="M37" s="3" cm="1">
        <f t="array" ref="M37">INDEX('[2]Data 2022 to Oct24'!$E$2:$CJ$41,MATCH($B37,'[2]Data 2022 to Oct24'!$B$2:$B$41),M$23)</f>
        <v>315</v>
      </c>
      <c r="N37" s="3" cm="1">
        <f t="array" ref="N37">INDEX('[2]Data 2022 to Oct24'!$E$2:$CJ$41,MATCH($B37,'[2]Data 2022 to Oct24'!$B$2:$B$41),N$23)</f>
        <v>1575</v>
      </c>
      <c r="O37" s="3" cm="1">
        <f t="array" ref="O37">INDEX('[2]Data 2022 to Oct24'!$E$2:$CJ$41,MATCH($B37,'[2]Data 2022 to Oct24'!$B$2:$B$41),O$23)</f>
        <v>2752.6</v>
      </c>
      <c r="P37" s="3" cm="1">
        <f t="array" ref="P37">INDEX('[2]Data 2022 to Oct24'!$E$2:$CJ$41,MATCH($B37,'[2]Data 2022 to Oct24'!$B$2:$B$41),P$23)</f>
        <v>185</v>
      </c>
      <c r="Q37" s="3" cm="1">
        <f t="array" ref="Q37">INDEX('[2]Data 2022 to Oct24'!$E$2:$CJ$41,MATCH($B37,'[2]Data 2022 to Oct24'!$B$2:$B$41),Q$23)</f>
        <v>0</v>
      </c>
      <c r="R37" s="3" cm="1">
        <f t="array" ref="R37">INDEX('[2]Data 2022 to Oct24'!$E$2:$CJ$41,MATCH($B37,'[2]Data 2022 to Oct24'!$B$2:$B$41),R$23)</f>
        <v>1910.65</v>
      </c>
      <c r="S37" s="3" cm="1">
        <f t="array" ref="S37">INDEX('[2]Data 2022 to Oct24'!$E$2:$CJ$41,MATCH($B37,'[2]Data 2022 to Oct24'!$B$2:$B$41),S$23)</f>
        <v>465</v>
      </c>
      <c r="U37" s="4">
        <f>SUM($H37:H37)</f>
        <v>2440</v>
      </c>
      <c r="V37" s="4">
        <f>SUM($H37:I37)</f>
        <v>3373</v>
      </c>
      <c r="W37" s="4">
        <f>SUM($H37:J37)</f>
        <v>4708</v>
      </c>
      <c r="X37" s="4">
        <f>SUM($H37:K37)</f>
        <v>5743</v>
      </c>
      <c r="Y37" s="4">
        <f>SUM($H37:L37)</f>
        <v>7703</v>
      </c>
      <c r="Z37" s="4">
        <f>SUM($H37:M37)</f>
        <v>8018</v>
      </c>
      <c r="AA37" s="4">
        <f>SUM($H37:N37)</f>
        <v>9593</v>
      </c>
      <c r="AB37" s="4">
        <f>SUM($H37:O37)</f>
        <v>12345.6</v>
      </c>
      <c r="AC37" s="4">
        <f>SUM($H37:P37)</f>
        <v>12530.6</v>
      </c>
      <c r="AD37" s="4">
        <f>SUM($H37:Q37)</f>
        <v>12530.6</v>
      </c>
      <c r="AE37" s="4">
        <f>SUM($H37:R37)</f>
        <v>14441.25</v>
      </c>
      <c r="AF37" s="4">
        <f>SUM($H37:S37)</f>
        <v>14906.25</v>
      </c>
    </row>
    <row r="38" spans="2:32">
      <c r="B38">
        <v>51202</v>
      </c>
      <c r="C38" t="s">
        <v>110</v>
      </c>
      <c r="D38" t="str">
        <f>VLOOKUP($B38, Mapping!$A:$E, 5, 0)</f>
        <v>Other</v>
      </c>
      <c r="E38" t="str">
        <f>IF(D38="Spa",VLOOKUP($B38,Mapping!$A:$D,4,0), D38)</f>
        <v>Other</v>
      </c>
      <c r="F38" t="s">
        <v>83</v>
      </c>
      <c r="G38" t="s">
        <v>101</v>
      </c>
      <c r="H38" s="3" cm="1">
        <f t="array" ref="H38">INDEX('[2]Data 2022 to Oct24'!$E$2:$CJ$41,MATCH($B38,'[2]Data 2022 to Oct24'!$B$2:$B$41),H$23)</f>
        <v>0</v>
      </c>
      <c r="I38" s="3" cm="1">
        <f t="array" ref="I38">INDEX('[2]Data 2022 to Oct24'!$E$2:$CJ$41,MATCH($B38,'[2]Data 2022 to Oct24'!$B$2:$B$41),I$23)</f>
        <v>2632.83</v>
      </c>
      <c r="J38" s="3" cm="1">
        <f t="array" ref="J38">INDEX('[2]Data 2022 to Oct24'!$E$2:$CJ$41,MATCH($B38,'[2]Data 2022 to Oct24'!$B$2:$B$41),J$23)</f>
        <v>0</v>
      </c>
      <c r="K38" s="3" cm="1">
        <f t="array" ref="K38">INDEX('[2]Data 2022 to Oct24'!$E$2:$CJ$41,MATCH($B38,'[2]Data 2022 to Oct24'!$B$2:$B$41),K$23)</f>
        <v>0</v>
      </c>
      <c r="L38" s="3" cm="1">
        <f t="array" ref="L38">INDEX('[2]Data 2022 to Oct24'!$E$2:$CJ$41,MATCH($B38,'[2]Data 2022 to Oct24'!$B$2:$B$41),L$23)</f>
        <v>0</v>
      </c>
      <c r="M38" s="3" cm="1">
        <f t="array" ref="M38">INDEX('[2]Data 2022 to Oct24'!$E$2:$CJ$41,MATCH($B38,'[2]Data 2022 to Oct24'!$B$2:$B$41),M$23)</f>
        <v>0</v>
      </c>
      <c r="N38" s="3" cm="1">
        <f t="array" ref="N38">INDEX('[2]Data 2022 to Oct24'!$E$2:$CJ$41,MATCH($B38,'[2]Data 2022 to Oct24'!$B$2:$B$41),N$23)</f>
        <v>0</v>
      </c>
      <c r="O38" s="3" cm="1">
        <f t="array" ref="O38">INDEX('[2]Data 2022 to Oct24'!$E$2:$CJ$41,MATCH($B38,'[2]Data 2022 to Oct24'!$B$2:$B$41),O$23)</f>
        <v>0</v>
      </c>
      <c r="P38" s="3" cm="1">
        <f t="array" ref="P38">INDEX('[2]Data 2022 to Oct24'!$E$2:$CJ$41,MATCH($B38,'[2]Data 2022 to Oct24'!$B$2:$B$41),P$23)</f>
        <v>0</v>
      </c>
      <c r="Q38" s="3" cm="1">
        <f t="array" ref="Q38">INDEX('[2]Data 2022 to Oct24'!$E$2:$CJ$41,MATCH($B38,'[2]Data 2022 to Oct24'!$B$2:$B$41),Q$23)</f>
        <v>0</v>
      </c>
      <c r="R38" s="3" cm="1">
        <f t="array" ref="R38">INDEX('[2]Data 2022 to Oct24'!$E$2:$CJ$41,MATCH($B38,'[2]Data 2022 to Oct24'!$B$2:$B$41),R$23)</f>
        <v>0</v>
      </c>
      <c r="S38" s="3" cm="1">
        <f t="array" ref="S38">INDEX('[2]Data 2022 to Oct24'!$E$2:$CJ$41,MATCH($B38,'[2]Data 2022 to Oct24'!$B$2:$B$41),S$23)</f>
        <v>0</v>
      </c>
      <c r="U38" s="4">
        <f>SUM($H38:H38)</f>
        <v>0</v>
      </c>
      <c r="V38" s="4">
        <f>SUM($H38:I38)</f>
        <v>2632.83</v>
      </c>
      <c r="W38" s="4">
        <f>SUM($H38:J38)</f>
        <v>2632.83</v>
      </c>
      <c r="X38" s="4">
        <f>SUM($H38:K38)</f>
        <v>2632.83</v>
      </c>
      <c r="Y38" s="4">
        <f>SUM($H38:L38)</f>
        <v>2632.83</v>
      </c>
      <c r="Z38" s="4">
        <f>SUM($H38:M38)</f>
        <v>2632.83</v>
      </c>
      <c r="AA38" s="4">
        <f>SUM($H38:N38)</f>
        <v>2632.83</v>
      </c>
      <c r="AB38" s="4">
        <f>SUM($H38:O38)</f>
        <v>2632.83</v>
      </c>
      <c r="AC38" s="4">
        <f>SUM($H38:P38)</f>
        <v>2632.83</v>
      </c>
      <c r="AD38" s="4">
        <f>SUM($H38:Q38)</f>
        <v>2632.83</v>
      </c>
      <c r="AE38" s="4">
        <f>SUM($H38:R38)</f>
        <v>2632.83</v>
      </c>
      <c r="AF38" s="4">
        <f>SUM($H38:S38)</f>
        <v>2632.83</v>
      </c>
    </row>
    <row r="39" spans="2:32">
      <c r="B39">
        <v>51180</v>
      </c>
      <c r="C39" t="s">
        <v>111</v>
      </c>
      <c r="D39" t="str">
        <f>VLOOKUP($B39, Mapping!$A:$E, 5, 0)</f>
        <v>eTailers</v>
      </c>
      <c r="E39" t="str">
        <f>IF(D39="Spa",VLOOKUP($B39,Mapping!$A:$D,4,0), D39)</f>
        <v>eTailers</v>
      </c>
      <c r="F39" t="s">
        <v>83</v>
      </c>
      <c r="G39" t="s">
        <v>101</v>
      </c>
      <c r="H39" s="3" cm="1">
        <f t="array" ref="H39">INDEX('[2]Data 2022 to Oct24'!$E$2:$CJ$41,MATCH($B39,'[2]Data 2022 to Oct24'!$B$2:$B$41),H$23)</f>
        <v>0</v>
      </c>
      <c r="I39" s="3" cm="1">
        <f t="array" ref="I39">INDEX('[2]Data 2022 to Oct24'!$E$2:$CJ$41,MATCH($B39,'[2]Data 2022 to Oct24'!$B$2:$B$41),I$23)</f>
        <v>0</v>
      </c>
      <c r="J39" s="3" cm="1">
        <f t="array" ref="J39">INDEX('[2]Data 2022 to Oct24'!$E$2:$CJ$41,MATCH($B39,'[2]Data 2022 to Oct24'!$B$2:$B$41),J$23)</f>
        <v>2583.9699999999998</v>
      </c>
      <c r="K39" s="3" cm="1">
        <f t="array" ref="K39">INDEX('[2]Data 2022 to Oct24'!$E$2:$CJ$41,MATCH($B39,'[2]Data 2022 to Oct24'!$B$2:$B$41),K$23)</f>
        <v>0</v>
      </c>
      <c r="L39" s="3" cm="1">
        <f t="array" ref="L39">INDEX('[2]Data 2022 to Oct24'!$E$2:$CJ$41,MATCH($B39,'[2]Data 2022 to Oct24'!$B$2:$B$41),L$23)</f>
        <v>0</v>
      </c>
      <c r="M39" s="3" cm="1">
        <f t="array" ref="M39">INDEX('[2]Data 2022 to Oct24'!$E$2:$CJ$41,MATCH($B39,'[2]Data 2022 to Oct24'!$B$2:$B$41),M$23)</f>
        <v>1648.46</v>
      </c>
      <c r="N39" s="3" cm="1">
        <f t="array" ref="N39">INDEX('[2]Data 2022 to Oct24'!$E$2:$CJ$41,MATCH($B39,'[2]Data 2022 to Oct24'!$B$2:$B$41),N$23)</f>
        <v>0</v>
      </c>
      <c r="O39" s="3" cm="1">
        <f t="array" ref="O39">INDEX('[2]Data 2022 to Oct24'!$E$2:$CJ$41,MATCH($B39,'[2]Data 2022 to Oct24'!$B$2:$B$41),O$23)</f>
        <v>0</v>
      </c>
      <c r="P39" s="3" cm="1">
        <f t="array" ref="P39">INDEX('[2]Data 2022 to Oct24'!$E$2:$CJ$41,MATCH($B39,'[2]Data 2022 to Oct24'!$B$2:$B$41),P$23)</f>
        <v>1862.58</v>
      </c>
      <c r="Q39" s="3" cm="1">
        <f t="array" ref="Q39">INDEX('[2]Data 2022 to Oct24'!$E$2:$CJ$41,MATCH($B39,'[2]Data 2022 to Oct24'!$B$2:$B$41),Q$23)</f>
        <v>0</v>
      </c>
      <c r="R39" s="3" cm="1">
        <f t="array" ref="R39">INDEX('[2]Data 2022 to Oct24'!$E$2:$CJ$41,MATCH($B39,'[2]Data 2022 to Oct24'!$B$2:$B$41),R$23)</f>
        <v>0</v>
      </c>
      <c r="S39" s="3" cm="1">
        <f t="array" ref="S39">INDEX('[2]Data 2022 to Oct24'!$E$2:$CJ$41,MATCH($B39,'[2]Data 2022 to Oct24'!$B$2:$B$41),S$23)</f>
        <v>0</v>
      </c>
      <c r="U39" s="4">
        <f>SUM($H39:H39)</f>
        <v>0</v>
      </c>
      <c r="V39" s="4">
        <f>SUM($H39:I39)</f>
        <v>0</v>
      </c>
      <c r="W39" s="4">
        <f>SUM($H39:J39)</f>
        <v>2583.9699999999998</v>
      </c>
      <c r="X39" s="4">
        <f>SUM($H39:K39)</f>
        <v>2583.9699999999998</v>
      </c>
      <c r="Y39" s="4">
        <f>SUM($H39:L39)</f>
        <v>2583.9699999999998</v>
      </c>
      <c r="Z39" s="4">
        <f>SUM($H39:M39)</f>
        <v>4232.43</v>
      </c>
      <c r="AA39" s="4">
        <f>SUM($H39:N39)</f>
        <v>4232.43</v>
      </c>
      <c r="AB39" s="4">
        <f>SUM($H39:O39)</f>
        <v>4232.43</v>
      </c>
      <c r="AC39" s="4">
        <f>SUM($H39:P39)</f>
        <v>6095.01</v>
      </c>
      <c r="AD39" s="4">
        <f>SUM($H39:Q39)</f>
        <v>6095.01</v>
      </c>
      <c r="AE39" s="4">
        <f>SUM($H39:R39)</f>
        <v>6095.01</v>
      </c>
      <c r="AF39" s="4">
        <f>SUM($H39:S39)</f>
        <v>6095.01</v>
      </c>
    </row>
    <row r="40" spans="2:32">
      <c r="B40">
        <v>51207</v>
      </c>
      <c r="C40" t="s">
        <v>112</v>
      </c>
      <c r="D40" t="str">
        <f>VLOOKUP($B40, Mapping!$A:$E, 5, 0)</f>
        <v>Other</v>
      </c>
      <c r="E40" t="str">
        <f>IF(D40="Spa",VLOOKUP($B40,Mapping!$A:$D,4,0), D40)</f>
        <v>Other</v>
      </c>
      <c r="F40" t="s">
        <v>83</v>
      </c>
      <c r="G40" t="s">
        <v>101</v>
      </c>
      <c r="H40" s="3" cm="1">
        <f t="array" ref="H40">INDEX('[2]Data 2022 to Oct24'!$E$2:$CJ$41,MATCH($B40,'[2]Data 2022 to Oct24'!$B$2:$B$41),H$23)</f>
        <v>0</v>
      </c>
      <c r="I40" s="3" cm="1">
        <f t="array" ref="I40">INDEX('[2]Data 2022 to Oct24'!$E$2:$CJ$41,MATCH($B40,'[2]Data 2022 to Oct24'!$B$2:$B$41),I$23)</f>
        <v>0</v>
      </c>
      <c r="J40" s="3" cm="1">
        <f t="array" ref="J40">INDEX('[2]Data 2022 to Oct24'!$E$2:$CJ$41,MATCH($B40,'[2]Data 2022 to Oct24'!$B$2:$B$41),J$23)</f>
        <v>0</v>
      </c>
      <c r="K40" s="3" cm="1">
        <f t="array" ref="K40">INDEX('[2]Data 2022 to Oct24'!$E$2:$CJ$41,MATCH($B40,'[2]Data 2022 to Oct24'!$B$2:$B$41),K$23)</f>
        <v>0</v>
      </c>
      <c r="L40" s="3" cm="1">
        <f t="array" ref="L40">INDEX('[2]Data 2022 to Oct24'!$E$2:$CJ$41,MATCH($B40,'[2]Data 2022 to Oct24'!$B$2:$B$41),L$23)</f>
        <v>0</v>
      </c>
      <c r="M40" s="3" cm="1">
        <f t="array" ref="M40">INDEX('[2]Data 2022 to Oct24'!$E$2:$CJ$41,MATCH($B40,'[2]Data 2022 to Oct24'!$B$2:$B$41),M$23)</f>
        <v>0</v>
      </c>
      <c r="N40" s="3" cm="1">
        <f t="array" ref="N40">INDEX('[2]Data 2022 to Oct24'!$E$2:$CJ$41,MATCH($B40,'[2]Data 2022 to Oct24'!$B$2:$B$41),N$23)</f>
        <v>0</v>
      </c>
      <c r="O40" s="3" cm="1">
        <f t="array" ref="O40">INDEX('[2]Data 2022 to Oct24'!$E$2:$CJ$41,MATCH($B40,'[2]Data 2022 to Oct24'!$B$2:$B$41),O$23)</f>
        <v>0</v>
      </c>
      <c r="P40" s="3" cm="1">
        <f t="array" ref="P40">INDEX('[2]Data 2022 to Oct24'!$E$2:$CJ$41,MATCH($B40,'[2]Data 2022 to Oct24'!$B$2:$B$41),P$23)</f>
        <v>0</v>
      </c>
      <c r="Q40" s="3" cm="1">
        <f t="array" ref="Q40">INDEX('[2]Data 2022 to Oct24'!$E$2:$CJ$41,MATCH($B40,'[2]Data 2022 to Oct24'!$B$2:$B$41),Q$23)</f>
        <v>0</v>
      </c>
      <c r="R40" s="3" cm="1">
        <f t="array" ref="R40">INDEX('[2]Data 2022 to Oct24'!$E$2:$CJ$41,MATCH($B40,'[2]Data 2022 to Oct24'!$B$2:$B$41),R$23)</f>
        <v>0</v>
      </c>
      <c r="S40" s="3" cm="1">
        <f t="array" ref="S40">INDEX('[2]Data 2022 to Oct24'!$E$2:$CJ$41,MATCH($B40,'[2]Data 2022 to Oct24'!$B$2:$B$41),S$23)</f>
        <v>0</v>
      </c>
      <c r="U40" s="4">
        <f>SUM($H40:H40)</f>
        <v>0</v>
      </c>
      <c r="V40" s="4">
        <f>SUM($H40:I40)</f>
        <v>0</v>
      </c>
      <c r="W40" s="4">
        <f>SUM($H40:J40)</f>
        <v>0</v>
      </c>
      <c r="X40" s="4">
        <f>SUM($H40:K40)</f>
        <v>0</v>
      </c>
      <c r="Y40" s="4">
        <f>SUM($H40:L40)</f>
        <v>0</v>
      </c>
      <c r="Z40" s="4">
        <f>SUM($H40:M40)</f>
        <v>0</v>
      </c>
      <c r="AA40" s="4">
        <f>SUM($H40:N40)</f>
        <v>0</v>
      </c>
      <c r="AB40" s="4">
        <f>SUM($H40:O40)</f>
        <v>0</v>
      </c>
      <c r="AC40" s="4">
        <f>SUM($H40:P40)</f>
        <v>0</v>
      </c>
      <c r="AD40" s="4">
        <f>SUM($H40:Q40)</f>
        <v>0</v>
      </c>
      <c r="AE40" s="4">
        <f>SUM($H40:R40)</f>
        <v>0</v>
      </c>
      <c r="AF40" s="4">
        <f>SUM($H40:S40)</f>
        <v>0</v>
      </c>
    </row>
    <row r="41" spans="2:32">
      <c r="B41">
        <v>51209</v>
      </c>
      <c r="C41" t="s">
        <v>113</v>
      </c>
      <c r="D41" t="str">
        <f>VLOOKUP($B41, Mapping!$A:$E, 5, 0)</f>
        <v>Other</v>
      </c>
      <c r="E41" t="str">
        <f>IF(D41="Spa",VLOOKUP($B41,Mapping!$A:$D,4,0), D41)</f>
        <v>Other</v>
      </c>
      <c r="F41" t="s">
        <v>83</v>
      </c>
      <c r="G41" t="s">
        <v>101</v>
      </c>
      <c r="H41" s="3" cm="1">
        <f t="array" ref="H41">INDEX('[2]Data 2022 to Oct24'!$E$2:$CJ$41,MATCH($B41,'[2]Data 2022 to Oct24'!$B$2:$B$41),H$23)</f>
        <v>0</v>
      </c>
      <c r="I41" s="3" cm="1">
        <f t="array" ref="I41">INDEX('[2]Data 2022 to Oct24'!$E$2:$CJ$41,MATCH($B41,'[2]Data 2022 to Oct24'!$B$2:$B$41),I$23)</f>
        <v>0</v>
      </c>
      <c r="J41" s="3" cm="1">
        <f t="array" ref="J41">INDEX('[2]Data 2022 to Oct24'!$E$2:$CJ$41,MATCH($B41,'[2]Data 2022 to Oct24'!$B$2:$B$41),J$23)</f>
        <v>0</v>
      </c>
      <c r="K41" s="3" cm="1">
        <f t="array" ref="K41">INDEX('[2]Data 2022 to Oct24'!$E$2:$CJ$41,MATCH($B41,'[2]Data 2022 to Oct24'!$B$2:$B$41),K$23)</f>
        <v>0</v>
      </c>
      <c r="L41" s="3" cm="1">
        <f t="array" ref="L41">INDEX('[2]Data 2022 to Oct24'!$E$2:$CJ$41,MATCH($B41,'[2]Data 2022 to Oct24'!$B$2:$B$41),L$23)</f>
        <v>0</v>
      </c>
      <c r="M41" s="3" cm="1">
        <f t="array" ref="M41">INDEX('[2]Data 2022 to Oct24'!$E$2:$CJ$41,MATCH($B41,'[2]Data 2022 to Oct24'!$B$2:$B$41),M$23)</f>
        <v>0</v>
      </c>
      <c r="N41" s="3" cm="1">
        <f t="array" ref="N41">INDEX('[2]Data 2022 to Oct24'!$E$2:$CJ$41,MATCH($B41,'[2]Data 2022 to Oct24'!$B$2:$B$41),N$23)</f>
        <v>0</v>
      </c>
      <c r="O41" s="3" cm="1">
        <f t="array" ref="O41">INDEX('[2]Data 2022 to Oct24'!$E$2:$CJ$41,MATCH($B41,'[2]Data 2022 to Oct24'!$B$2:$B$41),O$23)</f>
        <v>0</v>
      </c>
      <c r="P41" s="3" cm="1">
        <f t="array" ref="P41">INDEX('[2]Data 2022 to Oct24'!$E$2:$CJ$41,MATCH($B41,'[2]Data 2022 to Oct24'!$B$2:$B$41),P$23)</f>
        <v>0</v>
      </c>
      <c r="Q41" s="3" cm="1">
        <f t="array" ref="Q41">INDEX('[2]Data 2022 to Oct24'!$E$2:$CJ$41,MATCH($B41,'[2]Data 2022 to Oct24'!$B$2:$B$41),Q$23)</f>
        <v>0</v>
      </c>
      <c r="R41" s="3" cm="1">
        <f t="array" ref="R41">INDEX('[2]Data 2022 to Oct24'!$E$2:$CJ$41,MATCH($B41,'[2]Data 2022 to Oct24'!$B$2:$B$41),R$23)</f>
        <v>0</v>
      </c>
      <c r="S41" s="3" cm="1">
        <f t="array" ref="S41">INDEX('[2]Data 2022 to Oct24'!$E$2:$CJ$41,MATCH($B41,'[2]Data 2022 to Oct24'!$B$2:$B$41),S$23)</f>
        <v>0</v>
      </c>
      <c r="U41" s="4">
        <f>SUM($H41:H41)</f>
        <v>0</v>
      </c>
      <c r="V41" s="4">
        <f>SUM($H41:I41)</f>
        <v>0</v>
      </c>
      <c r="W41" s="4">
        <f>SUM($H41:J41)</f>
        <v>0</v>
      </c>
      <c r="X41" s="4">
        <f>SUM($H41:K41)</f>
        <v>0</v>
      </c>
      <c r="Y41" s="4">
        <f>SUM($H41:L41)</f>
        <v>0</v>
      </c>
      <c r="Z41" s="4">
        <f>SUM($H41:M41)</f>
        <v>0</v>
      </c>
      <c r="AA41" s="4">
        <f>SUM($H41:N41)</f>
        <v>0</v>
      </c>
      <c r="AB41" s="4">
        <f>SUM($H41:O41)</f>
        <v>0</v>
      </c>
      <c r="AC41" s="4">
        <f>SUM($H41:P41)</f>
        <v>0</v>
      </c>
      <c r="AD41" s="4">
        <f>SUM($H41:Q41)</f>
        <v>0</v>
      </c>
      <c r="AE41" s="4">
        <f>SUM($H41:R41)</f>
        <v>0</v>
      </c>
      <c r="AF41" s="4">
        <f>SUM($H41:S41)</f>
        <v>0</v>
      </c>
    </row>
    <row r="42" spans="2:32">
      <c r="B42">
        <v>51178</v>
      </c>
      <c r="C42" t="s">
        <v>114</v>
      </c>
      <c r="D42" t="str">
        <f>VLOOKUP($B42, Mapping!$A:$E, 5, 0)</f>
        <v>eTailers</v>
      </c>
      <c r="E42" t="str">
        <f>IF(D42="Spa",VLOOKUP($B42,Mapping!$A:$D,4,0), D42)</f>
        <v>eTailers</v>
      </c>
      <c r="F42" t="s">
        <v>83</v>
      </c>
      <c r="G42" t="s">
        <v>101</v>
      </c>
      <c r="H42" s="3" cm="1">
        <f t="array" ref="H42">INDEX('[2]Data 2022 to Oct24'!$E$2:$CJ$41,MATCH($B42,'[2]Data 2022 to Oct24'!$B$2:$B$41),H$23)</f>
        <v>0</v>
      </c>
      <c r="I42" s="3" cm="1">
        <f t="array" ref="I42">INDEX('[2]Data 2022 to Oct24'!$E$2:$CJ$41,MATCH($B42,'[2]Data 2022 to Oct24'!$B$2:$B$41),I$23)</f>
        <v>0</v>
      </c>
      <c r="J42" s="3" cm="1">
        <f t="array" ref="J42">INDEX('[2]Data 2022 to Oct24'!$E$2:$CJ$41,MATCH($B42,'[2]Data 2022 to Oct24'!$B$2:$B$41),J$23)</f>
        <v>0</v>
      </c>
      <c r="K42" s="3" cm="1">
        <f t="array" ref="K42">INDEX('[2]Data 2022 to Oct24'!$E$2:$CJ$41,MATCH($B42,'[2]Data 2022 to Oct24'!$B$2:$B$41),K$23)</f>
        <v>0</v>
      </c>
      <c r="L42" s="3" cm="1">
        <f t="array" ref="L42">INDEX('[2]Data 2022 to Oct24'!$E$2:$CJ$41,MATCH($B42,'[2]Data 2022 to Oct24'!$B$2:$B$41),L$23)</f>
        <v>0</v>
      </c>
      <c r="M42" s="3" cm="1">
        <f t="array" ref="M42">INDEX('[2]Data 2022 to Oct24'!$E$2:$CJ$41,MATCH($B42,'[2]Data 2022 to Oct24'!$B$2:$B$41),M$23)</f>
        <v>1982.74</v>
      </c>
      <c r="N42" s="3" cm="1">
        <f t="array" ref="N42">INDEX('[2]Data 2022 to Oct24'!$E$2:$CJ$41,MATCH($B42,'[2]Data 2022 to Oct24'!$B$2:$B$41),N$23)</f>
        <v>0</v>
      </c>
      <c r="O42" s="3" cm="1">
        <f t="array" ref="O42">INDEX('[2]Data 2022 to Oct24'!$E$2:$CJ$41,MATCH($B42,'[2]Data 2022 to Oct24'!$B$2:$B$41),O$23)</f>
        <v>0</v>
      </c>
      <c r="P42" s="3" cm="1">
        <f t="array" ref="P42">INDEX('[2]Data 2022 to Oct24'!$E$2:$CJ$41,MATCH($B42,'[2]Data 2022 to Oct24'!$B$2:$B$41),P$23)</f>
        <v>0</v>
      </c>
      <c r="Q42" s="3" cm="1">
        <f t="array" ref="Q42">INDEX('[2]Data 2022 to Oct24'!$E$2:$CJ$41,MATCH($B42,'[2]Data 2022 to Oct24'!$B$2:$B$41),Q$23)</f>
        <v>0</v>
      </c>
      <c r="R42" s="3" cm="1">
        <f t="array" ref="R42">INDEX('[2]Data 2022 to Oct24'!$E$2:$CJ$41,MATCH($B42,'[2]Data 2022 to Oct24'!$B$2:$B$41),R$23)</f>
        <v>0</v>
      </c>
      <c r="S42" s="3" cm="1">
        <f t="array" ref="S42">INDEX('[2]Data 2022 to Oct24'!$E$2:$CJ$41,MATCH($B42,'[2]Data 2022 to Oct24'!$B$2:$B$41),S$23)</f>
        <v>0</v>
      </c>
      <c r="U42" s="4">
        <f>SUM($H42:H42)</f>
        <v>0</v>
      </c>
      <c r="V42" s="4">
        <f>SUM($H42:I42)</f>
        <v>0</v>
      </c>
      <c r="W42" s="4">
        <f>SUM($H42:J42)</f>
        <v>0</v>
      </c>
      <c r="X42" s="4">
        <f>SUM($H42:K42)</f>
        <v>0</v>
      </c>
      <c r="Y42" s="4">
        <f>SUM($H42:L42)</f>
        <v>0</v>
      </c>
      <c r="Z42" s="4">
        <f>SUM($H42:M42)</f>
        <v>1982.74</v>
      </c>
      <c r="AA42" s="4">
        <f>SUM($H42:N42)</f>
        <v>1982.74</v>
      </c>
      <c r="AB42" s="4">
        <f>SUM($H42:O42)</f>
        <v>1982.74</v>
      </c>
      <c r="AC42" s="4">
        <f>SUM($H42:P42)</f>
        <v>1982.74</v>
      </c>
      <c r="AD42" s="4">
        <f>SUM($H42:Q42)</f>
        <v>1982.74</v>
      </c>
      <c r="AE42" s="4">
        <f>SUM($H42:R42)</f>
        <v>1982.74</v>
      </c>
      <c r="AF42" s="4">
        <f>SUM($H42:S42)</f>
        <v>1982.74</v>
      </c>
    </row>
    <row r="43" spans="2:32">
      <c r="B43">
        <v>51158</v>
      </c>
      <c r="C43" t="s">
        <v>115</v>
      </c>
      <c r="D43" t="str">
        <f>VLOOKUP($B43, Mapping!$A:$E, 5, 0)</f>
        <v>Other</v>
      </c>
      <c r="E43" t="str">
        <f>IF(D43="Spa",VLOOKUP($B43,Mapping!$A:$D,4,0), D43)</f>
        <v>Other</v>
      </c>
      <c r="F43" t="s">
        <v>83</v>
      </c>
      <c r="G43" t="s">
        <v>101</v>
      </c>
      <c r="H43" s="3" cm="1">
        <f t="array" ref="H43">INDEX('[2]Data 2022 to Oct24'!$E$2:$CJ$41,MATCH($B43,'[2]Data 2022 to Oct24'!$B$2:$B$41),H$23)</f>
        <v>0</v>
      </c>
      <c r="I43" s="3" cm="1">
        <f t="array" ref="I43">INDEX('[2]Data 2022 to Oct24'!$E$2:$CJ$41,MATCH($B43,'[2]Data 2022 to Oct24'!$B$2:$B$41),I$23)</f>
        <v>0</v>
      </c>
      <c r="J43" s="3" cm="1">
        <f t="array" ref="J43">INDEX('[2]Data 2022 to Oct24'!$E$2:$CJ$41,MATCH($B43,'[2]Data 2022 to Oct24'!$B$2:$B$41),J$23)</f>
        <v>0</v>
      </c>
      <c r="K43" s="3" cm="1">
        <f t="array" ref="K43">INDEX('[2]Data 2022 to Oct24'!$E$2:$CJ$41,MATCH($B43,'[2]Data 2022 to Oct24'!$B$2:$B$41),K$23)</f>
        <v>0</v>
      </c>
      <c r="L43" s="3" cm="1">
        <f t="array" ref="L43">INDEX('[2]Data 2022 to Oct24'!$E$2:$CJ$41,MATCH($B43,'[2]Data 2022 to Oct24'!$B$2:$B$41),L$23)</f>
        <v>0</v>
      </c>
      <c r="M43" s="3" cm="1">
        <f t="array" ref="M43">INDEX('[2]Data 2022 to Oct24'!$E$2:$CJ$41,MATCH($B43,'[2]Data 2022 to Oct24'!$B$2:$B$41),M$23)</f>
        <v>0</v>
      </c>
      <c r="N43" s="3" cm="1">
        <f t="array" ref="N43">INDEX('[2]Data 2022 to Oct24'!$E$2:$CJ$41,MATCH($B43,'[2]Data 2022 to Oct24'!$B$2:$B$41),N$23)</f>
        <v>0</v>
      </c>
      <c r="O43" s="3" cm="1">
        <f t="array" ref="O43">INDEX('[2]Data 2022 to Oct24'!$E$2:$CJ$41,MATCH($B43,'[2]Data 2022 to Oct24'!$B$2:$B$41),O$23)</f>
        <v>0</v>
      </c>
      <c r="P43" s="3" cm="1">
        <f t="array" ref="P43">INDEX('[2]Data 2022 to Oct24'!$E$2:$CJ$41,MATCH($B43,'[2]Data 2022 to Oct24'!$B$2:$B$41),P$23)</f>
        <v>0</v>
      </c>
      <c r="Q43" s="3" cm="1">
        <f t="array" ref="Q43">INDEX('[2]Data 2022 to Oct24'!$E$2:$CJ$41,MATCH($B43,'[2]Data 2022 to Oct24'!$B$2:$B$41),Q$23)</f>
        <v>0</v>
      </c>
      <c r="R43" s="3" cm="1">
        <f t="array" ref="R43">INDEX('[2]Data 2022 to Oct24'!$E$2:$CJ$41,MATCH($B43,'[2]Data 2022 to Oct24'!$B$2:$B$41),R$23)</f>
        <v>0</v>
      </c>
      <c r="S43" s="3" cm="1">
        <f t="array" ref="S43">INDEX('[2]Data 2022 to Oct24'!$E$2:$CJ$41,MATCH($B43,'[2]Data 2022 to Oct24'!$B$2:$B$41),S$23)</f>
        <v>0</v>
      </c>
      <c r="U43" s="4">
        <f>SUM($H43:H43)</f>
        <v>0</v>
      </c>
      <c r="V43" s="4">
        <f>SUM($H43:I43)</f>
        <v>0</v>
      </c>
      <c r="W43" s="4">
        <f>SUM($H43:J43)</f>
        <v>0</v>
      </c>
      <c r="X43" s="4">
        <f>SUM($H43:K43)</f>
        <v>0</v>
      </c>
      <c r="Y43" s="4">
        <f>SUM($H43:L43)</f>
        <v>0</v>
      </c>
      <c r="Z43" s="4">
        <f>SUM($H43:M43)</f>
        <v>0</v>
      </c>
      <c r="AA43" s="4">
        <f>SUM($H43:N43)</f>
        <v>0</v>
      </c>
      <c r="AB43" s="4">
        <f>SUM($H43:O43)</f>
        <v>0</v>
      </c>
      <c r="AC43" s="4">
        <f>SUM($H43:P43)</f>
        <v>0</v>
      </c>
      <c r="AD43" s="4">
        <f>SUM($H43:Q43)</f>
        <v>0</v>
      </c>
      <c r="AE43" s="4">
        <f>SUM($H43:R43)</f>
        <v>0</v>
      </c>
      <c r="AF43" s="4">
        <f>SUM($H43:S43)</f>
        <v>0</v>
      </c>
    </row>
    <row r="44" spans="2:32">
      <c r="B44">
        <v>51184</v>
      </c>
      <c r="C44" t="s">
        <v>37</v>
      </c>
      <c r="D44" t="str">
        <f>VLOOKUP($B44, Mapping!$A:$E, 5, 0)</f>
        <v>Spa</v>
      </c>
      <c r="E44" t="str">
        <f>IF(D44="Spa",VLOOKUP($B44,Mapping!$A:$D,4,0), D44)</f>
        <v>Spas / Hotels</v>
      </c>
      <c r="F44" t="s">
        <v>101</v>
      </c>
      <c r="G44" s="2">
        <v>45261</v>
      </c>
      <c r="H44" s="3" cm="1">
        <f t="array" ref="H44">INDEX('[2]Data 2022 to Oct24'!$E$2:$CJ$41,MATCH($B44,'[2]Data 2022 to Oct24'!$B$2:$B$41),H$23)</f>
        <v>0</v>
      </c>
      <c r="I44" s="3" cm="1">
        <f t="array" ref="I44">INDEX('[2]Data 2022 to Oct24'!$E$2:$CJ$41,MATCH($B44,'[2]Data 2022 to Oct24'!$B$2:$B$41),I$23)</f>
        <v>0</v>
      </c>
      <c r="J44" s="3" cm="1">
        <f t="array" ref="J44">INDEX('[2]Data 2022 to Oct24'!$E$2:$CJ$41,MATCH($B44,'[2]Data 2022 to Oct24'!$B$2:$B$41),J$23)</f>
        <v>0</v>
      </c>
      <c r="K44" s="3" cm="1">
        <f t="array" ref="K44">INDEX('[2]Data 2022 to Oct24'!$E$2:$CJ$41,MATCH($B44,'[2]Data 2022 to Oct24'!$B$2:$B$41),K$23)</f>
        <v>0</v>
      </c>
      <c r="L44" s="3" cm="1">
        <f t="array" ref="L44">INDEX('[2]Data 2022 to Oct24'!$E$2:$CJ$41,MATCH($B44,'[2]Data 2022 to Oct24'!$B$2:$B$41),L$23)</f>
        <v>0</v>
      </c>
      <c r="M44" s="3" cm="1">
        <f t="array" ref="M44">INDEX('[2]Data 2022 to Oct24'!$E$2:$CJ$41,MATCH($B44,'[2]Data 2022 to Oct24'!$B$2:$B$41),M$23)</f>
        <v>0</v>
      </c>
      <c r="N44" s="3" cm="1">
        <f t="array" ref="N44">INDEX('[2]Data 2022 to Oct24'!$E$2:$CJ$41,MATCH($B44,'[2]Data 2022 to Oct24'!$B$2:$B$41),N$23)</f>
        <v>0</v>
      </c>
      <c r="O44" s="3" cm="1">
        <f t="array" ref="O44">INDEX('[2]Data 2022 to Oct24'!$E$2:$CJ$41,MATCH($B44,'[2]Data 2022 to Oct24'!$B$2:$B$41),O$23)</f>
        <v>0</v>
      </c>
      <c r="P44" s="3" cm="1">
        <f t="array" ref="P44">INDEX('[2]Data 2022 to Oct24'!$E$2:$CJ$41,MATCH($B44,'[2]Data 2022 to Oct24'!$B$2:$B$41),P$23)</f>
        <v>0</v>
      </c>
      <c r="Q44" s="3" cm="1">
        <f t="array" ref="Q44">INDEX('[2]Data 2022 to Oct24'!$E$2:$CJ$41,MATCH($B44,'[2]Data 2022 to Oct24'!$B$2:$B$41),Q$23)</f>
        <v>0</v>
      </c>
      <c r="R44" s="3" cm="1">
        <f t="array" ref="R44">INDEX('[2]Data 2022 to Oct24'!$E$2:$CJ$41,MATCH($B44,'[2]Data 2022 to Oct24'!$B$2:$B$41),R$23)</f>
        <v>0</v>
      </c>
      <c r="S44" s="3" cm="1">
        <f t="array" ref="S44">INDEX('[2]Data 2022 to Oct24'!$E$2:$CJ$41,MATCH($B44,'[2]Data 2022 to Oct24'!$B$2:$B$41),S$23)</f>
        <v>6655.7</v>
      </c>
      <c r="U44" s="4">
        <f>SUM($H44:H44)</f>
        <v>0</v>
      </c>
      <c r="V44" s="4">
        <f>SUM($H44:I44)</f>
        <v>0</v>
      </c>
      <c r="W44" s="4">
        <f>SUM($H44:J44)</f>
        <v>0</v>
      </c>
      <c r="X44" s="4">
        <f>SUM($H44:K44)</f>
        <v>0</v>
      </c>
      <c r="Y44" s="4">
        <f>SUM($H44:L44)</f>
        <v>0</v>
      </c>
      <c r="Z44" s="4">
        <f>SUM($H44:M44)</f>
        <v>0</v>
      </c>
      <c r="AA44" s="4">
        <f>SUM($H44:N44)</f>
        <v>0</v>
      </c>
      <c r="AB44" s="4">
        <f>SUM($H44:O44)</f>
        <v>0</v>
      </c>
      <c r="AC44" s="4">
        <f>SUM($H44:P44)</f>
        <v>0</v>
      </c>
      <c r="AD44" s="4">
        <f>SUM($H44:Q44)</f>
        <v>0</v>
      </c>
      <c r="AE44" s="4">
        <f>SUM($H44:R44)</f>
        <v>0</v>
      </c>
      <c r="AF44" s="4">
        <f>SUM($H44:S44)</f>
        <v>6655.7</v>
      </c>
    </row>
    <row r="45" spans="2:32">
      <c r="B45">
        <v>51185</v>
      </c>
      <c r="C45" t="s">
        <v>38</v>
      </c>
      <c r="D45" t="str">
        <f>VLOOKUP($B45, Mapping!$A:$E, 5, 0)</f>
        <v>Spa</v>
      </c>
      <c r="E45" t="str">
        <f>IF(D45="Spa",VLOOKUP($B45,Mapping!$A:$D,4,0), D45)</f>
        <v>Spas / Hotels</v>
      </c>
      <c r="F45" t="s">
        <v>101</v>
      </c>
      <c r="G45" s="2" t="s">
        <v>101</v>
      </c>
      <c r="H45" s="3" cm="1">
        <f t="array" ref="H45">INDEX('[2]Data 2022 to Oct24'!$E$2:$CJ$41,MATCH($B45,'[2]Data 2022 to Oct24'!$B$2:$B$41),H$23)</f>
        <v>0</v>
      </c>
      <c r="I45" s="3" cm="1">
        <f t="array" ref="I45">INDEX('[2]Data 2022 to Oct24'!$E$2:$CJ$41,MATCH($B45,'[2]Data 2022 to Oct24'!$B$2:$B$41),I$23)</f>
        <v>0</v>
      </c>
      <c r="J45" s="3" cm="1">
        <f t="array" ref="J45">INDEX('[2]Data 2022 to Oct24'!$E$2:$CJ$41,MATCH($B45,'[2]Data 2022 to Oct24'!$B$2:$B$41),J$23)</f>
        <v>0</v>
      </c>
      <c r="K45" s="3" cm="1">
        <f t="array" ref="K45">INDEX('[2]Data 2022 to Oct24'!$E$2:$CJ$41,MATCH($B45,'[2]Data 2022 to Oct24'!$B$2:$B$41),K$23)</f>
        <v>0</v>
      </c>
      <c r="L45" s="3" cm="1">
        <f t="array" ref="L45">INDEX('[2]Data 2022 to Oct24'!$E$2:$CJ$41,MATCH($B45,'[2]Data 2022 to Oct24'!$B$2:$B$41),L$23)</f>
        <v>0</v>
      </c>
      <c r="M45" s="3" cm="1">
        <f t="array" ref="M45">INDEX('[2]Data 2022 to Oct24'!$E$2:$CJ$41,MATCH($B45,'[2]Data 2022 to Oct24'!$B$2:$B$41),M$23)</f>
        <v>0</v>
      </c>
      <c r="N45" s="3" cm="1">
        <f t="array" ref="N45">INDEX('[2]Data 2022 to Oct24'!$E$2:$CJ$41,MATCH($B45,'[2]Data 2022 to Oct24'!$B$2:$B$41),N$23)</f>
        <v>0</v>
      </c>
      <c r="O45" s="3" cm="1">
        <f t="array" ref="O45">INDEX('[2]Data 2022 to Oct24'!$E$2:$CJ$41,MATCH($B45,'[2]Data 2022 to Oct24'!$B$2:$B$41),O$23)</f>
        <v>0</v>
      </c>
      <c r="P45" s="3" cm="1">
        <f t="array" ref="P45">INDEX('[2]Data 2022 to Oct24'!$E$2:$CJ$41,MATCH($B45,'[2]Data 2022 to Oct24'!$B$2:$B$41),P$23)</f>
        <v>0</v>
      </c>
      <c r="Q45" s="3" cm="1">
        <f t="array" ref="Q45">INDEX('[2]Data 2022 to Oct24'!$E$2:$CJ$41,MATCH($B45,'[2]Data 2022 to Oct24'!$B$2:$B$41),Q$23)</f>
        <v>0</v>
      </c>
      <c r="R45" s="3" cm="1">
        <f t="array" ref="R45">INDEX('[2]Data 2022 to Oct24'!$E$2:$CJ$41,MATCH($B45,'[2]Data 2022 to Oct24'!$B$2:$B$41),R$23)</f>
        <v>0</v>
      </c>
      <c r="S45" s="3" cm="1">
        <f t="array" ref="S45">INDEX('[2]Data 2022 to Oct24'!$E$2:$CJ$41,MATCH($B45,'[2]Data 2022 to Oct24'!$B$2:$B$41),S$23)</f>
        <v>0</v>
      </c>
      <c r="U45" s="4">
        <f>SUM($H45:H45)</f>
        <v>0</v>
      </c>
      <c r="V45" s="4">
        <f>SUM($H45:I45)</f>
        <v>0</v>
      </c>
      <c r="W45" s="4">
        <f>SUM($H45:J45)</f>
        <v>0</v>
      </c>
      <c r="X45" s="4">
        <f>SUM($H45:K45)</f>
        <v>0</v>
      </c>
      <c r="Y45" s="4">
        <f>SUM($H45:L45)</f>
        <v>0</v>
      </c>
      <c r="Z45" s="4">
        <f>SUM($H45:M45)</f>
        <v>0</v>
      </c>
      <c r="AA45" s="4">
        <f>SUM($H45:N45)</f>
        <v>0</v>
      </c>
      <c r="AB45" s="4">
        <f>SUM($H45:O45)</f>
        <v>0</v>
      </c>
      <c r="AC45" s="4">
        <f>SUM($H45:P45)</f>
        <v>0</v>
      </c>
      <c r="AD45" s="4">
        <f>SUM($H45:Q45)</f>
        <v>0</v>
      </c>
      <c r="AE45" s="4">
        <f>SUM($H45:R45)</f>
        <v>0</v>
      </c>
      <c r="AF45" s="4">
        <f>SUM($H45:S45)</f>
        <v>0</v>
      </c>
    </row>
    <row r="46" spans="2:32">
      <c r="B46">
        <v>51186</v>
      </c>
      <c r="C46" t="s">
        <v>39</v>
      </c>
      <c r="D46" t="str">
        <f>VLOOKUP($B46, Mapping!$A:$E, 5, 0)</f>
        <v>Spa</v>
      </c>
      <c r="E46" t="str">
        <f>IF(D46="Spa",VLOOKUP($B46,Mapping!$A:$D,4,0), D46)</f>
        <v>Spas / Hotels</v>
      </c>
      <c r="F46" t="s">
        <v>101</v>
      </c>
      <c r="G46" s="2">
        <v>45231</v>
      </c>
      <c r="H46" s="3" cm="1">
        <f t="array" ref="H46">INDEX('[2]Data 2022 to Oct24'!$E$2:$CJ$41,MATCH($B46,'[2]Data 2022 to Oct24'!$B$2:$B$41),H$23)</f>
        <v>0</v>
      </c>
      <c r="I46" s="3" cm="1">
        <f t="array" ref="I46">INDEX('[2]Data 2022 to Oct24'!$E$2:$CJ$41,MATCH($B46,'[2]Data 2022 to Oct24'!$B$2:$B$41),I$23)</f>
        <v>0</v>
      </c>
      <c r="J46" s="3" cm="1">
        <f t="array" ref="J46">INDEX('[2]Data 2022 to Oct24'!$E$2:$CJ$41,MATCH($B46,'[2]Data 2022 to Oct24'!$B$2:$B$41),J$23)</f>
        <v>0</v>
      </c>
      <c r="K46" s="3" cm="1">
        <f t="array" ref="K46">INDEX('[2]Data 2022 to Oct24'!$E$2:$CJ$41,MATCH($B46,'[2]Data 2022 to Oct24'!$B$2:$B$41),K$23)</f>
        <v>0</v>
      </c>
      <c r="L46" s="3" cm="1">
        <f t="array" ref="L46">INDEX('[2]Data 2022 to Oct24'!$E$2:$CJ$41,MATCH($B46,'[2]Data 2022 to Oct24'!$B$2:$B$41),L$23)</f>
        <v>0</v>
      </c>
      <c r="M46" s="3" cm="1">
        <f t="array" ref="M46">INDEX('[2]Data 2022 to Oct24'!$E$2:$CJ$41,MATCH($B46,'[2]Data 2022 to Oct24'!$B$2:$B$41),M$23)</f>
        <v>0</v>
      </c>
      <c r="N46" s="3" cm="1">
        <f t="array" ref="N46">INDEX('[2]Data 2022 to Oct24'!$E$2:$CJ$41,MATCH($B46,'[2]Data 2022 to Oct24'!$B$2:$B$41),N$23)</f>
        <v>0</v>
      </c>
      <c r="O46" s="3" cm="1">
        <f t="array" ref="O46">INDEX('[2]Data 2022 to Oct24'!$E$2:$CJ$41,MATCH($B46,'[2]Data 2022 to Oct24'!$B$2:$B$41),O$23)</f>
        <v>0</v>
      </c>
      <c r="P46" s="3" cm="1">
        <f t="array" ref="P46">INDEX('[2]Data 2022 to Oct24'!$E$2:$CJ$41,MATCH($B46,'[2]Data 2022 to Oct24'!$B$2:$B$41),P$23)</f>
        <v>0</v>
      </c>
      <c r="Q46" s="3" cm="1">
        <f t="array" ref="Q46">INDEX('[2]Data 2022 to Oct24'!$E$2:$CJ$41,MATCH($B46,'[2]Data 2022 to Oct24'!$B$2:$B$41),Q$23)</f>
        <v>0</v>
      </c>
      <c r="R46" s="3" cm="1">
        <f t="array" ref="R46">INDEX('[2]Data 2022 to Oct24'!$E$2:$CJ$41,MATCH($B46,'[2]Data 2022 to Oct24'!$B$2:$B$41),R$23)</f>
        <v>2266.7800000000002</v>
      </c>
      <c r="S46" s="3" cm="1">
        <f t="array" ref="S46">INDEX('[2]Data 2022 to Oct24'!$E$2:$CJ$41,MATCH($B46,'[2]Data 2022 to Oct24'!$B$2:$B$41),S$23)</f>
        <v>0</v>
      </c>
      <c r="U46" s="4">
        <f>SUM($H46:H46)</f>
        <v>0</v>
      </c>
      <c r="V46" s="4">
        <f>SUM($H46:I46)</f>
        <v>0</v>
      </c>
      <c r="W46" s="4">
        <f>SUM($H46:J46)</f>
        <v>0</v>
      </c>
      <c r="X46" s="4">
        <f>SUM($H46:K46)</f>
        <v>0</v>
      </c>
      <c r="Y46" s="4">
        <f>SUM($H46:L46)</f>
        <v>0</v>
      </c>
      <c r="Z46" s="4">
        <f>SUM($H46:M46)</f>
        <v>0</v>
      </c>
      <c r="AA46" s="4">
        <f>SUM($H46:N46)</f>
        <v>0</v>
      </c>
      <c r="AB46" s="4">
        <f>SUM($H46:O46)</f>
        <v>0</v>
      </c>
      <c r="AC46" s="4">
        <f>SUM($H46:P46)</f>
        <v>0</v>
      </c>
      <c r="AD46" s="4">
        <f>SUM($H46:Q46)</f>
        <v>0</v>
      </c>
      <c r="AE46" s="4">
        <f>SUM($H46:R46)</f>
        <v>2266.7800000000002</v>
      </c>
      <c r="AF46" s="4">
        <f>SUM($H46:S46)</f>
        <v>2266.7800000000002</v>
      </c>
    </row>
    <row r="47" spans="2:32">
      <c r="B47">
        <v>51187</v>
      </c>
      <c r="C47" t="s">
        <v>40</v>
      </c>
      <c r="D47" t="str">
        <f>VLOOKUP($B47, Mapping!$A:$E, 5, 0)</f>
        <v>Spa</v>
      </c>
      <c r="E47" t="str">
        <f>IF(D47="Spa",VLOOKUP($B47,Mapping!$A:$D,4,0), D47)</f>
        <v>Institutes / Clinics</v>
      </c>
      <c r="F47" t="s">
        <v>101</v>
      </c>
      <c r="G47" s="2">
        <v>45261</v>
      </c>
      <c r="H47" s="3" cm="1">
        <f t="array" ref="H47">INDEX('[2]Data 2022 to Oct24'!$E$2:$CJ$41,MATCH($B47,'[2]Data 2022 to Oct24'!$B$2:$B$41),H$23)</f>
        <v>0</v>
      </c>
      <c r="I47" s="3" cm="1">
        <f t="array" ref="I47">INDEX('[2]Data 2022 to Oct24'!$E$2:$CJ$41,MATCH($B47,'[2]Data 2022 to Oct24'!$B$2:$B$41),I$23)</f>
        <v>0</v>
      </c>
      <c r="J47" s="3" cm="1">
        <f t="array" ref="J47">INDEX('[2]Data 2022 to Oct24'!$E$2:$CJ$41,MATCH($B47,'[2]Data 2022 to Oct24'!$B$2:$B$41),J$23)</f>
        <v>0</v>
      </c>
      <c r="K47" s="3" cm="1">
        <f t="array" ref="K47">INDEX('[2]Data 2022 to Oct24'!$E$2:$CJ$41,MATCH($B47,'[2]Data 2022 to Oct24'!$B$2:$B$41),K$23)</f>
        <v>0</v>
      </c>
      <c r="L47" s="3" cm="1">
        <f t="array" ref="L47">INDEX('[2]Data 2022 to Oct24'!$E$2:$CJ$41,MATCH($B47,'[2]Data 2022 to Oct24'!$B$2:$B$41),L$23)</f>
        <v>0</v>
      </c>
      <c r="M47" s="3" cm="1">
        <f t="array" ref="M47">INDEX('[2]Data 2022 to Oct24'!$E$2:$CJ$41,MATCH($B47,'[2]Data 2022 to Oct24'!$B$2:$B$41),M$23)</f>
        <v>0</v>
      </c>
      <c r="N47" s="3" cm="1">
        <f t="array" ref="N47">INDEX('[2]Data 2022 to Oct24'!$E$2:$CJ$41,MATCH($B47,'[2]Data 2022 to Oct24'!$B$2:$B$41),N$23)</f>
        <v>0</v>
      </c>
      <c r="O47" s="3" cm="1">
        <f t="array" ref="O47">INDEX('[2]Data 2022 to Oct24'!$E$2:$CJ$41,MATCH($B47,'[2]Data 2022 to Oct24'!$B$2:$B$41),O$23)</f>
        <v>0</v>
      </c>
      <c r="P47" s="3" cm="1">
        <f t="array" ref="P47">INDEX('[2]Data 2022 to Oct24'!$E$2:$CJ$41,MATCH($B47,'[2]Data 2022 to Oct24'!$B$2:$B$41),P$23)</f>
        <v>0</v>
      </c>
      <c r="Q47" s="3" cm="1">
        <f t="array" ref="Q47">INDEX('[2]Data 2022 to Oct24'!$E$2:$CJ$41,MATCH($B47,'[2]Data 2022 to Oct24'!$B$2:$B$41),Q$23)</f>
        <v>0</v>
      </c>
      <c r="R47" s="3" cm="1">
        <f t="array" ref="R47">INDEX('[2]Data 2022 to Oct24'!$E$2:$CJ$41,MATCH($B47,'[2]Data 2022 to Oct24'!$B$2:$B$41),R$23)</f>
        <v>0</v>
      </c>
      <c r="S47" s="3" cm="1">
        <f t="array" ref="S47">INDEX('[2]Data 2022 to Oct24'!$E$2:$CJ$41,MATCH($B47,'[2]Data 2022 to Oct24'!$B$2:$B$41),S$23)</f>
        <v>1173.99</v>
      </c>
      <c r="U47" s="4">
        <f>SUM($H47:H47)</f>
        <v>0</v>
      </c>
      <c r="V47" s="4">
        <f>SUM($H47:I47)</f>
        <v>0</v>
      </c>
      <c r="W47" s="4">
        <f>SUM($H47:J47)</f>
        <v>0</v>
      </c>
      <c r="X47" s="4">
        <f>SUM($H47:K47)</f>
        <v>0</v>
      </c>
      <c r="Y47" s="4">
        <f>SUM($H47:L47)</f>
        <v>0</v>
      </c>
      <c r="Z47" s="4">
        <f>SUM($H47:M47)</f>
        <v>0</v>
      </c>
      <c r="AA47" s="4">
        <f>SUM($H47:N47)</f>
        <v>0</v>
      </c>
      <c r="AB47" s="4">
        <f>SUM($H47:O47)</f>
        <v>0</v>
      </c>
      <c r="AC47" s="4">
        <f>SUM($H47:P47)</f>
        <v>0</v>
      </c>
      <c r="AD47" s="4">
        <f>SUM($H47:Q47)</f>
        <v>0</v>
      </c>
      <c r="AE47" s="4">
        <f>SUM($H47:R47)</f>
        <v>0</v>
      </c>
      <c r="AF47" s="4">
        <f>SUM($H47:S47)</f>
        <v>1173.99</v>
      </c>
    </row>
    <row r="48" spans="2:32">
      <c r="B48">
        <v>53000</v>
      </c>
      <c r="C48" t="s">
        <v>42</v>
      </c>
      <c r="D48" t="str">
        <f>VLOOKUP($B48, Mapping!$A:$E, 5, 0)</f>
        <v>Other</v>
      </c>
      <c r="E48" t="str">
        <f>IF(D48="Spa",VLOOKUP($B48,Mapping!$A:$D,4,0), D48)</f>
        <v>Other</v>
      </c>
      <c r="F48" t="s">
        <v>83</v>
      </c>
      <c r="G48" t="s">
        <v>101</v>
      </c>
      <c r="H48" s="3" cm="1">
        <f t="array" ref="H48">INDEX('[2]Data 2022 to Oct24'!$E$2:$CJ$41,MATCH($B48,'[2]Data 2022 to Oct24'!$B$2:$B$41),H$23)</f>
        <v>0</v>
      </c>
      <c r="I48" s="3" cm="1">
        <f t="array" ref="I48">INDEX('[2]Data 2022 to Oct24'!$E$2:$CJ$41,MATCH($B48,'[2]Data 2022 to Oct24'!$B$2:$B$41),I$23)</f>
        <v>0</v>
      </c>
      <c r="J48" s="3" cm="1">
        <f t="array" ref="J48">INDEX('[2]Data 2022 to Oct24'!$E$2:$CJ$41,MATCH($B48,'[2]Data 2022 to Oct24'!$B$2:$B$41),J$23)</f>
        <v>0</v>
      </c>
      <c r="K48" s="3" cm="1">
        <f t="array" ref="K48">INDEX('[2]Data 2022 to Oct24'!$E$2:$CJ$41,MATCH($B48,'[2]Data 2022 to Oct24'!$B$2:$B$41),K$23)</f>
        <v>0</v>
      </c>
      <c r="L48" s="3" cm="1">
        <f t="array" ref="L48">INDEX('[2]Data 2022 to Oct24'!$E$2:$CJ$41,MATCH($B48,'[2]Data 2022 to Oct24'!$B$2:$B$41),L$23)</f>
        <v>0</v>
      </c>
      <c r="M48" s="3" cm="1">
        <f t="array" ref="M48">INDEX('[2]Data 2022 to Oct24'!$E$2:$CJ$41,MATCH($B48,'[2]Data 2022 to Oct24'!$B$2:$B$41),M$23)</f>
        <v>0</v>
      </c>
      <c r="N48" s="3" cm="1">
        <f t="array" ref="N48">INDEX('[2]Data 2022 to Oct24'!$E$2:$CJ$41,MATCH($B48,'[2]Data 2022 to Oct24'!$B$2:$B$41),N$23)</f>
        <v>0</v>
      </c>
      <c r="O48" s="3" cm="1">
        <f t="array" ref="O48">INDEX('[2]Data 2022 to Oct24'!$E$2:$CJ$41,MATCH($B48,'[2]Data 2022 to Oct24'!$B$2:$B$41),O$23)</f>
        <v>0</v>
      </c>
      <c r="P48" s="3" cm="1">
        <f t="array" ref="P48">INDEX('[2]Data 2022 to Oct24'!$E$2:$CJ$41,MATCH($B48,'[2]Data 2022 to Oct24'!$B$2:$B$41),P$23)</f>
        <v>0</v>
      </c>
      <c r="Q48" s="3" cm="1">
        <f t="array" ref="Q48">INDEX('[2]Data 2022 to Oct24'!$E$2:$CJ$41,MATCH($B48,'[2]Data 2022 to Oct24'!$B$2:$B$41),Q$23)</f>
        <v>0</v>
      </c>
      <c r="R48" s="3" cm="1">
        <f t="array" ref="R48">INDEX('[2]Data 2022 to Oct24'!$E$2:$CJ$41,MATCH($B48,'[2]Data 2022 to Oct24'!$B$2:$B$41),R$23)</f>
        <v>610.55999999999995</v>
      </c>
      <c r="S48" s="3" cm="1">
        <f t="array" ref="S48">INDEX('[2]Data 2022 to Oct24'!$E$2:$CJ$41,MATCH($B48,'[2]Data 2022 to Oct24'!$B$2:$B$41),S$23)</f>
        <v>0</v>
      </c>
      <c r="U48" s="4">
        <f>SUM($H48:H48)</f>
        <v>0</v>
      </c>
      <c r="V48" s="4">
        <f>SUM($H48:I48)</f>
        <v>0</v>
      </c>
      <c r="W48" s="4">
        <f>SUM($H48:J48)</f>
        <v>0</v>
      </c>
      <c r="X48" s="4">
        <f>SUM($H48:K48)</f>
        <v>0</v>
      </c>
      <c r="Y48" s="4">
        <f>SUM($H48:L48)</f>
        <v>0</v>
      </c>
      <c r="Z48" s="4">
        <f>SUM($H48:M48)</f>
        <v>0</v>
      </c>
      <c r="AA48" s="4">
        <f>SUM($H48:N48)</f>
        <v>0</v>
      </c>
      <c r="AB48" s="4">
        <f>SUM($H48:O48)</f>
        <v>0</v>
      </c>
      <c r="AC48" s="4">
        <f>SUM($H48:P48)</f>
        <v>0</v>
      </c>
      <c r="AD48" s="4">
        <f>SUM($H48:Q48)</f>
        <v>0</v>
      </c>
      <c r="AE48" s="4">
        <f>SUM($H48:R48)</f>
        <v>610.55999999999995</v>
      </c>
      <c r="AF48" s="4">
        <f>SUM($H48:S48)</f>
        <v>610.55999999999995</v>
      </c>
    </row>
    <row r="49" spans="2:32">
      <c r="B49" s="5">
        <v>53014</v>
      </c>
      <c r="C49" s="5" t="s">
        <v>43</v>
      </c>
      <c r="D49" t="str">
        <f>VLOOKUP($B49, Mapping!$A:$E, 5, 0)</f>
        <v>Spa</v>
      </c>
      <c r="E49" t="str">
        <f>IF(D49="Spa",VLOOKUP($B49,Mapping!$A:$D,4,0), D49)</f>
        <v>Institutes / Clinics</v>
      </c>
      <c r="F49" t="s">
        <v>101</v>
      </c>
      <c r="G49" s="2" t="s">
        <v>101</v>
      </c>
      <c r="H49" s="3" cm="1">
        <f t="array" ref="H49">INDEX('[2]Data 2022 to Oct24'!$E$2:$CJ$41,MATCH($B49,'[2]Data 2022 to Oct24'!$B$2:$B$41),H$23)</f>
        <v>0</v>
      </c>
      <c r="I49" s="3" cm="1">
        <f t="array" ref="I49">INDEX('[2]Data 2022 to Oct24'!$E$2:$CJ$41,MATCH($B49,'[2]Data 2022 to Oct24'!$B$2:$B$41),I$23)</f>
        <v>0</v>
      </c>
      <c r="J49" s="3" cm="1">
        <f t="array" ref="J49">INDEX('[2]Data 2022 to Oct24'!$E$2:$CJ$41,MATCH($B49,'[2]Data 2022 to Oct24'!$B$2:$B$41),J$23)</f>
        <v>0</v>
      </c>
      <c r="K49" s="3" cm="1">
        <f t="array" ref="K49">INDEX('[2]Data 2022 to Oct24'!$E$2:$CJ$41,MATCH($B49,'[2]Data 2022 to Oct24'!$B$2:$B$41),K$23)</f>
        <v>0</v>
      </c>
      <c r="L49" s="3" cm="1">
        <f t="array" ref="L49">INDEX('[2]Data 2022 to Oct24'!$E$2:$CJ$41,MATCH($B49,'[2]Data 2022 to Oct24'!$B$2:$B$41),L$23)</f>
        <v>0</v>
      </c>
      <c r="M49" s="3" cm="1">
        <f t="array" ref="M49">INDEX('[2]Data 2022 to Oct24'!$E$2:$CJ$41,MATCH($B49,'[2]Data 2022 to Oct24'!$B$2:$B$41),M$23)</f>
        <v>0</v>
      </c>
      <c r="N49" s="3" cm="1">
        <f t="array" ref="N49">INDEX('[2]Data 2022 to Oct24'!$E$2:$CJ$41,MATCH($B49,'[2]Data 2022 to Oct24'!$B$2:$B$41),N$23)</f>
        <v>0</v>
      </c>
      <c r="O49" s="3" cm="1">
        <f t="array" ref="O49">INDEX('[2]Data 2022 to Oct24'!$E$2:$CJ$41,MATCH($B49,'[2]Data 2022 to Oct24'!$B$2:$B$41),O$23)</f>
        <v>0</v>
      </c>
      <c r="P49" s="3" cm="1">
        <f t="array" ref="P49">INDEX('[2]Data 2022 to Oct24'!$E$2:$CJ$41,MATCH($B49,'[2]Data 2022 to Oct24'!$B$2:$B$41),P$23)</f>
        <v>0</v>
      </c>
      <c r="Q49" s="3" cm="1">
        <f t="array" ref="Q49">INDEX('[2]Data 2022 to Oct24'!$E$2:$CJ$41,MATCH($B49,'[2]Data 2022 to Oct24'!$B$2:$B$41),Q$23)</f>
        <v>0</v>
      </c>
      <c r="R49" s="3" cm="1">
        <f t="array" ref="R49">INDEX('[2]Data 2022 to Oct24'!$E$2:$CJ$41,MATCH($B49,'[2]Data 2022 to Oct24'!$B$2:$B$41),R$23)</f>
        <v>0</v>
      </c>
      <c r="S49" s="3" cm="1">
        <f t="array" ref="S49">INDEX('[2]Data 2022 to Oct24'!$E$2:$CJ$41,MATCH($B49,'[2]Data 2022 to Oct24'!$B$2:$B$41),S$23)</f>
        <v>0</v>
      </c>
      <c r="U49" s="4">
        <f>SUM($H49:H49)</f>
        <v>0</v>
      </c>
      <c r="V49" s="4">
        <f>SUM($H49:I49)</f>
        <v>0</v>
      </c>
      <c r="W49" s="4">
        <f>SUM($H49:J49)</f>
        <v>0</v>
      </c>
      <c r="X49" s="4">
        <f>SUM($H49:K49)</f>
        <v>0</v>
      </c>
      <c r="Y49" s="4">
        <f>SUM($H49:L49)</f>
        <v>0</v>
      </c>
      <c r="Z49" s="4">
        <f>SUM($H49:M49)</f>
        <v>0</v>
      </c>
      <c r="AA49" s="4">
        <f>SUM($H49:N49)</f>
        <v>0</v>
      </c>
      <c r="AB49" s="4">
        <f>SUM($H49:O49)</f>
        <v>0</v>
      </c>
      <c r="AC49" s="4">
        <f>SUM($H49:P49)</f>
        <v>0</v>
      </c>
      <c r="AD49" s="4">
        <f>SUM($H49:Q49)</f>
        <v>0</v>
      </c>
      <c r="AE49" s="4">
        <f>SUM($H49:R49)</f>
        <v>0</v>
      </c>
      <c r="AF49" s="4">
        <f>SUM($H49:S49)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E3C6-7951-4B62-97C3-987F4F8B528F}">
  <dimension ref="B1:AF53"/>
  <sheetViews>
    <sheetView topLeftCell="A25" workbookViewId="0">
      <selection activeCell="I27" sqref="I27"/>
    </sheetView>
  </sheetViews>
  <sheetFormatPr defaultRowHeight="15"/>
  <cols>
    <col min="2" max="2" width="6" bestFit="1" customWidth="1"/>
    <col min="3" max="3" width="40.42578125" bestFit="1" customWidth="1"/>
    <col min="4" max="7" width="16.7109375" customWidth="1"/>
    <col min="8" max="11" width="9.5703125" bestFit="1" customWidth="1"/>
    <col min="12" max="14" width="10.5703125" bestFit="1" customWidth="1"/>
    <col min="15" max="15" width="9.5703125" bestFit="1" customWidth="1"/>
    <col min="16" max="16" width="10.5703125" bestFit="1" customWidth="1"/>
    <col min="17" max="19" width="9.5703125" bestFit="1" customWidth="1"/>
  </cols>
  <sheetData>
    <row r="1" spans="4:19">
      <c r="D1" s="1" t="s">
        <v>11</v>
      </c>
      <c r="E1" s="1"/>
    </row>
    <row r="2" spans="4:19">
      <c r="D2" t="s">
        <v>89</v>
      </c>
      <c r="H2">
        <f>SUMIFS(H$25:H$78, $D$25:$D$78, $D$1)</f>
        <v>7797.59</v>
      </c>
      <c r="I2">
        <f t="shared" ref="I2:S2" si="0">SUMIFS(I$25:I$78, $D$25:$D$78, $D$1)</f>
        <v>11992.84</v>
      </c>
      <c r="J2">
        <f t="shared" si="0"/>
        <v>16105.22</v>
      </c>
      <c r="K2">
        <f t="shared" si="0"/>
        <v>12385.1</v>
      </c>
      <c r="L2">
        <f t="shared" si="0"/>
        <v>6348.89</v>
      </c>
      <c r="M2">
        <f t="shared" si="0"/>
        <v>4071.35</v>
      </c>
      <c r="N2">
        <f t="shared" si="0"/>
        <v>5664</v>
      </c>
      <c r="O2">
        <f t="shared" si="0"/>
        <v>16864.650000000001</v>
      </c>
      <c r="P2">
        <f t="shared" si="0"/>
        <v>16708.66</v>
      </c>
      <c r="Q2">
        <f t="shared" si="0"/>
        <v>16504.28</v>
      </c>
      <c r="R2">
        <f t="shared" si="0"/>
        <v>22550.93</v>
      </c>
      <c r="S2">
        <f t="shared" si="0"/>
        <v>10673.75</v>
      </c>
    </row>
    <row r="3" spans="4:19">
      <c r="D3" t="s">
        <v>90</v>
      </c>
      <c r="H3">
        <f>SUM($H2:H2)</f>
        <v>7797.59</v>
      </c>
      <c r="I3">
        <f>SUM($H2:I2)</f>
        <v>19790.43</v>
      </c>
      <c r="J3">
        <f>SUM($H2:J2)</f>
        <v>35895.65</v>
      </c>
      <c r="K3">
        <f>SUM($H2:K2)</f>
        <v>48280.75</v>
      </c>
      <c r="L3">
        <f>SUM($H2:L2)</f>
        <v>54629.64</v>
      </c>
      <c r="M3">
        <f>SUM($H2:M2)</f>
        <v>58700.99</v>
      </c>
      <c r="N3">
        <f>SUM($H2:N2)</f>
        <v>64364.99</v>
      </c>
      <c r="O3">
        <f>SUM($H2:O2)</f>
        <v>81229.64</v>
      </c>
      <c r="P3">
        <f>SUM($H2:P2)</f>
        <v>97938.3</v>
      </c>
      <c r="Q3">
        <f>SUM($H2:Q2)</f>
        <v>114442.58</v>
      </c>
      <c r="R3">
        <f>SUM($H2:R2)</f>
        <v>136993.51</v>
      </c>
      <c r="S3">
        <f>SUM($H2:S2)</f>
        <v>147667.26</v>
      </c>
    </row>
    <row r="4" spans="4:19">
      <c r="D4" t="s">
        <v>91</v>
      </c>
      <c r="H4">
        <f>COUNTIFS(H$25:H$78,"&gt;0", $D$25:$D$78, $D$1)</f>
        <v>2</v>
      </c>
      <c r="I4">
        <f t="shared" ref="I4:S4" si="1">COUNTIFS(I$25:I$78,"&gt;0", $D$25:$D$78, $D$1)</f>
        <v>2</v>
      </c>
      <c r="J4">
        <f t="shared" si="1"/>
        <v>2</v>
      </c>
      <c r="K4">
        <f t="shared" si="1"/>
        <v>3</v>
      </c>
      <c r="L4">
        <f t="shared" si="1"/>
        <v>2</v>
      </c>
      <c r="M4">
        <f t="shared" si="1"/>
        <v>2</v>
      </c>
      <c r="N4">
        <f t="shared" si="1"/>
        <v>2</v>
      </c>
      <c r="O4">
        <f t="shared" si="1"/>
        <v>2</v>
      </c>
      <c r="P4">
        <f t="shared" si="1"/>
        <v>2</v>
      </c>
      <c r="Q4">
        <f t="shared" si="1"/>
        <v>3</v>
      </c>
      <c r="R4">
        <f t="shared" si="1"/>
        <v>3</v>
      </c>
      <c r="S4">
        <f t="shared" si="1"/>
        <v>2</v>
      </c>
    </row>
    <row r="5" spans="4:19">
      <c r="D5" t="s">
        <v>92</v>
      </c>
      <c r="H5">
        <f>COUNTIFS(U$25:U$78,"&gt;0", $D$25:$D$78, $D$1)</f>
        <v>2</v>
      </c>
      <c r="I5">
        <f t="shared" ref="I5:S5" si="2">COUNTIFS(V$25:V$78,"&gt;0", $D$25:$D$78, $D$1)</f>
        <v>2</v>
      </c>
      <c r="J5">
        <f t="shared" si="2"/>
        <v>2</v>
      </c>
      <c r="K5">
        <f t="shared" si="2"/>
        <v>3</v>
      </c>
      <c r="L5">
        <f t="shared" si="2"/>
        <v>3</v>
      </c>
      <c r="M5">
        <f t="shared" si="2"/>
        <v>3</v>
      </c>
      <c r="N5">
        <f t="shared" si="2"/>
        <v>3</v>
      </c>
      <c r="O5">
        <f t="shared" si="2"/>
        <v>3</v>
      </c>
      <c r="P5">
        <f t="shared" si="2"/>
        <v>3</v>
      </c>
      <c r="Q5">
        <f t="shared" si="2"/>
        <v>3</v>
      </c>
      <c r="R5">
        <f t="shared" si="2"/>
        <v>3</v>
      </c>
      <c r="S5">
        <f t="shared" si="2"/>
        <v>3</v>
      </c>
    </row>
    <row r="6" spans="4:19">
      <c r="D6" t="s">
        <v>93</v>
      </c>
      <c r="H6">
        <f t="shared" ref="H6:S6" si="3">COUNTIFS($F$25:$F$78,"Yes", $D$25:$D$78, $D$1)+COUNTIFS( $G$25:$G$78, "&lt;="&amp;H$24, $D$25:$D$78, $D$1)</f>
        <v>3</v>
      </c>
      <c r="I6">
        <f t="shared" si="3"/>
        <v>3</v>
      </c>
      <c r="J6">
        <f t="shared" si="3"/>
        <v>3</v>
      </c>
      <c r="K6">
        <f t="shared" si="3"/>
        <v>3</v>
      </c>
      <c r="L6">
        <f t="shared" si="3"/>
        <v>3</v>
      </c>
      <c r="M6">
        <f t="shared" si="3"/>
        <v>3</v>
      </c>
      <c r="N6">
        <f t="shared" si="3"/>
        <v>3</v>
      </c>
      <c r="O6">
        <f t="shared" si="3"/>
        <v>3</v>
      </c>
      <c r="P6">
        <f t="shared" si="3"/>
        <v>3</v>
      </c>
      <c r="Q6">
        <f t="shared" si="3"/>
        <v>3</v>
      </c>
      <c r="R6">
        <f t="shared" si="3"/>
        <v>3</v>
      </c>
      <c r="S6">
        <f t="shared" si="3"/>
        <v>3</v>
      </c>
    </row>
    <row r="7" spans="4:19">
      <c r="D7" t="s">
        <v>94</v>
      </c>
      <c r="H7">
        <f t="shared" ref="H7:S7" si="4">COUNTIFS( $G$25:$G$78, H$24, $D$25:$D$78, $D$1)</f>
        <v>0</v>
      </c>
      <c r="I7">
        <f t="shared" si="4"/>
        <v>0</v>
      </c>
      <c r="J7">
        <f t="shared" si="4"/>
        <v>0</v>
      </c>
      <c r="K7">
        <f t="shared" si="4"/>
        <v>0</v>
      </c>
      <c r="L7">
        <f t="shared" si="4"/>
        <v>0</v>
      </c>
      <c r="M7">
        <f t="shared" si="4"/>
        <v>0</v>
      </c>
      <c r="N7">
        <f t="shared" si="4"/>
        <v>0</v>
      </c>
      <c r="O7">
        <f t="shared" si="4"/>
        <v>0</v>
      </c>
      <c r="P7">
        <f t="shared" si="4"/>
        <v>0</v>
      </c>
      <c r="Q7">
        <f t="shared" si="4"/>
        <v>0</v>
      </c>
      <c r="R7">
        <f t="shared" si="4"/>
        <v>0</v>
      </c>
      <c r="S7">
        <f t="shared" si="4"/>
        <v>0</v>
      </c>
    </row>
    <row r="8" spans="4:19">
      <c r="D8" t="s">
        <v>95</v>
      </c>
      <c r="H8">
        <f>SUM($H7:H7)</f>
        <v>0</v>
      </c>
      <c r="I8">
        <f>SUM($H7:I7)</f>
        <v>0</v>
      </c>
      <c r="J8">
        <f>SUM($H7:J7)</f>
        <v>0</v>
      </c>
      <c r="K8">
        <f>SUM($H7:K7)</f>
        <v>0</v>
      </c>
      <c r="L8">
        <f>SUM($H7:L7)</f>
        <v>0</v>
      </c>
      <c r="M8">
        <f>SUM($H7:M7)</f>
        <v>0</v>
      </c>
      <c r="N8">
        <f>SUM($H7:N7)</f>
        <v>0</v>
      </c>
      <c r="O8">
        <f>SUM($H7:O7)</f>
        <v>0</v>
      </c>
      <c r="P8">
        <f>SUM($H7:P7)</f>
        <v>0</v>
      </c>
      <c r="Q8">
        <f>SUM($H7:Q7)</f>
        <v>0</v>
      </c>
      <c r="R8">
        <f>SUM($H7:R7)</f>
        <v>0</v>
      </c>
      <c r="S8">
        <f>SUM($H7:S7)</f>
        <v>0</v>
      </c>
    </row>
    <row r="9" spans="4:19">
      <c r="D9" t="s">
        <v>96</v>
      </c>
      <c r="H9">
        <f t="shared" ref="H9:S9" si="5">SUMIFS( H$25:H$78, $G$25:$G$78, H$24, $D$25:$D$78, $D$1)</f>
        <v>0</v>
      </c>
      <c r="I9">
        <f t="shared" si="5"/>
        <v>0</v>
      </c>
      <c r="J9">
        <f t="shared" si="5"/>
        <v>0</v>
      </c>
      <c r="K9">
        <f t="shared" si="5"/>
        <v>0</v>
      </c>
      <c r="L9">
        <f t="shared" si="5"/>
        <v>0</v>
      </c>
      <c r="M9">
        <f t="shared" si="5"/>
        <v>0</v>
      </c>
      <c r="N9">
        <f t="shared" si="5"/>
        <v>0</v>
      </c>
      <c r="O9">
        <f t="shared" si="5"/>
        <v>0</v>
      </c>
      <c r="P9">
        <f t="shared" si="5"/>
        <v>0</v>
      </c>
      <c r="Q9">
        <f t="shared" si="5"/>
        <v>0</v>
      </c>
      <c r="R9">
        <f t="shared" si="5"/>
        <v>0</v>
      </c>
      <c r="S9">
        <f t="shared" si="5"/>
        <v>0</v>
      </c>
    </row>
    <row r="10" spans="4:19">
      <c r="D10" t="s">
        <v>97</v>
      </c>
      <c r="H10">
        <f t="shared" ref="H10:S10" si="6">SUMIFS( U$25:U$78, $G$25:$G$78, "&lt;="&amp;H$24, $D$25:$D$78, $D$1)</f>
        <v>0</v>
      </c>
      <c r="I10">
        <f t="shared" si="6"/>
        <v>0</v>
      </c>
      <c r="J10">
        <f t="shared" si="6"/>
        <v>0</v>
      </c>
      <c r="K10">
        <f t="shared" si="6"/>
        <v>0</v>
      </c>
      <c r="L10">
        <f t="shared" si="6"/>
        <v>0</v>
      </c>
      <c r="M10">
        <f t="shared" si="6"/>
        <v>0</v>
      </c>
      <c r="N10">
        <f t="shared" si="6"/>
        <v>0</v>
      </c>
      <c r="O10">
        <f t="shared" si="6"/>
        <v>0</v>
      </c>
      <c r="P10">
        <f t="shared" si="6"/>
        <v>0</v>
      </c>
      <c r="Q10">
        <f t="shared" si="6"/>
        <v>0</v>
      </c>
      <c r="R10">
        <f t="shared" si="6"/>
        <v>0</v>
      </c>
      <c r="S10">
        <f t="shared" si="6"/>
        <v>0</v>
      </c>
    </row>
    <row r="12" spans="4:19">
      <c r="D12" s="1" t="s">
        <v>10</v>
      </c>
      <c r="E12" s="1"/>
    </row>
    <row r="13" spans="4:19">
      <c r="D13" t="s">
        <v>89</v>
      </c>
      <c r="H13">
        <f t="shared" ref="H13:S13" si="7">SUMIFS(H$25:H$78, $D$25:$D$78, $D$12)</f>
        <v>0</v>
      </c>
      <c r="I13">
        <f t="shared" si="7"/>
        <v>8523.5400000000009</v>
      </c>
      <c r="J13">
        <f t="shared" si="7"/>
        <v>7184.6</v>
      </c>
      <c r="K13">
        <f>SUMIFS(K$25:K$78, $D$25:$D$78, $D$12)</f>
        <v>338.4</v>
      </c>
      <c r="L13">
        <f t="shared" si="7"/>
        <v>5735.82</v>
      </c>
      <c r="M13">
        <f t="shared" si="7"/>
        <v>5438.09</v>
      </c>
      <c r="N13">
        <f t="shared" si="7"/>
        <v>3492.33</v>
      </c>
      <c r="O13">
        <f t="shared" si="7"/>
        <v>15711.38</v>
      </c>
      <c r="P13">
        <f t="shared" si="7"/>
        <v>12137.75</v>
      </c>
      <c r="Q13">
        <f t="shared" si="7"/>
        <v>21113.300000000003</v>
      </c>
      <c r="R13">
        <f t="shared" si="7"/>
        <v>9601.09</v>
      </c>
      <c r="S13">
        <f t="shared" si="7"/>
        <v>11879.59</v>
      </c>
    </row>
    <row r="14" spans="4:19">
      <c r="D14" t="s">
        <v>90</v>
      </c>
      <c r="H14">
        <f>SUM($H13:H13)</f>
        <v>0</v>
      </c>
      <c r="I14">
        <f>SUM($H13:I13)</f>
        <v>8523.5400000000009</v>
      </c>
      <c r="J14">
        <f>SUM($H13:J13)</f>
        <v>15708.140000000001</v>
      </c>
      <c r="K14">
        <f>SUM($H13:K13)</f>
        <v>16046.54</v>
      </c>
      <c r="L14">
        <f>SUM($H13:L13)</f>
        <v>21782.36</v>
      </c>
      <c r="M14">
        <f>SUM($H13:M13)</f>
        <v>27220.45</v>
      </c>
      <c r="N14">
        <f>SUM($H13:N13)</f>
        <v>30712.78</v>
      </c>
      <c r="O14">
        <f>SUM($H13:O13)</f>
        <v>46424.159999999996</v>
      </c>
      <c r="P14">
        <f>SUM($H13:P13)</f>
        <v>58561.909999999996</v>
      </c>
      <c r="Q14">
        <f>SUM($H13:Q13)</f>
        <v>79675.209999999992</v>
      </c>
      <c r="R14">
        <f>SUM($H13:R13)</f>
        <v>89276.299999999988</v>
      </c>
      <c r="S14">
        <f>SUM($H13:S13)</f>
        <v>101155.88999999998</v>
      </c>
    </row>
    <row r="15" spans="4:19">
      <c r="D15" t="s">
        <v>91</v>
      </c>
      <c r="H15">
        <f t="shared" ref="H15:S15" si="8">COUNTIFS(H$25:H$78,"&gt;0", $D$25:$D$78, $D$12)</f>
        <v>0</v>
      </c>
      <c r="I15">
        <f t="shared" si="8"/>
        <v>2</v>
      </c>
      <c r="J15">
        <f t="shared" si="8"/>
        <v>4</v>
      </c>
      <c r="K15">
        <f t="shared" si="8"/>
        <v>1</v>
      </c>
      <c r="L15">
        <f t="shared" si="8"/>
        <v>3</v>
      </c>
      <c r="M15">
        <f t="shared" si="8"/>
        <v>2</v>
      </c>
      <c r="N15">
        <f t="shared" si="8"/>
        <v>5</v>
      </c>
      <c r="O15">
        <f t="shared" si="8"/>
        <v>2</v>
      </c>
      <c r="P15">
        <f t="shared" si="8"/>
        <v>5</v>
      </c>
      <c r="Q15">
        <f t="shared" si="8"/>
        <v>7</v>
      </c>
      <c r="R15">
        <f t="shared" si="8"/>
        <v>8</v>
      </c>
      <c r="S15">
        <f t="shared" si="8"/>
        <v>6</v>
      </c>
    </row>
    <row r="16" spans="4:19">
      <c r="D16" t="s">
        <v>92</v>
      </c>
      <c r="H16">
        <f t="shared" ref="H16:S16" si="9">COUNTIFS(U$25:U$78,"&gt;0", $D$25:$D$78, $D$12)</f>
        <v>0</v>
      </c>
      <c r="I16">
        <f t="shared" si="9"/>
        <v>2</v>
      </c>
      <c r="J16">
        <f t="shared" si="9"/>
        <v>5</v>
      </c>
      <c r="K16">
        <f t="shared" si="9"/>
        <v>5</v>
      </c>
      <c r="L16">
        <f t="shared" si="9"/>
        <v>5</v>
      </c>
      <c r="M16">
        <f t="shared" si="9"/>
        <v>5</v>
      </c>
      <c r="N16">
        <f t="shared" si="9"/>
        <v>6</v>
      </c>
      <c r="O16">
        <f t="shared" si="9"/>
        <v>7</v>
      </c>
      <c r="P16">
        <f t="shared" si="9"/>
        <v>7</v>
      </c>
      <c r="Q16">
        <f t="shared" si="9"/>
        <v>8</v>
      </c>
      <c r="R16">
        <f t="shared" si="9"/>
        <v>9</v>
      </c>
      <c r="S16">
        <f t="shared" si="9"/>
        <v>9</v>
      </c>
    </row>
    <row r="17" spans="2:32">
      <c r="D17" t="s">
        <v>93</v>
      </c>
      <c r="H17">
        <f t="shared" ref="H17:S17" si="10">COUNTIFS($F$25:$F$78,"Yes", $D$25:$D$78, $D$12)+COUNTIFS( $G$25:$G$78, "&lt;="&amp;H$24, $D$25:$D$78, $D$12)</f>
        <v>3</v>
      </c>
      <c r="I17">
        <f t="shared" si="10"/>
        <v>4</v>
      </c>
      <c r="J17">
        <f t="shared" si="10"/>
        <v>5</v>
      </c>
      <c r="K17">
        <f t="shared" si="10"/>
        <v>5</v>
      </c>
      <c r="L17">
        <f t="shared" si="10"/>
        <v>5</v>
      </c>
      <c r="M17">
        <f t="shared" si="10"/>
        <v>5</v>
      </c>
      <c r="N17">
        <f t="shared" si="10"/>
        <v>6</v>
      </c>
      <c r="O17">
        <f t="shared" si="10"/>
        <v>7</v>
      </c>
      <c r="P17">
        <f t="shared" si="10"/>
        <v>7</v>
      </c>
      <c r="Q17">
        <f t="shared" si="10"/>
        <v>8</v>
      </c>
      <c r="R17">
        <f t="shared" si="10"/>
        <v>9</v>
      </c>
      <c r="S17">
        <f t="shared" si="10"/>
        <v>9</v>
      </c>
    </row>
    <row r="18" spans="2:32">
      <c r="D18" t="s">
        <v>94</v>
      </c>
      <c r="H18">
        <f t="shared" ref="H18:S18" si="11">COUNTIFS( $G$25:$G$78, H$24, $D$25:$D$78, $D$12)</f>
        <v>0</v>
      </c>
      <c r="I18">
        <f t="shared" si="11"/>
        <v>1</v>
      </c>
      <c r="J18">
        <f t="shared" si="11"/>
        <v>1</v>
      </c>
      <c r="K18">
        <f t="shared" si="11"/>
        <v>0</v>
      </c>
      <c r="L18">
        <f t="shared" si="11"/>
        <v>0</v>
      </c>
      <c r="M18">
        <f t="shared" si="11"/>
        <v>0</v>
      </c>
      <c r="N18">
        <f t="shared" si="11"/>
        <v>1</v>
      </c>
      <c r="O18">
        <f t="shared" si="11"/>
        <v>1</v>
      </c>
      <c r="P18">
        <f t="shared" si="11"/>
        <v>0</v>
      </c>
      <c r="Q18">
        <f t="shared" si="11"/>
        <v>1</v>
      </c>
      <c r="R18">
        <f t="shared" si="11"/>
        <v>1</v>
      </c>
      <c r="S18">
        <f t="shared" si="11"/>
        <v>0</v>
      </c>
    </row>
    <row r="19" spans="2:32">
      <c r="D19" t="s">
        <v>95</v>
      </c>
      <c r="H19">
        <f>SUM($H18:H18)</f>
        <v>0</v>
      </c>
      <c r="I19">
        <f>SUM($H18:I18)</f>
        <v>1</v>
      </c>
      <c r="J19">
        <f>SUM($H18:J18)</f>
        <v>2</v>
      </c>
      <c r="K19">
        <f>SUM($H18:K18)</f>
        <v>2</v>
      </c>
      <c r="L19">
        <f>SUM($H18:L18)</f>
        <v>2</v>
      </c>
      <c r="M19">
        <f>SUM($H18:M18)</f>
        <v>2</v>
      </c>
      <c r="N19">
        <f>SUM($H18:N18)</f>
        <v>3</v>
      </c>
      <c r="O19">
        <f>SUM($H18:O18)</f>
        <v>4</v>
      </c>
      <c r="P19">
        <f>SUM($H18:P18)</f>
        <v>4</v>
      </c>
      <c r="Q19">
        <f>SUM($H18:Q18)</f>
        <v>5</v>
      </c>
      <c r="R19">
        <f>SUM($H18:R18)</f>
        <v>6</v>
      </c>
      <c r="S19">
        <f>SUM($H18:S18)</f>
        <v>6</v>
      </c>
    </row>
    <row r="20" spans="2:32">
      <c r="D20" t="s">
        <v>96</v>
      </c>
      <c r="H20">
        <f t="shared" ref="H20:S20" si="12">SUMIFS( H$25:H$78, $G$25:$G$78, H$24, $D$25:$D$78, $D$12)</f>
        <v>0</v>
      </c>
      <c r="I20">
        <f t="shared" si="12"/>
        <v>7912.09</v>
      </c>
      <c r="J20">
        <f t="shared" si="12"/>
        <v>3019.77</v>
      </c>
      <c r="K20">
        <f t="shared" si="12"/>
        <v>0</v>
      </c>
      <c r="L20">
        <f t="shared" si="12"/>
        <v>0</v>
      </c>
      <c r="M20">
        <f t="shared" si="12"/>
        <v>0</v>
      </c>
      <c r="N20">
        <f t="shared" si="12"/>
        <v>1646.78</v>
      </c>
      <c r="O20">
        <f t="shared" si="12"/>
        <v>12259.13</v>
      </c>
      <c r="P20">
        <f t="shared" si="12"/>
        <v>0</v>
      </c>
      <c r="Q20">
        <f t="shared" si="12"/>
        <v>1853.97</v>
      </c>
      <c r="R20">
        <f t="shared" si="12"/>
        <v>2148.84</v>
      </c>
      <c r="S20">
        <f t="shared" si="12"/>
        <v>0</v>
      </c>
    </row>
    <row r="21" spans="2:32">
      <c r="D21" t="s">
        <v>97</v>
      </c>
      <c r="H21">
        <f t="shared" ref="H21:S21" si="13">SUMIFS( U$25:U$78, $G$25:$G$78, "&lt;="&amp;H$24, $D$25:$D$78, $D$12)</f>
        <v>0</v>
      </c>
      <c r="I21">
        <f t="shared" si="13"/>
        <v>7912.09</v>
      </c>
      <c r="J21">
        <f t="shared" si="13"/>
        <v>10931.86</v>
      </c>
      <c r="K21">
        <f t="shared" si="13"/>
        <v>10931.86</v>
      </c>
      <c r="L21">
        <f t="shared" si="13"/>
        <v>11231.01</v>
      </c>
      <c r="M21">
        <f t="shared" si="13"/>
        <v>13473.5</v>
      </c>
      <c r="N21">
        <f t="shared" si="13"/>
        <v>16001.49</v>
      </c>
      <c r="O21">
        <f t="shared" si="13"/>
        <v>28260.619999999995</v>
      </c>
      <c r="P21">
        <f t="shared" si="13"/>
        <v>34079.89</v>
      </c>
      <c r="Q21">
        <f t="shared" si="13"/>
        <v>48186.57</v>
      </c>
      <c r="R21">
        <f t="shared" si="13"/>
        <v>56112.400000000009</v>
      </c>
      <c r="S21">
        <f t="shared" si="13"/>
        <v>63917.89</v>
      </c>
    </row>
    <row r="23" spans="2:32">
      <c r="H23">
        <v>73</v>
      </c>
      <c r="I23">
        <f>H23+3</f>
        <v>76</v>
      </c>
      <c r="J23">
        <f t="shared" ref="J23:S23" si="14">I23+3</f>
        <v>79</v>
      </c>
      <c r="K23">
        <f t="shared" si="14"/>
        <v>82</v>
      </c>
      <c r="L23">
        <f t="shared" si="14"/>
        <v>85</v>
      </c>
      <c r="M23">
        <f t="shared" si="14"/>
        <v>88</v>
      </c>
      <c r="N23">
        <f t="shared" si="14"/>
        <v>91</v>
      </c>
      <c r="O23">
        <f t="shared" si="14"/>
        <v>94</v>
      </c>
      <c r="P23">
        <f t="shared" si="14"/>
        <v>97</v>
      </c>
      <c r="Q23">
        <f t="shared" si="14"/>
        <v>100</v>
      </c>
      <c r="R23">
        <f t="shared" si="14"/>
        <v>103</v>
      </c>
      <c r="S23">
        <f t="shared" si="14"/>
        <v>106</v>
      </c>
    </row>
    <row r="24" spans="2:32">
      <c r="D24" t="s">
        <v>98</v>
      </c>
      <c r="E24" t="s">
        <v>69</v>
      </c>
      <c r="F24" t="s">
        <v>99</v>
      </c>
      <c r="G24" t="s">
        <v>100</v>
      </c>
      <c r="H24" s="2">
        <v>45292</v>
      </c>
      <c r="I24" s="2">
        <v>45323</v>
      </c>
      <c r="J24" s="2">
        <v>45352</v>
      </c>
      <c r="K24" s="2">
        <v>45383</v>
      </c>
      <c r="L24" s="2">
        <v>45413</v>
      </c>
      <c r="M24" s="2">
        <v>45444</v>
      </c>
      <c r="N24" s="2">
        <v>45474</v>
      </c>
      <c r="O24" s="2">
        <v>45505</v>
      </c>
      <c r="P24" s="2">
        <v>45536</v>
      </c>
      <c r="Q24" s="2">
        <v>45566</v>
      </c>
      <c r="R24" s="2">
        <v>45597</v>
      </c>
      <c r="S24" s="2">
        <v>45627</v>
      </c>
      <c r="U24" s="2">
        <v>45292</v>
      </c>
      <c r="V24" s="2">
        <v>45323</v>
      </c>
      <c r="W24" s="2">
        <v>45352</v>
      </c>
      <c r="X24" s="2">
        <v>45383</v>
      </c>
      <c r="Y24" s="2">
        <v>45413</v>
      </c>
      <c r="Z24" s="2">
        <v>45444</v>
      </c>
      <c r="AA24" s="2">
        <v>45474</v>
      </c>
      <c r="AB24" s="2">
        <v>45505</v>
      </c>
      <c r="AC24" s="2">
        <v>45536</v>
      </c>
      <c r="AD24" s="2">
        <v>45566</v>
      </c>
      <c r="AE24" s="2">
        <v>45597</v>
      </c>
      <c r="AF24" s="2">
        <v>45627</v>
      </c>
    </row>
    <row r="25" spans="2:32">
      <c r="B25">
        <v>51101</v>
      </c>
      <c r="C25" t="s">
        <v>63</v>
      </c>
      <c r="D25" t="str">
        <f>VLOOKUP($B25, Mapping!$A:$E, 5, 0)</f>
        <v>Retail</v>
      </c>
      <c r="E25" t="str">
        <f>IF(D25="Spa",VLOOKUP($B25,Mapping!$A:$D,4,0), D25)</f>
        <v>Retail</v>
      </c>
      <c r="F25" t="s">
        <v>83</v>
      </c>
      <c r="G25" t="s">
        <v>101</v>
      </c>
      <c r="H25" s="3">
        <v>4000</v>
      </c>
      <c r="I25" s="3">
        <v>11872.82</v>
      </c>
      <c r="J25" s="3">
        <v>5331.17</v>
      </c>
      <c r="K25" s="3">
        <v>11392.17</v>
      </c>
      <c r="L25" s="3">
        <v>5320.75</v>
      </c>
      <c r="M25" s="3">
        <v>3786.91</v>
      </c>
      <c r="N25" s="3">
        <v>4925.17</v>
      </c>
      <c r="O25" s="3">
        <v>11123.93</v>
      </c>
      <c r="P25" s="3">
        <v>10032.59</v>
      </c>
      <c r="Q25" s="3">
        <v>11189.24</v>
      </c>
      <c r="R25" s="3">
        <v>17416.18</v>
      </c>
      <c r="S25" s="3">
        <v>10000</v>
      </c>
      <c r="U25" s="4">
        <f>SUM($H25:H25)</f>
        <v>4000</v>
      </c>
      <c r="V25" s="4">
        <f>SUM($H25:I25)</f>
        <v>15872.82</v>
      </c>
      <c r="W25" s="4">
        <f>SUM($H25:J25)</f>
        <v>21203.989999999998</v>
      </c>
      <c r="X25" s="4">
        <f>SUM($H25:K25)</f>
        <v>32596.159999999996</v>
      </c>
      <c r="Y25" s="4">
        <f>SUM($H25:L25)</f>
        <v>37916.909999999996</v>
      </c>
      <c r="Z25" s="4">
        <f>SUM($H25:M25)</f>
        <v>41703.819999999992</v>
      </c>
      <c r="AA25" s="4">
        <f>SUM($H25:N25)</f>
        <v>46628.989999999991</v>
      </c>
      <c r="AB25" s="4">
        <f>SUM($H25:O25)</f>
        <v>57752.919999999991</v>
      </c>
      <c r="AC25" s="4">
        <f>SUM($H25:P25)</f>
        <v>67785.509999999995</v>
      </c>
      <c r="AD25" s="4">
        <f>SUM($H25:Q25)</f>
        <v>78974.75</v>
      </c>
      <c r="AE25" s="4">
        <f>SUM($H25:R25)</f>
        <v>96390.93</v>
      </c>
      <c r="AF25" s="4">
        <f>SUM($H25:S25)</f>
        <v>106390.93</v>
      </c>
    </row>
    <row r="26" spans="2:32">
      <c r="B26">
        <v>51172</v>
      </c>
      <c r="C26" t="s">
        <v>64</v>
      </c>
      <c r="D26" t="str">
        <f>VLOOKUP($B26, Mapping!$A:$E, 5, 0)</f>
        <v>Retail</v>
      </c>
      <c r="E26" t="str">
        <f>IF(D26="Spa",VLOOKUP($B26,Mapping!$A:$D,4,0), D26)</f>
        <v>Retail</v>
      </c>
      <c r="F26" t="s">
        <v>83</v>
      </c>
      <c r="G26" t="s">
        <v>101</v>
      </c>
      <c r="H26" s="3">
        <v>4085.59</v>
      </c>
      <c r="I26" s="3">
        <v>120.02</v>
      </c>
      <c r="J26" s="3">
        <v>10774.05</v>
      </c>
      <c r="K26" s="3">
        <v>587.92999999999995</v>
      </c>
      <c r="L26" s="3">
        <v>1028.1400000000001</v>
      </c>
      <c r="M26" s="3">
        <v>284.44</v>
      </c>
      <c r="N26" s="3">
        <v>738.83</v>
      </c>
      <c r="O26" s="3">
        <v>5740.72</v>
      </c>
      <c r="P26" s="3">
        <v>6676.07</v>
      </c>
      <c r="Q26" s="3">
        <v>4583.76</v>
      </c>
      <c r="R26" s="3">
        <v>4274.08</v>
      </c>
      <c r="S26" s="3">
        <v>673.75</v>
      </c>
      <c r="U26" s="4">
        <f>SUM($H26:H26)</f>
        <v>4085.59</v>
      </c>
      <c r="V26" s="4">
        <f>SUM($H26:I26)</f>
        <v>4205.6100000000006</v>
      </c>
      <c r="W26" s="4">
        <f>SUM($H26:J26)</f>
        <v>14979.66</v>
      </c>
      <c r="X26" s="4">
        <f>SUM($H26:K26)</f>
        <v>15567.59</v>
      </c>
      <c r="Y26" s="4">
        <f>SUM($H26:L26)</f>
        <v>16595.73</v>
      </c>
      <c r="Z26" s="4">
        <f>SUM($H26:M26)</f>
        <v>16880.169999999998</v>
      </c>
      <c r="AA26" s="4">
        <f>SUM($H26:N26)</f>
        <v>17619</v>
      </c>
      <c r="AB26" s="4">
        <f>SUM($H26:O26)</f>
        <v>23359.72</v>
      </c>
      <c r="AC26" s="4">
        <f>SUM($H26:P26)</f>
        <v>30035.79</v>
      </c>
      <c r="AD26" s="4">
        <f>SUM($H26:Q26)</f>
        <v>34619.550000000003</v>
      </c>
      <c r="AE26" s="4">
        <f>SUM($H26:R26)</f>
        <v>38893.630000000005</v>
      </c>
      <c r="AF26" s="4">
        <f>SUM($H26:S26)</f>
        <v>39567.380000000005</v>
      </c>
    </row>
    <row r="27" spans="2:32">
      <c r="B27">
        <v>51175</v>
      </c>
      <c r="C27" t="s">
        <v>66</v>
      </c>
      <c r="D27" t="str">
        <f>VLOOKUP($B27, Mapping!$A:$E, 5, 0)</f>
        <v>eTailers</v>
      </c>
      <c r="E27" t="str">
        <f>IF(D27="Spa",VLOOKUP($B27,Mapping!$A:$D,4,0), D27)</f>
        <v>eTailers</v>
      </c>
      <c r="F27" t="s">
        <v>83</v>
      </c>
      <c r="G27" t="s">
        <v>101</v>
      </c>
      <c r="H27" s="3">
        <v>0</v>
      </c>
      <c r="I27" s="3">
        <v>0</v>
      </c>
      <c r="J27" s="3">
        <v>0</v>
      </c>
      <c r="K27" s="3">
        <v>-6663.15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U27" s="4">
        <f>SUM($H27:H27)</f>
        <v>0</v>
      </c>
      <c r="V27" s="4">
        <f>SUM($H27:I27)</f>
        <v>0</v>
      </c>
      <c r="W27" s="4">
        <f>SUM($H27:J27)</f>
        <v>0</v>
      </c>
      <c r="X27" s="4">
        <f>SUM($H27:K27)</f>
        <v>-6663.15</v>
      </c>
      <c r="Y27" s="4">
        <f>SUM($H27:L27)</f>
        <v>-6663.15</v>
      </c>
      <c r="Z27" s="4">
        <f>SUM($H27:M27)</f>
        <v>-6663.15</v>
      </c>
      <c r="AA27" s="4">
        <f>SUM($H27:N27)</f>
        <v>-6663.15</v>
      </c>
      <c r="AB27" s="4">
        <f>SUM($H27:O27)</f>
        <v>-6663.15</v>
      </c>
      <c r="AC27" s="4">
        <f>SUM($H27:P27)</f>
        <v>-6663.15</v>
      </c>
      <c r="AD27" s="4">
        <f>SUM($H27:Q27)</f>
        <v>-6663.15</v>
      </c>
      <c r="AE27" s="4">
        <f>SUM($H27:R27)</f>
        <v>-6663.15</v>
      </c>
      <c r="AF27" s="4">
        <f>SUM($H27:S27)</f>
        <v>-6663.15</v>
      </c>
    </row>
    <row r="28" spans="2:32">
      <c r="B28">
        <v>51176</v>
      </c>
      <c r="C28" t="s">
        <v>67</v>
      </c>
      <c r="D28" t="str">
        <f>VLOOKUP($B28, Mapping!$A:$E, 5, 0)</f>
        <v>eTailers</v>
      </c>
      <c r="E28" t="str">
        <f>IF(D28="Spa",VLOOKUP($B28,Mapping!$A:$D,4,0), D28)</f>
        <v>eTailers</v>
      </c>
      <c r="F28" t="s">
        <v>83</v>
      </c>
      <c r="G28" t="s">
        <v>101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2424.96</v>
      </c>
      <c r="N28" s="3">
        <v>5293.89</v>
      </c>
      <c r="O28" s="3">
        <v>0</v>
      </c>
      <c r="P28" s="3">
        <v>2431.3200000000002</v>
      </c>
      <c r="Q28" s="3">
        <v>4375.1400000000003</v>
      </c>
      <c r="R28" s="3">
        <v>787.5</v>
      </c>
      <c r="S28" s="3">
        <v>0</v>
      </c>
      <c r="U28" s="4">
        <f>SUM($H28:H28)</f>
        <v>0</v>
      </c>
      <c r="V28" s="4">
        <f>SUM($H28:I28)</f>
        <v>0</v>
      </c>
      <c r="W28" s="4">
        <f>SUM($H28:J28)</f>
        <v>0</v>
      </c>
      <c r="X28" s="4">
        <f>SUM($H28:K28)</f>
        <v>0</v>
      </c>
      <c r="Y28" s="4">
        <f>SUM($H28:L28)</f>
        <v>0</v>
      </c>
      <c r="Z28" s="4">
        <f>SUM($H28:M28)</f>
        <v>2424.96</v>
      </c>
      <c r="AA28" s="4">
        <f>SUM($H28:N28)</f>
        <v>7718.85</v>
      </c>
      <c r="AB28" s="4">
        <f>SUM($H28:O28)</f>
        <v>7718.85</v>
      </c>
      <c r="AC28" s="4">
        <f>SUM($H28:P28)</f>
        <v>10150.17</v>
      </c>
      <c r="AD28" s="4">
        <f>SUM($H28:Q28)</f>
        <v>14525.310000000001</v>
      </c>
      <c r="AE28" s="4">
        <f>SUM($H28:R28)</f>
        <v>15312.810000000001</v>
      </c>
      <c r="AF28" s="4">
        <f>SUM($H28:S28)</f>
        <v>15312.810000000001</v>
      </c>
    </row>
    <row r="29" spans="2:32">
      <c r="B29">
        <v>51177</v>
      </c>
      <c r="C29" t="s">
        <v>102</v>
      </c>
      <c r="D29" t="str">
        <f>VLOOKUP($B29, Mapping!$A:$E, 5, 0)</f>
        <v>eTailers</v>
      </c>
      <c r="E29" t="str">
        <f>IF(D29="Spa",VLOOKUP($B29,Mapping!$A:$D,4,0), D29)</f>
        <v>eTailers</v>
      </c>
      <c r="F29" t="s">
        <v>83</v>
      </c>
      <c r="G29" t="s">
        <v>101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U29" s="4">
        <f>SUM($H29:H29)</f>
        <v>0</v>
      </c>
      <c r="V29" s="4">
        <f>SUM($H29:I29)</f>
        <v>0</v>
      </c>
      <c r="W29" s="4">
        <f>SUM($H29:J29)</f>
        <v>0</v>
      </c>
      <c r="X29" s="4">
        <f>SUM($H29:K29)</f>
        <v>0</v>
      </c>
      <c r="Y29" s="4">
        <f>SUM($H29:L29)</f>
        <v>0</v>
      </c>
      <c r="Z29" s="4">
        <f>SUM($H29:M29)</f>
        <v>0</v>
      </c>
      <c r="AA29" s="4">
        <f>SUM($H29:N29)</f>
        <v>0</v>
      </c>
      <c r="AB29" s="4">
        <f>SUM($H29:O29)</f>
        <v>0</v>
      </c>
      <c r="AC29" s="4">
        <f>SUM($H29:P29)</f>
        <v>0</v>
      </c>
      <c r="AD29" s="4">
        <f>SUM($H29:Q29)</f>
        <v>0</v>
      </c>
      <c r="AE29" s="4">
        <f>SUM($H29:R29)</f>
        <v>0</v>
      </c>
      <c r="AF29" s="4">
        <f>SUM($H29:S29)</f>
        <v>0</v>
      </c>
    </row>
    <row r="30" spans="2:32">
      <c r="B30">
        <v>51179</v>
      </c>
      <c r="C30" t="s">
        <v>103</v>
      </c>
      <c r="D30" t="str">
        <f>VLOOKUP($B30, Mapping!$A:$E, 5, 0)</f>
        <v>eTailers</v>
      </c>
      <c r="E30" t="str">
        <f>IF(D30="Spa",VLOOKUP($B30,Mapping!$A:$D,4,0), D30)</f>
        <v>eTailers</v>
      </c>
      <c r="F30" t="s">
        <v>83</v>
      </c>
      <c r="G30" t="s">
        <v>101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U30" s="4">
        <f>SUM($H30:H30)</f>
        <v>0</v>
      </c>
      <c r="V30" s="4">
        <f>SUM($H30:I30)</f>
        <v>0</v>
      </c>
      <c r="W30" s="4">
        <f>SUM($H30:J30)</f>
        <v>0</v>
      </c>
      <c r="X30" s="4">
        <f>SUM($H30:K30)</f>
        <v>0</v>
      </c>
      <c r="Y30" s="4">
        <f>SUM($H30:L30)</f>
        <v>0</v>
      </c>
      <c r="Z30" s="4">
        <f>SUM($H30:M30)</f>
        <v>0</v>
      </c>
      <c r="AA30" s="4">
        <f>SUM($H30:N30)</f>
        <v>0</v>
      </c>
      <c r="AB30" s="4">
        <f>SUM($H30:O30)</f>
        <v>0</v>
      </c>
      <c r="AC30" s="4">
        <f>SUM($H30:P30)</f>
        <v>0</v>
      </c>
      <c r="AD30" s="4">
        <f>SUM($H30:Q30)</f>
        <v>0</v>
      </c>
      <c r="AE30" s="4">
        <f>SUM($H30:R30)</f>
        <v>0</v>
      </c>
      <c r="AF30" s="4">
        <f>SUM($H30:S30)</f>
        <v>0</v>
      </c>
    </row>
    <row r="31" spans="2:32">
      <c r="B31">
        <v>51183</v>
      </c>
      <c r="C31" t="s">
        <v>65</v>
      </c>
      <c r="D31" t="str">
        <f>VLOOKUP($B31, Mapping!$A:$E, 5, 0)</f>
        <v>Retail</v>
      </c>
      <c r="E31" t="str">
        <f>IF(D31="Spa",VLOOKUP($B31,Mapping!$A:$D,4,0), D31)</f>
        <v>Retail</v>
      </c>
      <c r="F31" t="s">
        <v>83</v>
      </c>
      <c r="G31" t="s">
        <v>101</v>
      </c>
      <c r="H31" s="3">
        <v>-288</v>
      </c>
      <c r="I31" s="3">
        <v>0</v>
      </c>
      <c r="J31" s="3">
        <v>0</v>
      </c>
      <c r="K31" s="3">
        <v>405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731.28</v>
      </c>
      <c r="R31" s="3">
        <v>860.67</v>
      </c>
      <c r="S31" s="3">
        <v>0</v>
      </c>
      <c r="U31" s="4">
        <f>SUM($H31:H31)</f>
        <v>-288</v>
      </c>
      <c r="V31" s="4">
        <f>SUM($H31:I31)</f>
        <v>-288</v>
      </c>
      <c r="W31" s="4">
        <f>SUM($H31:J31)</f>
        <v>-288</v>
      </c>
      <c r="X31" s="4">
        <f>SUM($H31:K31)</f>
        <v>117</v>
      </c>
      <c r="Y31" s="4">
        <f>SUM($H31:L31)</f>
        <v>117</v>
      </c>
      <c r="Z31" s="4">
        <f>SUM($H31:M31)</f>
        <v>117</v>
      </c>
      <c r="AA31" s="4">
        <f>SUM($H31:N31)</f>
        <v>117</v>
      </c>
      <c r="AB31" s="4">
        <f>SUM($H31:O31)</f>
        <v>117</v>
      </c>
      <c r="AC31" s="4">
        <f>SUM($H31:P31)</f>
        <v>117</v>
      </c>
      <c r="AD31" s="4">
        <f>SUM($H31:Q31)</f>
        <v>848.28</v>
      </c>
      <c r="AE31" s="4">
        <f>SUM($H31:R31)</f>
        <v>1708.9499999999998</v>
      </c>
      <c r="AF31" s="4">
        <f>SUM($H31:S31)</f>
        <v>1708.9499999999998</v>
      </c>
    </row>
    <row r="32" spans="2:32">
      <c r="B32">
        <v>51206</v>
      </c>
      <c r="C32" t="s">
        <v>104</v>
      </c>
      <c r="D32" t="str">
        <f>VLOOKUP($B32, Mapping!$A:$E, 5, 0)</f>
        <v>Other</v>
      </c>
      <c r="E32" t="str">
        <f>IF(D32="Spa",VLOOKUP($B32,Mapping!$A:$D,4,0), D32)</f>
        <v>Other</v>
      </c>
      <c r="F32" t="s">
        <v>83</v>
      </c>
      <c r="G32" t="s">
        <v>101</v>
      </c>
      <c r="H32" s="3">
        <v>128.51</v>
      </c>
      <c r="I32" s="3">
        <v>430.94</v>
      </c>
      <c r="J32" s="3">
        <v>489.43</v>
      </c>
      <c r="K32" s="3">
        <v>61.22</v>
      </c>
      <c r="L32" s="3">
        <v>166.49</v>
      </c>
      <c r="M32" s="3">
        <v>133.82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U32" s="4">
        <f>SUM($H32:H32)</f>
        <v>128.51</v>
      </c>
      <c r="V32" s="4">
        <f>SUM($H32:I32)</f>
        <v>559.45000000000005</v>
      </c>
      <c r="W32" s="4">
        <f>SUM($H32:J32)</f>
        <v>1048.8800000000001</v>
      </c>
      <c r="X32" s="4">
        <f>SUM($H32:K32)</f>
        <v>1110.1000000000001</v>
      </c>
      <c r="Y32" s="4">
        <f>SUM($H32:L32)</f>
        <v>1276.5900000000001</v>
      </c>
      <c r="Z32" s="4">
        <f>SUM($H32:M32)</f>
        <v>1410.41</v>
      </c>
      <c r="AA32" s="4">
        <f>SUM($H32:N32)</f>
        <v>1410.41</v>
      </c>
      <c r="AB32" s="4">
        <f>SUM($H32:O32)</f>
        <v>1410.41</v>
      </c>
      <c r="AC32" s="4">
        <f>SUM($H32:P32)</f>
        <v>1410.41</v>
      </c>
      <c r="AD32" s="4">
        <f>SUM($H32:Q32)</f>
        <v>1410.41</v>
      </c>
      <c r="AE32" s="4">
        <f>SUM($H32:R32)</f>
        <v>1410.41</v>
      </c>
      <c r="AF32" s="4">
        <f>SUM($H32:S32)</f>
        <v>1410.41</v>
      </c>
    </row>
    <row r="33" spans="2:32">
      <c r="B33">
        <v>53008</v>
      </c>
      <c r="C33" t="s">
        <v>105</v>
      </c>
      <c r="D33" t="str">
        <f>VLOOKUP($B33, Mapping!$A:$E, 5, 0)</f>
        <v>Other</v>
      </c>
      <c r="E33" t="str">
        <f>IF(D33="Spa",VLOOKUP($B33,Mapping!$A:$D,4,0), D33)</f>
        <v>Other</v>
      </c>
      <c r="F33" t="s">
        <v>83</v>
      </c>
      <c r="G33" t="s">
        <v>101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1066.8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U33" s="4">
        <f>SUM($H33:H33)</f>
        <v>0</v>
      </c>
      <c r="V33" s="4">
        <f>SUM($H33:I33)</f>
        <v>0</v>
      </c>
      <c r="W33" s="4">
        <f>SUM($H33:J33)</f>
        <v>0</v>
      </c>
      <c r="X33" s="4">
        <f>SUM($H33:K33)</f>
        <v>0</v>
      </c>
      <c r="Y33" s="4">
        <f>SUM($H33:L33)</f>
        <v>0</v>
      </c>
      <c r="Z33" s="4">
        <f>SUM($H33:M33)</f>
        <v>0</v>
      </c>
      <c r="AA33" s="4">
        <f>SUM($H33:N33)</f>
        <v>1066.8</v>
      </c>
      <c r="AB33" s="4">
        <f>SUM($H33:O33)</f>
        <v>1066.8</v>
      </c>
      <c r="AC33" s="4">
        <f>SUM($H33:P33)</f>
        <v>1066.8</v>
      </c>
      <c r="AD33" s="4">
        <f>SUM($H33:Q33)</f>
        <v>1066.8</v>
      </c>
      <c r="AE33" s="4">
        <f>SUM($H33:R33)</f>
        <v>1066.8</v>
      </c>
      <c r="AF33" s="4">
        <f>SUM($H33:S33)</f>
        <v>1066.8</v>
      </c>
    </row>
    <row r="34" spans="2:32">
      <c r="B34">
        <v>53011</v>
      </c>
      <c r="C34" t="s">
        <v>106</v>
      </c>
      <c r="D34" t="str">
        <f>VLOOKUP($B34, Mapping!$A:$E, 5, 0)</f>
        <v>Other</v>
      </c>
      <c r="E34" t="str">
        <f>IF(D34="Spa",VLOOKUP($B34,Mapping!$A:$D,4,0), D34)</f>
        <v>Other</v>
      </c>
      <c r="F34" t="s">
        <v>83</v>
      </c>
      <c r="G34" t="s">
        <v>101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U34" s="4">
        <f>SUM($H34:H34)</f>
        <v>0</v>
      </c>
      <c r="V34" s="4">
        <f>SUM($H34:I34)</f>
        <v>0</v>
      </c>
      <c r="W34" s="4">
        <f>SUM($H34:J34)</f>
        <v>0</v>
      </c>
      <c r="X34" s="4">
        <f>SUM($H34:K34)</f>
        <v>0</v>
      </c>
      <c r="Y34" s="4">
        <f>SUM($H34:L34)</f>
        <v>0</v>
      </c>
      <c r="Z34" s="4">
        <f>SUM($H34:M34)</f>
        <v>0</v>
      </c>
      <c r="AA34" s="4">
        <f>SUM($H34:N34)</f>
        <v>0</v>
      </c>
      <c r="AB34" s="4">
        <f>SUM($H34:O34)</f>
        <v>0</v>
      </c>
      <c r="AC34" s="4">
        <f>SUM($H34:P34)</f>
        <v>0</v>
      </c>
      <c r="AD34" s="4">
        <f>SUM($H34:Q34)</f>
        <v>0</v>
      </c>
      <c r="AE34" s="4">
        <f>SUM($H34:R34)</f>
        <v>0</v>
      </c>
      <c r="AF34" s="4">
        <f>SUM($H34:S34)</f>
        <v>0</v>
      </c>
    </row>
    <row r="35" spans="2:32">
      <c r="B35">
        <v>53012</v>
      </c>
      <c r="C35" t="s">
        <v>107</v>
      </c>
      <c r="D35" t="str">
        <f>VLOOKUP($B35, Mapping!$A:$E, 5, 0)</f>
        <v>Other</v>
      </c>
      <c r="E35" t="str">
        <f>IF(D35="Spa",VLOOKUP($B35,Mapping!$A:$D,4,0), D35)</f>
        <v>Other</v>
      </c>
      <c r="F35" t="s">
        <v>83</v>
      </c>
      <c r="G35" t="s">
        <v>101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U35" s="4">
        <f>SUM($H35:H35)</f>
        <v>0</v>
      </c>
      <c r="V35" s="4">
        <f>SUM($H35:I35)</f>
        <v>0</v>
      </c>
      <c r="W35" s="4">
        <f>SUM($H35:J35)</f>
        <v>0</v>
      </c>
      <c r="X35" s="4">
        <f>SUM($H35:K35)</f>
        <v>0</v>
      </c>
      <c r="Y35" s="4">
        <f>SUM($H35:L35)</f>
        <v>0</v>
      </c>
      <c r="Z35" s="4">
        <f>SUM($H35:M35)</f>
        <v>0</v>
      </c>
      <c r="AA35" s="4">
        <f>SUM($H35:N35)</f>
        <v>0</v>
      </c>
      <c r="AB35" s="4">
        <f>SUM($H35:O35)</f>
        <v>0</v>
      </c>
      <c r="AC35" s="4">
        <f>SUM($H35:P35)</f>
        <v>0</v>
      </c>
      <c r="AD35" s="4">
        <f>SUM($H35:Q35)</f>
        <v>0</v>
      </c>
      <c r="AE35" s="4">
        <f>SUM($H35:R35)</f>
        <v>0</v>
      </c>
      <c r="AF35" s="4">
        <f>SUM($H35:S35)</f>
        <v>0</v>
      </c>
    </row>
    <row r="36" spans="2:32">
      <c r="B36">
        <v>59100</v>
      </c>
      <c r="C36" t="s">
        <v>108</v>
      </c>
      <c r="D36" t="str">
        <f>VLOOKUP($B36, Mapping!$A:$E, 5, 0)</f>
        <v>Other</v>
      </c>
      <c r="E36" t="str">
        <f>IF(D36="Spa",VLOOKUP($B36,Mapping!$A:$D,4,0), D36)</f>
        <v>Other</v>
      </c>
      <c r="F36" t="s">
        <v>83</v>
      </c>
      <c r="G36" t="s">
        <v>101</v>
      </c>
      <c r="H36" s="3">
        <v>4235.8599999999997</v>
      </c>
      <c r="I36" s="3">
        <v>6752.53</v>
      </c>
      <c r="J36" s="3">
        <v>4774.57</v>
      </c>
      <c r="K36" s="3">
        <v>6251.65</v>
      </c>
      <c r="L36" s="3">
        <v>6235.84</v>
      </c>
      <c r="M36" s="3">
        <v>3867.09</v>
      </c>
      <c r="N36" s="3">
        <v>3766.28</v>
      </c>
      <c r="O36" s="3">
        <v>5114.01</v>
      </c>
      <c r="P36" s="3">
        <v>5965.01</v>
      </c>
      <c r="Q36" s="3">
        <v>5608.76</v>
      </c>
      <c r="R36" s="3">
        <v>5079.17</v>
      </c>
      <c r="S36" s="3">
        <v>2646.66</v>
      </c>
      <c r="U36" s="4">
        <f>SUM($H36:H36)</f>
        <v>4235.8599999999997</v>
      </c>
      <c r="V36" s="4">
        <f>SUM($H36:I36)</f>
        <v>10988.39</v>
      </c>
      <c r="W36" s="4">
        <f>SUM($H36:J36)</f>
        <v>15762.96</v>
      </c>
      <c r="X36" s="4">
        <f>SUM($H36:K36)</f>
        <v>22014.61</v>
      </c>
      <c r="Y36" s="4">
        <f>SUM($H36:L36)</f>
        <v>28250.45</v>
      </c>
      <c r="Z36" s="4">
        <f>SUM($H36:M36)</f>
        <v>32117.54</v>
      </c>
      <c r="AA36" s="4">
        <f>SUM($H36:N36)</f>
        <v>35883.82</v>
      </c>
      <c r="AB36" s="4">
        <f>SUM($H36:O36)</f>
        <v>40997.83</v>
      </c>
      <c r="AC36" s="4">
        <f>SUM($H36:P36)</f>
        <v>46962.840000000004</v>
      </c>
      <c r="AD36" s="4">
        <f>SUM($H36:Q36)</f>
        <v>52571.600000000006</v>
      </c>
      <c r="AE36" s="4">
        <f>SUM($H36:R36)</f>
        <v>57650.770000000004</v>
      </c>
      <c r="AF36" s="4">
        <f>SUM($H36:S36)</f>
        <v>60297.430000000008</v>
      </c>
    </row>
    <row r="37" spans="2:32">
      <c r="B37">
        <v>59200</v>
      </c>
      <c r="C37" t="s">
        <v>109</v>
      </c>
      <c r="D37" t="str">
        <f>VLOOKUP($B37, Mapping!$A:$E, 5, 0)</f>
        <v>Other</v>
      </c>
      <c r="E37" t="str">
        <f>IF(D37="Spa",VLOOKUP($B37,Mapping!$A:$D,4,0), D37)</f>
        <v>Other</v>
      </c>
      <c r="F37" t="s">
        <v>83</v>
      </c>
      <c r="G37" t="s">
        <v>101</v>
      </c>
      <c r="H37" s="3">
        <v>425</v>
      </c>
      <c r="I37" s="3">
        <v>1655</v>
      </c>
      <c r="J37" s="3">
        <v>1715</v>
      </c>
      <c r="K37" s="3">
        <v>1550</v>
      </c>
      <c r="L37" s="3">
        <v>700</v>
      </c>
      <c r="M37" s="3">
        <v>900</v>
      </c>
      <c r="N37" s="3">
        <v>1220</v>
      </c>
      <c r="O37" s="3">
        <v>360</v>
      </c>
      <c r="P37" s="3">
        <v>440</v>
      </c>
      <c r="Q37" s="3">
        <v>435</v>
      </c>
      <c r="R37" s="3">
        <v>180</v>
      </c>
      <c r="S37" s="3">
        <v>0</v>
      </c>
      <c r="U37" s="4">
        <f>SUM($H37:H37)</f>
        <v>425</v>
      </c>
      <c r="V37" s="4">
        <f>SUM($H37:I37)</f>
        <v>2080</v>
      </c>
      <c r="W37" s="4">
        <f>SUM($H37:J37)</f>
        <v>3795</v>
      </c>
      <c r="X37" s="4">
        <f>SUM($H37:K37)</f>
        <v>5345</v>
      </c>
      <c r="Y37" s="4">
        <f>SUM($H37:L37)</f>
        <v>6045</v>
      </c>
      <c r="Z37" s="4">
        <f>SUM($H37:M37)</f>
        <v>6945</v>
      </c>
      <c r="AA37" s="4">
        <f>SUM($H37:N37)</f>
        <v>8165</v>
      </c>
      <c r="AB37" s="4">
        <f>SUM($H37:O37)</f>
        <v>8525</v>
      </c>
      <c r="AC37" s="4">
        <f>SUM($H37:P37)</f>
        <v>8965</v>
      </c>
      <c r="AD37" s="4">
        <f>SUM($H37:Q37)</f>
        <v>9400</v>
      </c>
      <c r="AE37" s="4">
        <f>SUM($H37:R37)</f>
        <v>9580</v>
      </c>
      <c r="AF37" s="4">
        <f>SUM($H37:S37)</f>
        <v>9580</v>
      </c>
    </row>
    <row r="38" spans="2:32">
      <c r="B38">
        <v>51202</v>
      </c>
      <c r="C38" t="s">
        <v>110</v>
      </c>
      <c r="D38" t="str">
        <f>VLOOKUP($B38, Mapping!$A:$E, 5, 0)</f>
        <v>Other</v>
      </c>
      <c r="E38" t="str">
        <f>IF(D38="Spa",VLOOKUP($B38,Mapping!$A:$D,4,0), D38)</f>
        <v>Other</v>
      </c>
      <c r="F38" t="s">
        <v>83</v>
      </c>
      <c r="G38" t="s">
        <v>101</v>
      </c>
      <c r="H38" s="3">
        <v>797.92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1392.5</v>
      </c>
      <c r="S38" s="3">
        <v>0</v>
      </c>
      <c r="U38" s="4">
        <f>SUM($H38:H38)</f>
        <v>797.92</v>
      </c>
      <c r="V38" s="4">
        <f>SUM($H38:I38)</f>
        <v>797.92</v>
      </c>
      <c r="W38" s="4">
        <f>SUM($H38:J38)</f>
        <v>797.92</v>
      </c>
      <c r="X38" s="4">
        <f>SUM($H38:K38)</f>
        <v>797.92</v>
      </c>
      <c r="Y38" s="4">
        <f>SUM($H38:L38)</f>
        <v>797.92</v>
      </c>
      <c r="Z38" s="4">
        <f>SUM($H38:M38)</f>
        <v>797.92</v>
      </c>
      <c r="AA38" s="4">
        <f>SUM($H38:N38)</f>
        <v>797.92</v>
      </c>
      <c r="AB38" s="4">
        <f>SUM($H38:O38)</f>
        <v>797.92</v>
      </c>
      <c r="AC38" s="4">
        <f>SUM($H38:P38)</f>
        <v>797.92</v>
      </c>
      <c r="AD38" s="4">
        <f>SUM($H38:Q38)</f>
        <v>797.92</v>
      </c>
      <c r="AE38" s="4">
        <f>SUM($H38:R38)</f>
        <v>2190.42</v>
      </c>
      <c r="AF38" s="4">
        <f>SUM($H38:S38)</f>
        <v>2190.42</v>
      </c>
    </row>
    <row r="39" spans="2:32">
      <c r="B39">
        <v>51180</v>
      </c>
      <c r="C39" t="s">
        <v>111</v>
      </c>
      <c r="D39" t="str">
        <f>VLOOKUP($B39, Mapping!$A:$E, 5, 0)</f>
        <v>eTailers</v>
      </c>
      <c r="E39" t="str">
        <f>IF(D39="Spa",VLOOKUP($B39,Mapping!$A:$D,4,0), D39)</f>
        <v>eTailers</v>
      </c>
      <c r="F39" t="s">
        <v>83</v>
      </c>
      <c r="G39" t="s">
        <v>101</v>
      </c>
      <c r="H39" s="3">
        <v>-1862.58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U39" s="4">
        <f>SUM($H39:H39)</f>
        <v>-1862.58</v>
      </c>
      <c r="V39" s="4">
        <f>SUM($H39:I39)</f>
        <v>-1862.58</v>
      </c>
      <c r="W39" s="4">
        <f>SUM($H39:J39)</f>
        <v>-1862.58</v>
      </c>
      <c r="X39" s="4">
        <f>SUM($H39:K39)</f>
        <v>-1862.58</v>
      </c>
      <c r="Y39" s="4">
        <f>SUM($H39:L39)</f>
        <v>-1862.58</v>
      </c>
      <c r="Z39" s="4">
        <f>SUM($H39:M39)</f>
        <v>-1862.58</v>
      </c>
      <c r="AA39" s="4">
        <f>SUM($H39:N39)</f>
        <v>-1862.58</v>
      </c>
      <c r="AB39" s="4">
        <f>SUM($H39:O39)</f>
        <v>-1862.58</v>
      </c>
      <c r="AC39" s="4">
        <f>SUM($H39:P39)</f>
        <v>-1862.58</v>
      </c>
      <c r="AD39" s="4">
        <f>SUM($H39:Q39)</f>
        <v>-1862.58</v>
      </c>
      <c r="AE39" s="4">
        <f>SUM($H39:R39)</f>
        <v>-1862.58</v>
      </c>
      <c r="AF39" s="4">
        <f>SUM($H39:S39)</f>
        <v>-1862.58</v>
      </c>
    </row>
    <row r="40" spans="2:32">
      <c r="B40">
        <v>51207</v>
      </c>
      <c r="C40" t="s">
        <v>112</v>
      </c>
      <c r="D40" t="str">
        <f>VLOOKUP($B40, Mapping!$A:$E, 5, 0)</f>
        <v>Other</v>
      </c>
      <c r="E40" t="str">
        <f>IF(D40="Spa",VLOOKUP($B40,Mapping!$A:$D,4,0), D40)</f>
        <v>Other</v>
      </c>
      <c r="F40" t="s">
        <v>83</v>
      </c>
      <c r="G40" t="s">
        <v>101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375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U40" s="4">
        <f>SUM($H40:H40)</f>
        <v>0</v>
      </c>
      <c r="V40" s="4">
        <f>SUM($H40:I40)</f>
        <v>0</v>
      </c>
      <c r="W40" s="4">
        <f>SUM($H40:J40)</f>
        <v>0</v>
      </c>
      <c r="X40" s="4">
        <f>SUM($H40:K40)</f>
        <v>0</v>
      </c>
      <c r="Y40" s="4">
        <f>SUM($H40:L40)</f>
        <v>0</v>
      </c>
      <c r="Z40" s="4">
        <f>SUM($H40:M40)</f>
        <v>0</v>
      </c>
      <c r="AA40" s="4">
        <f>SUM($H40:N40)</f>
        <v>375</v>
      </c>
      <c r="AB40" s="4">
        <f>SUM($H40:O40)</f>
        <v>375</v>
      </c>
      <c r="AC40" s="4">
        <f>SUM($H40:P40)</f>
        <v>375</v>
      </c>
      <c r="AD40" s="4">
        <f>SUM($H40:Q40)</f>
        <v>375</v>
      </c>
      <c r="AE40" s="4">
        <f>SUM($H40:R40)</f>
        <v>375</v>
      </c>
      <c r="AF40" s="4">
        <f>SUM($H40:S40)</f>
        <v>375</v>
      </c>
    </row>
    <row r="41" spans="2:32">
      <c r="B41">
        <v>51209</v>
      </c>
      <c r="C41" t="s">
        <v>113</v>
      </c>
      <c r="D41" t="str">
        <f>VLOOKUP($B41, Mapping!$A:$E, 5, 0)</f>
        <v>Other</v>
      </c>
      <c r="E41" t="str">
        <f>IF(D41="Spa",VLOOKUP($B41,Mapping!$A:$D,4,0), D41)</f>
        <v>Other</v>
      </c>
      <c r="F41" t="s">
        <v>83</v>
      </c>
      <c r="G41" t="s">
        <v>101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U41" s="4">
        <f>SUM($H41:H41)</f>
        <v>0</v>
      </c>
      <c r="V41" s="4">
        <f>SUM($H41:I41)</f>
        <v>0</v>
      </c>
      <c r="W41" s="4">
        <f>SUM($H41:J41)</f>
        <v>0</v>
      </c>
      <c r="X41" s="4">
        <f>SUM($H41:K41)</f>
        <v>0</v>
      </c>
      <c r="Y41" s="4">
        <f>SUM($H41:L41)</f>
        <v>0</v>
      </c>
      <c r="Z41" s="4">
        <f>SUM($H41:M41)</f>
        <v>0</v>
      </c>
      <c r="AA41" s="4">
        <f>SUM($H41:N41)</f>
        <v>0</v>
      </c>
      <c r="AB41" s="4">
        <f>SUM($H41:O41)</f>
        <v>0</v>
      </c>
      <c r="AC41" s="4">
        <f>SUM($H41:P41)</f>
        <v>0</v>
      </c>
      <c r="AD41" s="4">
        <f>SUM($H41:Q41)</f>
        <v>0</v>
      </c>
      <c r="AE41" s="4">
        <f>SUM($H41:R41)</f>
        <v>0</v>
      </c>
      <c r="AF41" s="4">
        <f>SUM($H41:S41)</f>
        <v>0</v>
      </c>
    </row>
    <row r="42" spans="2:32">
      <c r="B42">
        <v>51178</v>
      </c>
      <c r="C42" t="s">
        <v>114</v>
      </c>
      <c r="D42" t="str">
        <f>VLOOKUP($B42, Mapping!$A:$E, 5, 0)</f>
        <v>eTailers</v>
      </c>
      <c r="E42" t="str">
        <f>IF(D42="Spa",VLOOKUP($B42,Mapping!$A:$D,4,0), D42)</f>
        <v>eTailers</v>
      </c>
      <c r="F42" t="s">
        <v>83</v>
      </c>
      <c r="G42" t="s">
        <v>101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U42" s="4">
        <f>SUM($H42:H42)</f>
        <v>0</v>
      </c>
      <c r="V42" s="4">
        <f>SUM($H42:I42)</f>
        <v>0</v>
      </c>
      <c r="W42" s="4">
        <f>SUM($H42:J42)</f>
        <v>0</v>
      </c>
      <c r="X42" s="4">
        <f>SUM($H42:K42)</f>
        <v>0</v>
      </c>
      <c r="Y42" s="4">
        <f>SUM($H42:L42)</f>
        <v>0</v>
      </c>
      <c r="Z42" s="4">
        <f>SUM($H42:M42)</f>
        <v>0</v>
      </c>
      <c r="AA42" s="4">
        <f>SUM($H42:N42)</f>
        <v>0</v>
      </c>
      <c r="AB42" s="4">
        <f>SUM($H42:O42)</f>
        <v>0</v>
      </c>
      <c r="AC42" s="4">
        <f>SUM($H42:P42)</f>
        <v>0</v>
      </c>
      <c r="AD42" s="4">
        <f>SUM($H42:Q42)</f>
        <v>0</v>
      </c>
      <c r="AE42" s="4">
        <f>SUM($H42:R42)</f>
        <v>0</v>
      </c>
      <c r="AF42" s="4">
        <f>SUM($H42:S42)</f>
        <v>0</v>
      </c>
    </row>
    <row r="43" spans="2:32">
      <c r="B43">
        <v>51158</v>
      </c>
      <c r="C43" t="s">
        <v>115</v>
      </c>
      <c r="D43" t="str">
        <f>VLOOKUP($B43, Mapping!$A:$E, 5, 0)</f>
        <v>Other</v>
      </c>
      <c r="E43" t="str">
        <f>IF(D43="Spa",VLOOKUP($B43,Mapping!$A:$D,4,0), D43)</f>
        <v>Other</v>
      </c>
      <c r="F43" t="s">
        <v>83</v>
      </c>
      <c r="G43" t="s">
        <v>101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U43" s="4">
        <f>SUM($H43:H43)</f>
        <v>0</v>
      </c>
      <c r="V43" s="4">
        <f>SUM($H43:I43)</f>
        <v>0</v>
      </c>
      <c r="W43" s="4">
        <f>SUM($H43:J43)</f>
        <v>0</v>
      </c>
      <c r="X43" s="4">
        <f>SUM($H43:K43)</f>
        <v>0</v>
      </c>
      <c r="Y43" s="4">
        <f>SUM($H43:L43)</f>
        <v>0</v>
      </c>
      <c r="Z43" s="4">
        <f>SUM($H43:M43)</f>
        <v>0</v>
      </c>
      <c r="AA43" s="4">
        <f>SUM($H43:N43)</f>
        <v>0</v>
      </c>
      <c r="AB43" s="4">
        <f>SUM($H43:O43)</f>
        <v>0</v>
      </c>
      <c r="AC43" s="4">
        <f>SUM($H43:P43)</f>
        <v>0</v>
      </c>
      <c r="AD43" s="4">
        <f>SUM($H43:Q43)</f>
        <v>0</v>
      </c>
      <c r="AE43" s="4">
        <f>SUM($H43:R43)</f>
        <v>0</v>
      </c>
      <c r="AF43" s="4">
        <f>SUM($H43:S43)</f>
        <v>0</v>
      </c>
    </row>
    <row r="44" spans="2:32">
      <c r="B44">
        <v>51184</v>
      </c>
      <c r="C44" t="s">
        <v>37</v>
      </c>
      <c r="D44" t="str">
        <f>VLOOKUP($B44, Mapping!$A:$E, 5, 0)</f>
        <v>Spa</v>
      </c>
      <c r="E44" t="str">
        <f>IF(D44="Spa",VLOOKUP($B44,Mapping!$A:$D,4,0), D44)</f>
        <v>Spas / Hotels</v>
      </c>
      <c r="F44" t="s">
        <v>83</v>
      </c>
      <c r="G44" t="s">
        <v>101</v>
      </c>
      <c r="H44" s="3">
        <v>0</v>
      </c>
      <c r="I44" s="3">
        <v>611.45000000000005</v>
      </c>
      <c r="J44" s="3">
        <v>1366.67</v>
      </c>
      <c r="K44" s="3">
        <v>0</v>
      </c>
      <c r="L44" s="3">
        <v>685.87</v>
      </c>
      <c r="M44" s="3">
        <v>3195.6</v>
      </c>
      <c r="N44" s="3">
        <v>449.76</v>
      </c>
      <c r="O44" s="3">
        <v>3452.25</v>
      </c>
      <c r="P44" s="3">
        <v>6318.48</v>
      </c>
      <c r="Q44" s="3">
        <v>6520.52</v>
      </c>
      <c r="R44" s="3">
        <v>235.21</v>
      </c>
      <c r="S44" s="3">
        <v>3830.1</v>
      </c>
      <c r="U44" s="4">
        <f>SUM($H44:H44)</f>
        <v>0</v>
      </c>
      <c r="V44" s="4">
        <f>SUM($H44:I44)</f>
        <v>611.45000000000005</v>
      </c>
      <c r="W44" s="4">
        <f>SUM($H44:J44)</f>
        <v>1978.1200000000001</v>
      </c>
      <c r="X44" s="4">
        <f>SUM($H44:K44)</f>
        <v>1978.1200000000001</v>
      </c>
      <c r="Y44" s="4">
        <f>SUM($H44:L44)</f>
        <v>2663.9900000000002</v>
      </c>
      <c r="Z44" s="4">
        <f>SUM($H44:M44)</f>
        <v>5859.59</v>
      </c>
      <c r="AA44" s="4">
        <f>SUM($H44:N44)</f>
        <v>6309.35</v>
      </c>
      <c r="AB44" s="4">
        <f>SUM($H44:O44)</f>
        <v>9761.6</v>
      </c>
      <c r="AC44" s="4">
        <f>SUM($H44:P44)</f>
        <v>16080.08</v>
      </c>
      <c r="AD44" s="4">
        <f>SUM($H44:Q44)</f>
        <v>22600.6</v>
      </c>
      <c r="AE44" s="4">
        <f>SUM($H44:R44)</f>
        <v>22835.809999999998</v>
      </c>
      <c r="AF44" s="4">
        <f>SUM($H44:S44)</f>
        <v>26665.909999999996</v>
      </c>
    </row>
    <row r="45" spans="2:32">
      <c r="B45">
        <v>51185</v>
      </c>
      <c r="C45" t="s">
        <v>38</v>
      </c>
      <c r="D45" t="str">
        <f>VLOOKUP($B45, Mapping!$A:$E, 5, 0)</f>
        <v>Spa</v>
      </c>
      <c r="E45" t="str">
        <f>IF(D45="Spa",VLOOKUP($B45,Mapping!$A:$D,4,0), D45)</f>
        <v>Spas / Hotels</v>
      </c>
      <c r="F45" t="s">
        <v>101</v>
      </c>
      <c r="G45" s="2">
        <v>45352</v>
      </c>
      <c r="H45" s="3">
        <v>0</v>
      </c>
      <c r="I45" s="3">
        <v>0</v>
      </c>
      <c r="J45" s="3">
        <v>3019.77</v>
      </c>
      <c r="K45" s="3">
        <v>0</v>
      </c>
      <c r="L45" s="3">
        <v>299.14999999999998</v>
      </c>
      <c r="M45" s="3">
        <v>0</v>
      </c>
      <c r="N45" s="3">
        <v>260.41000000000003</v>
      </c>
      <c r="O45" s="3">
        <v>0</v>
      </c>
      <c r="P45" s="3">
        <v>489.6</v>
      </c>
      <c r="Q45" s="3">
        <v>77.08</v>
      </c>
      <c r="R45" s="3">
        <v>0</v>
      </c>
      <c r="S45" s="3">
        <v>615</v>
      </c>
      <c r="U45" s="4">
        <f>SUM($H45:H45)</f>
        <v>0</v>
      </c>
      <c r="V45" s="4">
        <f>SUM($H45:I45)</f>
        <v>0</v>
      </c>
      <c r="W45" s="4">
        <f>SUM($H45:J45)</f>
        <v>3019.77</v>
      </c>
      <c r="X45" s="4">
        <f>SUM($H45:K45)</f>
        <v>3019.77</v>
      </c>
      <c r="Y45" s="4">
        <f>SUM($H45:L45)</f>
        <v>3318.92</v>
      </c>
      <c r="Z45" s="4">
        <f>SUM($H45:M45)</f>
        <v>3318.92</v>
      </c>
      <c r="AA45" s="4">
        <f>SUM($H45:N45)</f>
        <v>3579.33</v>
      </c>
      <c r="AB45" s="4">
        <f>SUM($H45:O45)</f>
        <v>3579.33</v>
      </c>
      <c r="AC45" s="4">
        <f>SUM($H45:P45)</f>
        <v>4068.93</v>
      </c>
      <c r="AD45" s="4">
        <f>SUM($H45:Q45)</f>
        <v>4146.01</v>
      </c>
      <c r="AE45" s="4">
        <f>SUM($H45:R45)</f>
        <v>4146.01</v>
      </c>
      <c r="AF45" s="4">
        <f>SUM($H45:S45)</f>
        <v>4761.01</v>
      </c>
    </row>
    <row r="46" spans="2:32">
      <c r="B46">
        <v>51186</v>
      </c>
      <c r="C46" t="s">
        <v>39</v>
      </c>
      <c r="D46" t="str">
        <f>VLOOKUP($B46, Mapping!$A:$E, 5, 0)</f>
        <v>Spa</v>
      </c>
      <c r="E46" t="str">
        <f>IF(D46="Spa",VLOOKUP($B46,Mapping!$A:$D,4,0), D46)</f>
        <v>Spas / Hotels</v>
      </c>
      <c r="F46" t="s">
        <v>83</v>
      </c>
      <c r="G46" t="s">
        <v>101</v>
      </c>
      <c r="H46" s="3">
        <v>0</v>
      </c>
      <c r="I46" s="3">
        <v>0</v>
      </c>
      <c r="J46" s="3">
        <v>2153.08</v>
      </c>
      <c r="K46" s="3">
        <v>0</v>
      </c>
      <c r="L46" s="3">
        <v>4750.8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1141.6300000000001</v>
      </c>
      <c r="S46" s="3">
        <v>0</v>
      </c>
      <c r="U46" s="4">
        <f>SUM($H46:H46)</f>
        <v>0</v>
      </c>
      <c r="V46" s="4">
        <f>SUM($H46:I46)</f>
        <v>0</v>
      </c>
      <c r="W46" s="4">
        <f>SUM($H46:J46)</f>
        <v>2153.08</v>
      </c>
      <c r="X46" s="4">
        <f>SUM($H46:K46)</f>
        <v>2153.08</v>
      </c>
      <c r="Y46" s="4">
        <f>SUM($H46:L46)</f>
        <v>6903.88</v>
      </c>
      <c r="Z46" s="4">
        <f>SUM($H46:M46)</f>
        <v>6903.88</v>
      </c>
      <c r="AA46" s="4">
        <f>SUM($H46:N46)</f>
        <v>6903.88</v>
      </c>
      <c r="AB46" s="4">
        <f>SUM($H46:O46)</f>
        <v>6903.88</v>
      </c>
      <c r="AC46" s="4">
        <f>SUM($H46:P46)</f>
        <v>6903.88</v>
      </c>
      <c r="AD46" s="4">
        <f>SUM($H46:Q46)</f>
        <v>6903.88</v>
      </c>
      <c r="AE46" s="4">
        <f>SUM($H46:R46)</f>
        <v>8045.51</v>
      </c>
      <c r="AF46" s="4">
        <f>SUM($H46:S46)</f>
        <v>8045.51</v>
      </c>
    </row>
    <row r="47" spans="2:32">
      <c r="B47">
        <v>51187</v>
      </c>
      <c r="C47" t="s">
        <v>40</v>
      </c>
      <c r="D47" t="str">
        <f>VLOOKUP($B47, Mapping!$A:$E, 5, 0)</f>
        <v>Spa</v>
      </c>
      <c r="E47" t="str">
        <f>IF(D47="Spa",VLOOKUP($B47,Mapping!$A:$D,4,0), D47)</f>
        <v>Institutes / Clinics</v>
      </c>
      <c r="F47" t="s">
        <v>83</v>
      </c>
      <c r="G47" t="s">
        <v>101</v>
      </c>
      <c r="H47" s="3">
        <v>0</v>
      </c>
      <c r="I47" s="3">
        <v>0</v>
      </c>
      <c r="J47" s="3">
        <v>645.08000000000004</v>
      </c>
      <c r="K47" s="3">
        <v>338.4</v>
      </c>
      <c r="L47" s="3">
        <v>0</v>
      </c>
      <c r="M47" s="3">
        <v>0</v>
      </c>
      <c r="N47" s="3">
        <v>514.58000000000004</v>
      </c>
      <c r="O47" s="3">
        <v>0</v>
      </c>
      <c r="P47" s="3">
        <v>0</v>
      </c>
      <c r="Q47" s="3">
        <v>486.1</v>
      </c>
      <c r="R47" s="3">
        <v>298.42</v>
      </c>
      <c r="S47" s="3">
        <v>244</v>
      </c>
      <c r="U47" s="4">
        <f>SUM($H47:H47)</f>
        <v>0</v>
      </c>
      <c r="V47" s="4">
        <f>SUM($H47:I47)</f>
        <v>0</v>
      </c>
      <c r="W47" s="4">
        <f>SUM($H47:J47)</f>
        <v>645.08000000000004</v>
      </c>
      <c r="X47" s="4">
        <f>SUM($H47:K47)</f>
        <v>983.48</v>
      </c>
      <c r="Y47" s="4">
        <f>SUM($H47:L47)</f>
        <v>983.48</v>
      </c>
      <c r="Z47" s="4">
        <f>SUM($H47:M47)</f>
        <v>983.48</v>
      </c>
      <c r="AA47" s="4">
        <f>SUM($H47:N47)</f>
        <v>1498.06</v>
      </c>
      <c r="AB47" s="4">
        <f>SUM($H47:O47)</f>
        <v>1498.06</v>
      </c>
      <c r="AC47" s="4">
        <f>SUM($H47:P47)</f>
        <v>1498.06</v>
      </c>
      <c r="AD47" s="4">
        <f>SUM($H47:Q47)</f>
        <v>1984.1599999999999</v>
      </c>
      <c r="AE47" s="4">
        <f>SUM($H47:R47)</f>
        <v>2282.58</v>
      </c>
      <c r="AF47" s="4">
        <f>SUM($H47:S47)</f>
        <v>2526.58</v>
      </c>
    </row>
    <row r="48" spans="2:32">
      <c r="B48">
        <v>51189</v>
      </c>
      <c r="C48" t="s">
        <v>41</v>
      </c>
      <c r="D48" t="str">
        <f>VLOOKUP($B48, Mapping!$A:$E, 5, 0)</f>
        <v>Spa</v>
      </c>
      <c r="E48" t="str">
        <f>IF(D48="Spa",VLOOKUP($B48,Mapping!$A:$D,4,0), D48)</f>
        <v>Spas / Hotels</v>
      </c>
      <c r="F48" t="s">
        <v>101</v>
      </c>
      <c r="G48" s="2">
        <v>45505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12259.13</v>
      </c>
      <c r="P48" s="3">
        <v>3263.58</v>
      </c>
      <c r="Q48" s="3">
        <v>9401.17</v>
      </c>
      <c r="R48" s="3">
        <v>2089.6799999999998</v>
      </c>
      <c r="S48" s="3">
        <v>1792.49</v>
      </c>
      <c r="U48" s="4">
        <f>SUM($H48:H48)</f>
        <v>0</v>
      </c>
      <c r="V48" s="4">
        <f>SUM($H48:I48)</f>
        <v>0</v>
      </c>
      <c r="W48" s="4">
        <f>SUM($H48:J48)</f>
        <v>0</v>
      </c>
      <c r="X48" s="4">
        <f>SUM($H48:K48)</f>
        <v>0</v>
      </c>
      <c r="Y48" s="4">
        <f>SUM($H48:L48)</f>
        <v>0</v>
      </c>
      <c r="Z48" s="4">
        <f>SUM($H48:M48)</f>
        <v>0</v>
      </c>
      <c r="AA48" s="4">
        <f>SUM($H48:N48)</f>
        <v>0</v>
      </c>
      <c r="AB48" s="4">
        <f>SUM($H48:O48)</f>
        <v>12259.13</v>
      </c>
      <c r="AC48" s="4">
        <f>SUM($H48:P48)</f>
        <v>15522.71</v>
      </c>
      <c r="AD48" s="4">
        <f>SUM($H48:Q48)</f>
        <v>24923.879999999997</v>
      </c>
      <c r="AE48" s="4">
        <f>SUM($H48:R48)</f>
        <v>27013.559999999998</v>
      </c>
      <c r="AF48" s="4">
        <f>SUM($H48:S48)</f>
        <v>28806.05</v>
      </c>
    </row>
    <row r="49" spans="2:32">
      <c r="B49">
        <v>53000</v>
      </c>
      <c r="C49" t="s">
        <v>42</v>
      </c>
      <c r="D49" t="str">
        <f>VLOOKUP($B49, Mapping!$A:$E, 5, 0)</f>
        <v>Other</v>
      </c>
      <c r="E49" t="str">
        <f>IF(D49="Spa",VLOOKUP($B49,Mapping!$A:$D,4,0), D49)</f>
        <v>Other</v>
      </c>
      <c r="F49" t="s">
        <v>83</v>
      </c>
      <c r="G49" t="s">
        <v>101</v>
      </c>
      <c r="H49" s="3">
        <v>270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1895.32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U49" s="4">
        <f>SUM($H49:H49)</f>
        <v>270</v>
      </c>
      <c r="V49" s="4">
        <f>SUM($H49:I49)</f>
        <v>270</v>
      </c>
      <c r="W49" s="4">
        <f>SUM($H49:J49)</f>
        <v>270</v>
      </c>
      <c r="X49" s="4">
        <f>SUM($H49:K49)</f>
        <v>270</v>
      </c>
      <c r="Y49" s="4">
        <f>SUM($H49:L49)</f>
        <v>270</v>
      </c>
      <c r="Z49" s="4">
        <f>SUM($H49:M49)</f>
        <v>270</v>
      </c>
      <c r="AA49" s="4">
        <f>SUM($H49:N49)</f>
        <v>2165.3199999999997</v>
      </c>
      <c r="AB49" s="4">
        <f>SUM($H49:O49)</f>
        <v>2165.3199999999997</v>
      </c>
      <c r="AC49" s="4">
        <f>SUM($H49:P49)</f>
        <v>2165.3199999999997</v>
      </c>
      <c r="AD49" s="4">
        <f>SUM($H49:Q49)</f>
        <v>2165.3199999999997</v>
      </c>
      <c r="AE49" s="4">
        <f>SUM($H49:R49)</f>
        <v>2165.3199999999997</v>
      </c>
      <c r="AF49" s="4">
        <f>SUM($H49:S49)</f>
        <v>2165.3199999999997</v>
      </c>
    </row>
    <row r="50" spans="2:32">
      <c r="B50" s="5">
        <v>53014</v>
      </c>
      <c r="C50" s="5" t="s">
        <v>43</v>
      </c>
      <c r="D50" t="str">
        <f>VLOOKUP($B50, Mapping!$A:$E, 5, 0)</f>
        <v>Spa</v>
      </c>
      <c r="E50" t="str">
        <f>IF(D50="Spa",VLOOKUP($B50,Mapping!$A:$D,4,0), D50)</f>
        <v>Institutes / Clinics</v>
      </c>
      <c r="F50" t="s">
        <v>101</v>
      </c>
      <c r="G50" s="2">
        <v>45323</v>
      </c>
      <c r="H50" s="3">
        <v>0</v>
      </c>
      <c r="I50" s="3">
        <v>7912.09</v>
      </c>
      <c r="J50" s="3">
        <v>0</v>
      </c>
      <c r="K50" s="3">
        <v>0</v>
      </c>
      <c r="L50" s="3">
        <v>0</v>
      </c>
      <c r="M50" s="3">
        <v>2242.4899999999998</v>
      </c>
      <c r="N50" s="3">
        <v>620.79999999999995</v>
      </c>
      <c r="O50" s="3">
        <v>0</v>
      </c>
      <c r="P50" s="3">
        <v>1519.18</v>
      </c>
      <c r="Q50" s="3">
        <v>1626.69</v>
      </c>
      <c r="R50" s="3">
        <v>1512.48</v>
      </c>
      <c r="S50" s="3">
        <v>391</v>
      </c>
      <c r="U50" s="4">
        <f>SUM($H50:H50)</f>
        <v>0</v>
      </c>
      <c r="V50" s="4">
        <f>SUM($H50:I50)</f>
        <v>7912.09</v>
      </c>
      <c r="W50" s="4">
        <f>SUM($H50:J50)</f>
        <v>7912.09</v>
      </c>
      <c r="X50" s="4">
        <f>SUM($H50:K50)</f>
        <v>7912.09</v>
      </c>
      <c r="Y50" s="4">
        <f>SUM($H50:L50)</f>
        <v>7912.09</v>
      </c>
      <c r="Z50" s="4">
        <f>SUM($H50:M50)</f>
        <v>10154.58</v>
      </c>
      <c r="AA50" s="4">
        <f>SUM($H50:N50)</f>
        <v>10775.38</v>
      </c>
      <c r="AB50" s="4">
        <f>SUM($H50:O50)</f>
        <v>10775.38</v>
      </c>
      <c r="AC50" s="4">
        <f>SUM($H50:P50)</f>
        <v>12294.56</v>
      </c>
      <c r="AD50" s="4">
        <f>SUM($H50:Q50)</f>
        <v>13921.25</v>
      </c>
      <c r="AE50" s="4">
        <f>SUM($H50:R50)</f>
        <v>15433.73</v>
      </c>
      <c r="AF50" s="4">
        <f>SUM($H50:S50)</f>
        <v>15824.73</v>
      </c>
    </row>
    <row r="51" spans="2:32">
      <c r="B51">
        <v>53015</v>
      </c>
      <c r="C51" t="s">
        <v>44</v>
      </c>
      <c r="D51" t="str">
        <f>VLOOKUP($B51, Mapping!$A:$E, 5, 0)</f>
        <v>Spa</v>
      </c>
      <c r="E51" t="str">
        <f>IF(D51="Spa",VLOOKUP($B51,Mapping!$A:$D,4,0), D51)</f>
        <v>Spas / Hotels</v>
      </c>
      <c r="F51" t="s">
        <v>101</v>
      </c>
      <c r="G51" s="2">
        <v>45474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1646.78</v>
      </c>
      <c r="O51" s="3">
        <v>0</v>
      </c>
      <c r="P51" s="3">
        <v>546.91</v>
      </c>
      <c r="Q51" s="3">
        <v>1147.77</v>
      </c>
      <c r="R51" s="3">
        <v>337.33</v>
      </c>
      <c r="S51" s="3">
        <v>0</v>
      </c>
      <c r="U51" s="4">
        <f>SUM($H51:H51)</f>
        <v>0</v>
      </c>
      <c r="V51" s="4">
        <f>SUM($H51:I51)</f>
        <v>0</v>
      </c>
      <c r="W51" s="4">
        <f>SUM($H51:J51)</f>
        <v>0</v>
      </c>
      <c r="X51" s="4">
        <f>SUM($H51:K51)</f>
        <v>0</v>
      </c>
      <c r="Y51" s="4">
        <f>SUM($H51:L51)</f>
        <v>0</v>
      </c>
      <c r="Z51" s="4">
        <f>SUM($H51:M51)</f>
        <v>0</v>
      </c>
      <c r="AA51" s="4">
        <f>SUM($H51:N51)</f>
        <v>1646.78</v>
      </c>
      <c r="AB51" s="4">
        <f>SUM($H51:O51)</f>
        <v>1646.78</v>
      </c>
      <c r="AC51" s="4">
        <f>SUM($H51:P51)</f>
        <v>2193.69</v>
      </c>
      <c r="AD51" s="4">
        <f>SUM($H51:Q51)</f>
        <v>3341.46</v>
      </c>
      <c r="AE51" s="4">
        <f>SUM($H51:R51)</f>
        <v>3678.79</v>
      </c>
      <c r="AF51" s="4">
        <f>SUM($H51:S51)</f>
        <v>3678.79</v>
      </c>
    </row>
    <row r="52" spans="2:32">
      <c r="B52">
        <v>53016</v>
      </c>
      <c r="C52" t="s">
        <v>45</v>
      </c>
      <c r="D52" t="str">
        <f>VLOOKUP($B52, Mapping!$A:$E, 5, 0)</f>
        <v>Spa</v>
      </c>
      <c r="E52" t="str">
        <f>IF(D52="Spa",VLOOKUP($B52,Mapping!$A:$D,4,0), D52)</f>
        <v>Spas / Hotels</v>
      </c>
      <c r="F52" t="s">
        <v>101</v>
      </c>
      <c r="G52" s="2">
        <v>45597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2148.84</v>
      </c>
      <c r="S52" s="3">
        <v>0</v>
      </c>
      <c r="U52" s="4">
        <f>SUM($H52:H52)</f>
        <v>0</v>
      </c>
      <c r="V52" s="4">
        <f>SUM($H52:I52)</f>
        <v>0</v>
      </c>
      <c r="W52" s="4">
        <f>SUM($H52:J52)</f>
        <v>0</v>
      </c>
      <c r="X52" s="4">
        <f>SUM($H52:K52)</f>
        <v>0</v>
      </c>
      <c r="Y52" s="4">
        <f>SUM($H52:L52)</f>
        <v>0</v>
      </c>
      <c r="Z52" s="4">
        <f>SUM($H52:M52)</f>
        <v>0</v>
      </c>
      <c r="AA52" s="4">
        <f>SUM($H52:N52)</f>
        <v>0</v>
      </c>
      <c r="AB52" s="4">
        <f>SUM($H52:O52)</f>
        <v>0</v>
      </c>
      <c r="AC52" s="4">
        <f>SUM($H52:P52)</f>
        <v>0</v>
      </c>
      <c r="AD52" s="4">
        <f>SUM($H52:Q52)</f>
        <v>0</v>
      </c>
      <c r="AE52" s="4">
        <f>SUM($H52:R52)</f>
        <v>2148.84</v>
      </c>
      <c r="AF52" s="4">
        <f>SUM($H52:S52)</f>
        <v>2148.84</v>
      </c>
    </row>
    <row r="53" spans="2:32">
      <c r="B53">
        <v>53017</v>
      </c>
      <c r="C53" t="s">
        <v>46</v>
      </c>
      <c r="D53" t="str">
        <f>VLOOKUP($B53, Mapping!$A:$E, 5, 0)</f>
        <v>Spa</v>
      </c>
      <c r="E53" t="str">
        <f>IF(D53="Spa",VLOOKUP($B53,Mapping!$A:$D,4,0), D53)</f>
        <v>Spas / Hotels</v>
      </c>
      <c r="F53" t="s">
        <v>101</v>
      </c>
      <c r="G53" s="2">
        <v>45566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1853.97</v>
      </c>
      <c r="R53" s="3">
        <v>1837.5</v>
      </c>
      <c r="S53" s="3">
        <v>5007</v>
      </c>
      <c r="U53" s="4">
        <f>SUM($H53:H53)</f>
        <v>0</v>
      </c>
      <c r="V53" s="4">
        <f>SUM($H53:I53)</f>
        <v>0</v>
      </c>
      <c r="W53" s="4">
        <f>SUM($H53:J53)</f>
        <v>0</v>
      </c>
      <c r="X53" s="4">
        <f>SUM($H53:K53)</f>
        <v>0</v>
      </c>
      <c r="Y53" s="4">
        <f>SUM($H53:L53)</f>
        <v>0</v>
      </c>
      <c r="Z53" s="4">
        <f>SUM($H53:M53)</f>
        <v>0</v>
      </c>
      <c r="AA53" s="4">
        <f>SUM($H53:N53)</f>
        <v>0</v>
      </c>
      <c r="AB53" s="4">
        <f>SUM($H53:O53)</f>
        <v>0</v>
      </c>
      <c r="AC53" s="4">
        <f>SUM($H53:P53)</f>
        <v>0</v>
      </c>
      <c r="AD53" s="4">
        <f>SUM($H53:Q53)</f>
        <v>1853.97</v>
      </c>
      <c r="AE53" s="4">
        <f>SUM($H53:R53)</f>
        <v>3691.4700000000003</v>
      </c>
      <c r="AF53" s="4">
        <f>SUM($H53:S53)</f>
        <v>8698.4700000000012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782B-CC98-4455-9642-CD0DAA3AC2BF}">
  <dimension ref="B1:AF63"/>
  <sheetViews>
    <sheetView topLeftCell="C40" zoomScale="85" zoomScaleNormal="85" workbookViewId="0">
      <selection sqref="A1:XFD1048576"/>
    </sheetView>
  </sheetViews>
  <sheetFormatPr defaultRowHeight="15"/>
  <cols>
    <col min="2" max="2" width="6" bestFit="1" customWidth="1"/>
    <col min="3" max="3" width="40.42578125" bestFit="1" customWidth="1"/>
    <col min="4" max="7" width="16.7109375" customWidth="1"/>
    <col min="8" max="11" width="9.5703125" bestFit="1" customWidth="1"/>
    <col min="12" max="14" width="10.5703125" bestFit="1" customWidth="1"/>
    <col min="15" max="15" width="9.5703125" bestFit="1" customWidth="1"/>
    <col min="16" max="16" width="10.5703125" bestFit="1" customWidth="1"/>
    <col min="17" max="19" width="9.5703125" bestFit="1" customWidth="1"/>
  </cols>
  <sheetData>
    <row r="1" spans="4:19">
      <c r="D1" s="1" t="s">
        <v>11</v>
      </c>
      <c r="E1" s="1"/>
    </row>
    <row r="2" spans="4:19">
      <c r="D2" t="s">
        <v>89</v>
      </c>
      <c r="H2">
        <v>17184.620000000003</v>
      </c>
      <c r="I2">
        <v>20014.11</v>
      </c>
      <c r="J2">
        <v>14380.2</v>
      </c>
      <c r="K2">
        <v>11938.1</v>
      </c>
      <c r="L2">
        <v>14958.5</v>
      </c>
      <c r="M2">
        <v>1602.56</v>
      </c>
      <c r="N2">
        <v>15695.83</v>
      </c>
      <c r="O2">
        <v>7158.65</v>
      </c>
      <c r="P2">
        <v>11075.91</v>
      </c>
      <c r="Q2">
        <v>8083.34</v>
      </c>
      <c r="R2">
        <v>12357.37</v>
      </c>
      <c r="S2">
        <v>9297.369999999999</v>
      </c>
    </row>
    <row r="3" spans="4:19">
      <c r="D3" t="s">
        <v>90</v>
      </c>
      <c r="H3">
        <v>17184.620000000003</v>
      </c>
      <c r="I3">
        <v>37198.730000000003</v>
      </c>
      <c r="J3">
        <v>51578.930000000008</v>
      </c>
      <c r="K3">
        <v>63517.030000000006</v>
      </c>
      <c r="L3">
        <v>78475.53</v>
      </c>
      <c r="M3">
        <v>80078.09</v>
      </c>
      <c r="N3">
        <v>95773.92</v>
      </c>
      <c r="O3">
        <v>102932.56999999999</v>
      </c>
      <c r="P3">
        <v>114008.48</v>
      </c>
      <c r="Q3">
        <v>122091.81999999999</v>
      </c>
      <c r="R3">
        <v>134449.19</v>
      </c>
      <c r="S3">
        <v>143746.56</v>
      </c>
    </row>
    <row r="4" spans="4:19">
      <c r="D4" t="s">
        <v>91</v>
      </c>
      <c r="H4">
        <v>2</v>
      </c>
      <c r="I4">
        <v>3</v>
      </c>
      <c r="J4">
        <v>2</v>
      </c>
      <c r="K4">
        <v>3</v>
      </c>
      <c r="L4">
        <v>1</v>
      </c>
      <c r="M4">
        <v>3</v>
      </c>
      <c r="N4">
        <v>1</v>
      </c>
      <c r="O4">
        <v>2</v>
      </c>
      <c r="P4">
        <v>2</v>
      </c>
      <c r="Q4">
        <v>2</v>
      </c>
      <c r="R4">
        <v>2</v>
      </c>
      <c r="S4">
        <v>2</v>
      </c>
    </row>
    <row r="5" spans="4:19">
      <c r="D5" t="s">
        <v>92</v>
      </c>
      <c r="H5">
        <v>2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</row>
    <row r="6" spans="4:19">
      <c r="D6" t="s">
        <v>93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</row>
    <row r="7" spans="4:19">
      <c r="D7" t="s">
        <v>94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4:19">
      <c r="D8" t="s">
        <v>95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4:19">
      <c r="D9" t="s">
        <v>96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4:19">
      <c r="D10" t="s">
        <v>97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2" spans="4:19">
      <c r="D12" s="1" t="s">
        <v>10</v>
      </c>
      <c r="E12" s="1"/>
    </row>
    <row r="13" spans="4:19">
      <c r="D13" t="s">
        <v>89</v>
      </c>
      <c r="H13">
        <v>17572.61</v>
      </c>
      <c r="I13">
        <v>14883.8</v>
      </c>
      <c r="J13">
        <v>15351.740000000002</v>
      </c>
      <c r="K13">
        <v>14168.56</v>
      </c>
      <c r="L13">
        <v>11242.039999999999</v>
      </c>
      <c r="M13">
        <v>15006.37</v>
      </c>
      <c r="N13">
        <v>15264.59</v>
      </c>
      <c r="O13">
        <v>2269.96</v>
      </c>
      <c r="P13">
        <v>9452.5</v>
      </c>
      <c r="Q13">
        <v>15335.2</v>
      </c>
      <c r="R13">
        <v>13203.47</v>
      </c>
      <c r="S13">
        <v>9615.9700000000012</v>
      </c>
    </row>
    <row r="14" spans="4:19">
      <c r="D14" t="s">
        <v>90</v>
      </c>
      <c r="H14">
        <v>17572.61</v>
      </c>
      <c r="I14">
        <v>32456.41</v>
      </c>
      <c r="J14">
        <v>47808.15</v>
      </c>
      <c r="K14">
        <v>61976.71</v>
      </c>
      <c r="L14">
        <v>73218.75</v>
      </c>
      <c r="M14">
        <v>88225.12</v>
      </c>
      <c r="N14">
        <v>103489.70999999999</v>
      </c>
      <c r="O14">
        <v>105759.67</v>
      </c>
      <c r="P14">
        <v>115212.17</v>
      </c>
      <c r="Q14">
        <v>130547.37</v>
      </c>
      <c r="R14">
        <v>143750.84</v>
      </c>
      <c r="S14">
        <v>153366.81</v>
      </c>
    </row>
    <row r="15" spans="4:19">
      <c r="D15" t="s">
        <v>91</v>
      </c>
      <c r="H15">
        <v>7</v>
      </c>
      <c r="I15">
        <v>7</v>
      </c>
      <c r="J15">
        <v>9</v>
      </c>
      <c r="K15">
        <v>8</v>
      </c>
      <c r="L15">
        <v>7</v>
      </c>
      <c r="M15">
        <v>10</v>
      </c>
      <c r="N15">
        <v>8</v>
      </c>
      <c r="O15">
        <v>5</v>
      </c>
      <c r="P15">
        <v>10</v>
      </c>
      <c r="Q15">
        <v>10</v>
      </c>
      <c r="R15">
        <v>10</v>
      </c>
      <c r="S15">
        <v>9</v>
      </c>
    </row>
    <row r="16" spans="4:19">
      <c r="D16" t="s">
        <v>92</v>
      </c>
      <c r="H16">
        <v>7</v>
      </c>
      <c r="I16">
        <v>8</v>
      </c>
      <c r="J16">
        <v>11</v>
      </c>
      <c r="K16">
        <v>12</v>
      </c>
      <c r="L16">
        <v>12</v>
      </c>
      <c r="M16">
        <v>13</v>
      </c>
      <c r="N16">
        <v>13</v>
      </c>
      <c r="O16">
        <v>13</v>
      </c>
      <c r="P16">
        <v>14</v>
      </c>
      <c r="Q16">
        <v>15</v>
      </c>
      <c r="R16">
        <v>16</v>
      </c>
      <c r="S16">
        <v>16</v>
      </c>
    </row>
    <row r="17" spans="2:32">
      <c r="D17" t="s">
        <v>93</v>
      </c>
      <c r="H17">
        <v>12</v>
      </c>
      <c r="I17">
        <v>12</v>
      </c>
      <c r="J17">
        <v>13</v>
      </c>
      <c r="K17">
        <v>14</v>
      </c>
      <c r="L17">
        <v>14</v>
      </c>
      <c r="M17">
        <v>14</v>
      </c>
      <c r="N17">
        <v>14</v>
      </c>
      <c r="O17">
        <v>14</v>
      </c>
      <c r="P17">
        <v>15</v>
      </c>
      <c r="Q17">
        <v>16</v>
      </c>
      <c r="R17">
        <v>17</v>
      </c>
      <c r="S17">
        <v>17</v>
      </c>
    </row>
    <row r="18" spans="2:32">
      <c r="D18" t="s">
        <v>94</v>
      </c>
      <c r="H18">
        <v>3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1</v>
      </c>
      <c r="S18">
        <v>0</v>
      </c>
    </row>
    <row r="19" spans="2:32">
      <c r="D19" t="s">
        <v>95</v>
      </c>
      <c r="H19">
        <v>3</v>
      </c>
      <c r="I19">
        <v>3</v>
      </c>
      <c r="J19">
        <v>4</v>
      </c>
      <c r="K19">
        <v>5</v>
      </c>
      <c r="L19">
        <v>5</v>
      </c>
      <c r="M19">
        <v>5</v>
      </c>
      <c r="N19">
        <v>5</v>
      </c>
      <c r="O19">
        <v>5</v>
      </c>
      <c r="P19">
        <v>6</v>
      </c>
      <c r="Q19">
        <v>7</v>
      </c>
      <c r="R19">
        <v>8</v>
      </c>
      <c r="S19">
        <v>8</v>
      </c>
    </row>
    <row r="20" spans="2:32">
      <c r="D20" t="s">
        <v>96</v>
      </c>
      <c r="H20">
        <v>9874.76</v>
      </c>
      <c r="I20">
        <v>0</v>
      </c>
      <c r="J20">
        <v>2275.92</v>
      </c>
      <c r="K20">
        <v>1841.8</v>
      </c>
      <c r="L20">
        <v>0</v>
      </c>
      <c r="M20">
        <v>0</v>
      </c>
      <c r="N20">
        <v>0</v>
      </c>
      <c r="O20">
        <v>0</v>
      </c>
      <c r="P20">
        <v>1780.4</v>
      </c>
      <c r="Q20">
        <v>633.76</v>
      </c>
      <c r="R20">
        <v>1213.0999999999999</v>
      </c>
      <c r="S20">
        <v>0</v>
      </c>
    </row>
    <row r="21" spans="2:32">
      <c r="D21" t="s">
        <v>97</v>
      </c>
      <c r="H21">
        <v>9874.76</v>
      </c>
      <c r="I21">
        <v>20340.96</v>
      </c>
      <c r="J21">
        <v>26022.68</v>
      </c>
      <c r="K21">
        <v>34345.100000000006</v>
      </c>
      <c r="L21">
        <v>38376.620000000003</v>
      </c>
      <c r="M21">
        <v>39871.14</v>
      </c>
      <c r="N21">
        <v>43793.43</v>
      </c>
      <c r="O21">
        <v>44769.18</v>
      </c>
      <c r="P21">
        <v>50819.26</v>
      </c>
      <c r="Q21">
        <v>57239.040000000001</v>
      </c>
      <c r="R21">
        <v>67172.87000000001</v>
      </c>
      <c r="S21">
        <v>71295.279999999984</v>
      </c>
    </row>
    <row r="23" spans="2:32">
      <c r="H23">
        <v>73</v>
      </c>
      <c r="I23">
        <v>76</v>
      </c>
      <c r="J23">
        <v>79</v>
      </c>
      <c r="K23">
        <v>82</v>
      </c>
      <c r="L23">
        <v>85</v>
      </c>
      <c r="M23">
        <v>88</v>
      </c>
      <c r="N23">
        <v>91</v>
      </c>
      <c r="O23">
        <v>94</v>
      </c>
      <c r="P23">
        <v>97</v>
      </c>
      <c r="Q23">
        <v>100</v>
      </c>
      <c r="R23">
        <v>103</v>
      </c>
      <c r="S23">
        <v>106</v>
      </c>
    </row>
    <row r="24" spans="2:32">
      <c r="D24" t="s">
        <v>98</v>
      </c>
      <c r="E24" t="s">
        <v>69</v>
      </c>
      <c r="F24" t="s">
        <v>99</v>
      </c>
      <c r="G24" t="s">
        <v>100</v>
      </c>
      <c r="H24" s="2">
        <v>45658</v>
      </c>
      <c r="I24" s="2">
        <v>45689</v>
      </c>
      <c r="J24" s="2">
        <v>45717</v>
      </c>
      <c r="K24" s="2">
        <v>45748</v>
      </c>
      <c r="L24" s="2">
        <v>45778</v>
      </c>
      <c r="M24" s="2">
        <v>45809</v>
      </c>
      <c r="N24" s="2">
        <v>45839</v>
      </c>
      <c r="O24" s="2">
        <v>45870</v>
      </c>
      <c r="P24" s="2">
        <v>45901</v>
      </c>
      <c r="Q24" s="2">
        <v>45931</v>
      </c>
      <c r="R24" s="2">
        <v>45962</v>
      </c>
      <c r="S24" s="2">
        <v>45992</v>
      </c>
      <c r="U24" s="2">
        <v>45658</v>
      </c>
      <c r="V24" s="2">
        <v>45689</v>
      </c>
      <c r="W24" s="2">
        <v>45717</v>
      </c>
      <c r="X24" s="2">
        <v>45748</v>
      </c>
      <c r="Y24" s="2">
        <v>45778</v>
      </c>
      <c r="Z24" s="2">
        <v>45809</v>
      </c>
      <c r="AA24" s="2">
        <v>45839</v>
      </c>
      <c r="AB24" s="2">
        <v>45870</v>
      </c>
      <c r="AC24" s="2">
        <v>45901</v>
      </c>
      <c r="AD24" s="2">
        <v>45931</v>
      </c>
      <c r="AE24" s="2">
        <v>45962</v>
      </c>
      <c r="AF24" s="2">
        <v>45992</v>
      </c>
    </row>
    <row r="25" spans="2:32">
      <c r="B25">
        <v>51101</v>
      </c>
      <c r="C25" t="s">
        <v>63</v>
      </c>
      <c r="D25" t="s">
        <v>11</v>
      </c>
      <c r="E25" t="s">
        <v>11</v>
      </c>
      <c r="F25" t="s">
        <v>83</v>
      </c>
      <c r="G25" t="s">
        <v>101</v>
      </c>
      <c r="H25" s="3">
        <v>5000</v>
      </c>
      <c r="I25" s="3">
        <v>17415</v>
      </c>
      <c r="J25" s="3">
        <v>12240.7</v>
      </c>
      <c r="K25" s="3">
        <v>5611.51</v>
      </c>
      <c r="L25" s="3">
        <v>15157.88</v>
      </c>
      <c r="M25" s="3">
        <v>931.9</v>
      </c>
      <c r="N25" s="3">
        <v>15996.01</v>
      </c>
      <c r="O25" s="3">
        <v>4123.34</v>
      </c>
      <c r="P25" s="3">
        <v>9146.2800000000007</v>
      </c>
      <c r="Q25" s="3">
        <v>4358.01</v>
      </c>
      <c r="R25" s="3">
        <v>10042.77</v>
      </c>
      <c r="S25" s="3">
        <v>4112.12</v>
      </c>
      <c r="U25" s="4">
        <v>5000</v>
      </c>
      <c r="V25" s="4">
        <v>22415</v>
      </c>
      <c r="W25" s="4">
        <v>34655.699999999997</v>
      </c>
      <c r="X25" s="4">
        <v>40267.21</v>
      </c>
      <c r="Y25" s="4">
        <v>55425.09</v>
      </c>
      <c r="Z25" s="4">
        <v>56356.99</v>
      </c>
      <c r="AA25" s="4">
        <v>72353</v>
      </c>
      <c r="AB25" s="4">
        <v>76476.34</v>
      </c>
      <c r="AC25" s="4">
        <v>85622.62</v>
      </c>
      <c r="AD25" s="4">
        <v>89980.62999999999</v>
      </c>
      <c r="AE25" s="4">
        <v>100023.4</v>
      </c>
      <c r="AF25" s="4">
        <v>104135.51999999999</v>
      </c>
    </row>
    <row r="26" spans="2:32">
      <c r="B26">
        <v>51172</v>
      </c>
      <c r="C26" t="s">
        <v>64</v>
      </c>
      <c r="D26" t="s">
        <v>11</v>
      </c>
      <c r="E26" t="s">
        <v>11</v>
      </c>
      <c r="F26" t="s">
        <v>83</v>
      </c>
      <c r="G26" t="s">
        <v>101</v>
      </c>
      <c r="H26" s="3">
        <v>12184.62</v>
      </c>
      <c r="I26" s="3">
        <v>2019.72</v>
      </c>
      <c r="J26" s="3">
        <v>2139.5</v>
      </c>
      <c r="K26" s="3">
        <v>5539.06</v>
      </c>
      <c r="L26" s="3">
        <v>-199.38</v>
      </c>
      <c r="M26" s="3">
        <v>468.16</v>
      </c>
      <c r="N26" s="3">
        <v>-300.18</v>
      </c>
      <c r="O26" s="3">
        <v>3035.31</v>
      </c>
      <c r="P26" s="3">
        <v>1929.63</v>
      </c>
      <c r="Q26" s="3">
        <v>3725.33</v>
      </c>
      <c r="R26" s="3">
        <v>2314.6</v>
      </c>
      <c r="S26" s="3">
        <v>5185.25</v>
      </c>
      <c r="U26" s="4">
        <v>12184.62</v>
      </c>
      <c r="V26" s="4">
        <v>14204.34</v>
      </c>
      <c r="W26" s="4">
        <v>16343.84</v>
      </c>
      <c r="X26" s="4">
        <v>21882.9</v>
      </c>
      <c r="Y26" s="4">
        <v>21683.52</v>
      </c>
      <c r="Z26" s="4">
        <v>22151.68</v>
      </c>
      <c r="AA26" s="4">
        <v>21851.5</v>
      </c>
      <c r="AB26" s="4">
        <v>24886.81</v>
      </c>
      <c r="AC26" s="4">
        <v>26816.440000000002</v>
      </c>
      <c r="AD26" s="4">
        <v>30541.770000000004</v>
      </c>
      <c r="AE26" s="4">
        <v>32856.370000000003</v>
      </c>
      <c r="AF26" s="4">
        <v>38041.620000000003</v>
      </c>
    </row>
    <row r="27" spans="2:32">
      <c r="B27">
        <v>51175</v>
      </c>
      <c r="C27" t="s">
        <v>66</v>
      </c>
      <c r="D27" t="s">
        <v>68</v>
      </c>
      <c r="E27" t="s">
        <v>68</v>
      </c>
      <c r="F27" t="s">
        <v>83</v>
      </c>
      <c r="G27" t="s">
        <v>101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</row>
    <row r="28" spans="2:32">
      <c r="B28">
        <v>51176</v>
      </c>
      <c r="C28" t="s">
        <v>67</v>
      </c>
      <c r="D28" t="s">
        <v>68</v>
      </c>
      <c r="E28" t="s">
        <v>68</v>
      </c>
      <c r="F28" t="s">
        <v>83</v>
      </c>
      <c r="G28" t="s">
        <v>101</v>
      </c>
      <c r="H28" s="3">
        <v>3324.93</v>
      </c>
      <c r="I28" s="3">
        <v>3108.44</v>
      </c>
      <c r="J28" s="3">
        <v>7099.86</v>
      </c>
      <c r="K28" s="3">
        <v>0</v>
      </c>
      <c r="L28" s="3">
        <v>437.43</v>
      </c>
      <c r="M28" s="3">
        <v>0</v>
      </c>
      <c r="N28" s="3">
        <v>1487.43</v>
      </c>
      <c r="O28" s="3">
        <v>2800.14</v>
      </c>
      <c r="P28" s="3">
        <v>4200</v>
      </c>
      <c r="Q28" s="3">
        <v>0</v>
      </c>
      <c r="R28" s="3">
        <v>5624.88</v>
      </c>
      <c r="S28" s="3">
        <v>0</v>
      </c>
      <c r="U28" s="4">
        <v>3324.93</v>
      </c>
      <c r="V28" s="4">
        <v>6433.37</v>
      </c>
      <c r="W28" s="4">
        <v>13533.23</v>
      </c>
      <c r="X28" s="4">
        <v>13533.23</v>
      </c>
      <c r="Y28" s="4">
        <v>13970.66</v>
      </c>
      <c r="Z28" s="4">
        <v>13970.66</v>
      </c>
      <c r="AA28" s="4">
        <v>15458.09</v>
      </c>
      <c r="AB28" s="4">
        <v>18258.23</v>
      </c>
      <c r="AC28" s="4">
        <v>22458.23</v>
      </c>
      <c r="AD28" s="4">
        <v>22458.23</v>
      </c>
      <c r="AE28" s="4">
        <v>28083.11</v>
      </c>
      <c r="AF28" s="4">
        <v>28083.11</v>
      </c>
    </row>
    <row r="29" spans="2:32">
      <c r="B29">
        <v>51177</v>
      </c>
      <c r="C29" t="s">
        <v>102</v>
      </c>
      <c r="D29" t="s">
        <v>68</v>
      </c>
      <c r="E29" t="s">
        <v>68</v>
      </c>
      <c r="F29" t="s">
        <v>83</v>
      </c>
      <c r="G29" t="s">
        <v>101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</row>
    <row r="30" spans="2:32">
      <c r="B30">
        <v>51179</v>
      </c>
      <c r="C30" t="s">
        <v>103</v>
      </c>
      <c r="D30" t="s">
        <v>68</v>
      </c>
      <c r="E30" t="s">
        <v>68</v>
      </c>
      <c r="F30" t="s">
        <v>83</v>
      </c>
      <c r="G30" t="s">
        <v>101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</row>
    <row r="31" spans="2:32">
      <c r="B31">
        <v>51183</v>
      </c>
      <c r="C31" t="s">
        <v>65</v>
      </c>
      <c r="D31" t="s">
        <v>11</v>
      </c>
      <c r="E31" t="s">
        <v>11</v>
      </c>
      <c r="F31" t="s">
        <v>83</v>
      </c>
      <c r="G31" t="s">
        <v>101</v>
      </c>
      <c r="H31" s="3">
        <v>0</v>
      </c>
      <c r="I31" s="3">
        <v>579.39</v>
      </c>
      <c r="J31" s="3">
        <v>0</v>
      </c>
      <c r="K31" s="3">
        <v>787.53</v>
      </c>
      <c r="L31" s="3">
        <v>0</v>
      </c>
      <c r="M31" s="3">
        <v>202.5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U31" s="4">
        <v>0</v>
      </c>
      <c r="V31" s="4">
        <v>579.39</v>
      </c>
      <c r="W31" s="4">
        <v>579.39</v>
      </c>
      <c r="X31" s="4">
        <v>1366.92</v>
      </c>
      <c r="Y31" s="4">
        <v>1366.92</v>
      </c>
      <c r="Z31" s="4">
        <v>1569.42</v>
      </c>
      <c r="AA31" s="4">
        <v>1569.42</v>
      </c>
      <c r="AB31" s="4">
        <v>1569.42</v>
      </c>
      <c r="AC31" s="4">
        <v>1569.42</v>
      </c>
      <c r="AD31" s="4">
        <v>1569.42</v>
      </c>
      <c r="AE31" s="4">
        <v>1569.42</v>
      </c>
      <c r="AF31" s="4">
        <v>1569.42</v>
      </c>
    </row>
    <row r="32" spans="2:32">
      <c r="B32">
        <v>51206</v>
      </c>
      <c r="C32" t="s">
        <v>104</v>
      </c>
      <c r="D32" t="s">
        <v>116</v>
      </c>
      <c r="E32" t="s">
        <v>116</v>
      </c>
      <c r="F32" t="s">
        <v>83</v>
      </c>
      <c r="G32" t="s">
        <v>101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</row>
    <row r="33" spans="2:32">
      <c r="B33">
        <v>53008</v>
      </c>
      <c r="C33" t="s">
        <v>105</v>
      </c>
      <c r="D33" t="s">
        <v>116</v>
      </c>
      <c r="E33" t="s">
        <v>116</v>
      </c>
      <c r="F33" t="s">
        <v>83</v>
      </c>
      <c r="G33" t="s">
        <v>101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</row>
    <row r="34" spans="2:32">
      <c r="B34">
        <v>53011</v>
      </c>
      <c r="C34" t="s">
        <v>106</v>
      </c>
      <c r="D34" t="s">
        <v>116</v>
      </c>
      <c r="E34" t="s">
        <v>116</v>
      </c>
      <c r="F34" t="s">
        <v>83</v>
      </c>
      <c r="G34" t="s">
        <v>101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</row>
    <row r="35" spans="2:32">
      <c r="B35">
        <v>53012</v>
      </c>
      <c r="C35" t="s">
        <v>107</v>
      </c>
      <c r="D35" t="s">
        <v>116</v>
      </c>
      <c r="E35" t="s">
        <v>116</v>
      </c>
      <c r="F35" t="s">
        <v>83</v>
      </c>
      <c r="G35" t="s">
        <v>101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</row>
    <row r="36" spans="2:32">
      <c r="B36">
        <v>59100</v>
      </c>
      <c r="C36" t="s">
        <v>108</v>
      </c>
      <c r="D36" t="s">
        <v>116</v>
      </c>
      <c r="E36" t="s">
        <v>116</v>
      </c>
      <c r="F36" t="s">
        <v>83</v>
      </c>
      <c r="G36" t="s">
        <v>101</v>
      </c>
      <c r="H36" s="3">
        <v>4911.47</v>
      </c>
      <c r="I36" s="3">
        <v>5200.6499999999996</v>
      </c>
      <c r="J36" s="3">
        <v>7962.09</v>
      </c>
      <c r="K36" s="3">
        <v>2370.83</v>
      </c>
      <c r="L36" s="3">
        <v>4684.16</v>
      </c>
      <c r="M36" s="3">
        <v>4198.1099999999997</v>
      </c>
      <c r="N36" s="3">
        <v>5664.56</v>
      </c>
      <c r="O36" s="3">
        <v>1233.3399999999999</v>
      </c>
      <c r="P36" s="3">
        <v>5522.25</v>
      </c>
      <c r="Q36" s="3">
        <v>3737.3</v>
      </c>
      <c r="R36" s="3">
        <v>5083.54</v>
      </c>
      <c r="S36" s="3">
        <v>6000</v>
      </c>
      <c r="U36" s="4">
        <v>4911.47</v>
      </c>
      <c r="V36" s="4">
        <v>10112.119999999999</v>
      </c>
      <c r="W36" s="4">
        <v>18074.21</v>
      </c>
      <c r="X36" s="4">
        <v>20445.04</v>
      </c>
      <c r="Y36" s="4">
        <v>25129.200000000001</v>
      </c>
      <c r="Z36" s="4">
        <v>29327.31</v>
      </c>
      <c r="AA36" s="4">
        <v>34991.870000000003</v>
      </c>
      <c r="AB36" s="4">
        <v>36225.21</v>
      </c>
      <c r="AC36" s="4">
        <v>41747.46</v>
      </c>
      <c r="AD36" s="4">
        <v>45484.76</v>
      </c>
      <c r="AE36" s="4">
        <v>50568.3</v>
      </c>
      <c r="AF36" s="4">
        <v>56568.3</v>
      </c>
    </row>
    <row r="37" spans="2:32">
      <c r="B37">
        <v>59200</v>
      </c>
      <c r="C37" t="s">
        <v>109</v>
      </c>
      <c r="D37" t="s">
        <v>116</v>
      </c>
      <c r="E37" t="s">
        <v>116</v>
      </c>
      <c r="F37" t="s">
        <v>83</v>
      </c>
      <c r="G37" t="s">
        <v>101</v>
      </c>
      <c r="H37" s="3">
        <v>0</v>
      </c>
      <c r="I37" s="3">
        <v>740</v>
      </c>
      <c r="J37" s="3">
        <v>1405</v>
      </c>
      <c r="K37" s="3">
        <v>630</v>
      </c>
      <c r="L37" s="3">
        <v>85</v>
      </c>
      <c r="M37" s="3">
        <v>550</v>
      </c>
      <c r="N37" s="3">
        <v>85</v>
      </c>
      <c r="O37" s="3">
        <v>180</v>
      </c>
      <c r="P37" s="3">
        <v>1315</v>
      </c>
      <c r="Q37" s="3">
        <v>360</v>
      </c>
      <c r="R37" s="3">
        <v>3545</v>
      </c>
      <c r="S37" s="3">
        <v>270</v>
      </c>
      <c r="U37" s="4">
        <v>0</v>
      </c>
      <c r="V37" s="4">
        <v>740</v>
      </c>
      <c r="W37" s="4">
        <v>2145</v>
      </c>
      <c r="X37" s="4">
        <v>2775</v>
      </c>
      <c r="Y37" s="4">
        <v>2860</v>
      </c>
      <c r="Z37" s="4">
        <v>3410</v>
      </c>
      <c r="AA37" s="4">
        <v>3495</v>
      </c>
      <c r="AB37" s="4">
        <v>3675</v>
      </c>
      <c r="AC37" s="4">
        <v>4990</v>
      </c>
      <c r="AD37" s="4">
        <v>5350</v>
      </c>
      <c r="AE37" s="4">
        <v>8895</v>
      </c>
      <c r="AF37" s="4">
        <v>9165</v>
      </c>
    </row>
    <row r="38" spans="2:32">
      <c r="B38">
        <v>51202</v>
      </c>
      <c r="C38" t="s">
        <v>110</v>
      </c>
      <c r="D38" t="s">
        <v>116</v>
      </c>
      <c r="E38" t="s">
        <v>116</v>
      </c>
      <c r="F38" t="s">
        <v>83</v>
      </c>
      <c r="G38" t="s">
        <v>101</v>
      </c>
      <c r="H38" s="3">
        <v>0</v>
      </c>
      <c r="I38" s="3">
        <v>0</v>
      </c>
      <c r="J38" s="3">
        <v>0</v>
      </c>
      <c r="K38" s="3">
        <v>170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U38" s="4">
        <v>0</v>
      </c>
      <c r="V38" s="4">
        <v>0</v>
      </c>
      <c r="W38" s="4">
        <v>0</v>
      </c>
      <c r="X38" s="4">
        <v>170</v>
      </c>
      <c r="Y38" s="4">
        <v>170</v>
      </c>
      <c r="Z38" s="4">
        <v>170</v>
      </c>
      <c r="AA38" s="4">
        <v>170</v>
      </c>
      <c r="AB38" s="4">
        <v>170</v>
      </c>
      <c r="AC38" s="4">
        <v>170</v>
      </c>
      <c r="AD38" s="4">
        <v>170</v>
      </c>
      <c r="AE38" s="4">
        <v>170</v>
      </c>
      <c r="AF38" s="4">
        <v>170</v>
      </c>
    </row>
    <row r="39" spans="2:32">
      <c r="B39">
        <v>51180</v>
      </c>
      <c r="C39" t="s">
        <v>111</v>
      </c>
      <c r="D39" t="s">
        <v>68</v>
      </c>
      <c r="E39" t="s">
        <v>68</v>
      </c>
      <c r="F39" t="s">
        <v>83</v>
      </c>
      <c r="G39" t="s">
        <v>101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</row>
    <row r="40" spans="2:32">
      <c r="B40">
        <v>51207</v>
      </c>
      <c r="C40" t="s">
        <v>112</v>
      </c>
      <c r="D40" t="s">
        <v>116</v>
      </c>
      <c r="E40" t="s">
        <v>116</v>
      </c>
      <c r="F40" t="s">
        <v>83</v>
      </c>
      <c r="G40" t="s">
        <v>101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0.23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0.23</v>
      </c>
      <c r="AB40" s="4">
        <v>0.23</v>
      </c>
      <c r="AC40" s="4">
        <v>0.23</v>
      </c>
      <c r="AD40" s="4">
        <v>0.23</v>
      </c>
      <c r="AE40" s="4">
        <v>0.23</v>
      </c>
      <c r="AF40" s="4">
        <v>0.23</v>
      </c>
    </row>
    <row r="41" spans="2:32">
      <c r="B41">
        <v>51209</v>
      </c>
      <c r="C41" t="s">
        <v>113</v>
      </c>
      <c r="D41" t="s">
        <v>116</v>
      </c>
      <c r="E41" t="s">
        <v>116</v>
      </c>
      <c r="F41" t="s">
        <v>83</v>
      </c>
      <c r="G41" t="s">
        <v>101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</row>
    <row r="42" spans="2:32">
      <c r="B42">
        <v>51178</v>
      </c>
      <c r="C42" t="s">
        <v>114</v>
      </c>
      <c r="D42" t="s">
        <v>68</v>
      </c>
      <c r="E42" t="s">
        <v>68</v>
      </c>
      <c r="F42" t="s">
        <v>83</v>
      </c>
      <c r="G42" t="s">
        <v>101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</row>
    <row r="43" spans="2:32">
      <c r="B43">
        <v>51158</v>
      </c>
      <c r="C43" t="s">
        <v>115</v>
      </c>
      <c r="D43" t="s">
        <v>116</v>
      </c>
      <c r="E43" t="s">
        <v>116</v>
      </c>
      <c r="F43" t="s">
        <v>83</v>
      </c>
      <c r="G43" t="s">
        <v>101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</row>
    <row r="44" spans="2:32">
      <c r="B44">
        <v>51184</v>
      </c>
      <c r="C44" t="s">
        <v>37</v>
      </c>
      <c r="D44" t="s">
        <v>10</v>
      </c>
      <c r="E44" t="s">
        <v>117</v>
      </c>
      <c r="F44" t="s">
        <v>83</v>
      </c>
      <c r="G44" t="s">
        <v>101</v>
      </c>
      <c r="H44" s="3">
        <v>3888.88</v>
      </c>
      <c r="I44" s="3">
        <v>-41.05</v>
      </c>
      <c r="J44" s="3">
        <v>1255.3</v>
      </c>
      <c r="K44" s="3">
        <v>1876.26</v>
      </c>
      <c r="L44" s="3">
        <v>771.09</v>
      </c>
      <c r="M44" s="3">
        <v>3115.6</v>
      </c>
      <c r="N44" s="3">
        <v>2683.33</v>
      </c>
      <c r="O44" s="3">
        <v>377.63</v>
      </c>
      <c r="P44" s="3">
        <v>1654.23</v>
      </c>
      <c r="Q44" s="3">
        <v>2417.66</v>
      </c>
      <c r="R44" s="3">
        <v>537.58000000000004</v>
      </c>
      <c r="S44" s="3">
        <v>1242.9100000000001</v>
      </c>
      <c r="U44" s="4">
        <v>3888.88</v>
      </c>
      <c r="V44" s="4">
        <v>3847.83</v>
      </c>
      <c r="W44" s="4">
        <v>5103.13</v>
      </c>
      <c r="X44" s="4">
        <v>6979.39</v>
      </c>
      <c r="Y44" s="4">
        <v>7750.4800000000005</v>
      </c>
      <c r="Z44" s="4">
        <v>10866.08</v>
      </c>
      <c r="AA44" s="4">
        <v>13549.41</v>
      </c>
      <c r="AB44" s="4">
        <v>13927.039999999999</v>
      </c>
      <c r="AC44" s="4">
        <v>15581.269999999999</v>
      </c>
      <c r="AD44" s="4">
        <v>17998.93</v>
      </c>
      <c r="AE44" s="4">
        <v>18536.510000000002</v>
      </c>
      <c r="AF44" s="4">
        <v>19779.420000000002</v>
      </c>
    </row>
    <row r="45" spans="2:32">
      <c r="B45">
        <v>51185</v>
      </c>
      <c r="C45" t="s">
        <v>38</v>
      </c>
      <c r="D45" t="s">
        <v>10</v>
      </c>
      <c r="E45" t="s">
        <v>117</v>
      </c>
      <c r="F45" t="s">
        <v>83</v>
      </c>
      <c r="G45" t="s">
        <v>101</v>
      </c>
      <c r="H45" s="3">
        <v>56.25</v>
      </c>
      <c r="I45" s="3">
        <v>1006.23</v>
      </c>
      <c r="J45" s="3">
        <v>0</v>
      </c>
      <c r="K45" s="3">
        <v>0</v>
      </c>
      <c r="L45" s="3">
        <v>0</v>
      </c>
      <c r="M45" s="3">
        <v>988.55</v>
      </c>
      <c r="N45" s="3">
        <v>220.83</v>
      </c>
      <c r="O45" s="3">
        <v>145.83000000000001</v>
      </c>
      <c r="P45" s="3">
        <v>20.83</v>
      </c>
      <c r="Q45" s="3">
        <v>0</v>
      </c>
      <c r="R45" s="3">
        <v>830.91</v>
      </c>
      <c r="S45" s="3">
        <v>179.16</v>
      </c>
      <c r="U45" s="4">
        <v>56.25</v>
      </c>
      <c r="V45" s="4">
        <v>1062.48</v>
      </c>
      <c r="W45" s="4">
        <v>1062.48</v>
      </c>
      <c r="X45" s="4">
        <v>1062.48</v>
      </c>
      <c r="Y45" s="4">
        <v>1062.48</v>
      </c>
      <c r="Z45" s="4">
        <v>2051.0299999999997</v>
      </c>
      <c r="AA45" s="4">
        <v>2271.8599999999997</v>
      </c>
      <c r="AB45" s="4">
        <v>2417.6899999999996</v>
      </c>
      <c r="AC45" s="4">
        <v>2438.5199999999995</v>
      </c>
      <c r="AD45" s="4">
        <v>2438.5199999999995</v>
      </c>
      <c r="AE45" s="4">
        <v>3269.4299999999994</v>
      </c>
      <c r="AF45" s="4">
        <v>3448.5899999999992</v>
      </c>
    </row>
    <row r="46" spans="2:32">
      <c r="B46">
        <v>51186</v>
      </c>
      <c r="C46" t="s">
        <v>39</v>
      </c>
      <c r="D46" t="s">
        <v>10</v>
      </c>
      <c r="E46" t="s">
        <v>117</v>
      </c>
      <c r="F46" t="s">
        <v>83</v>
      </c>
      <c r="G46" t="s">
        <v>101</v>
      </c>
      <c r="H46" s="3">
        <v>0</v>
      </c>
      <c r="I46" s="3">
        <v>0</v>
      </c>
      <c r="J46" s="3">
        <v>1162.46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U46" s="4">
        <v>0</v>
      </c>
      <c r="V46" s="4">
        <v>0</v>
      </c>
      <c r="W46" s="4">
        <v>1162.46</v>
      </c>
      <c r="X46" s="4">
        <v>1162.46</v>
      </c>
      <c r="Y46" s="4">
        <v>1162.46</v>
      </c>
      <c r="Z46" s="4">
        <v>1162.46</v>
      </c>
      <c r="AA46" s="4">
        <v>1162.46</v>
      </c>
      <c r="AB46" s="4">
        <v>1162.46</v>
      </c>
      <c r="AC46" s="4">
        <v>1162.46</v>
      </c>
      <c r="AD46" s="4">
        <v>1162.46</v>
      </c>
      <c r="AE46" s="4">
        <v>1162.46</v>
      </c>
      <c r="AF46" s="4">
        <v>1162.46</v>
      </c>
    </row>
    <row r="47" spans="2:32">
      <c r="B47">
        <v>51187</v>
      </c>
      <c r="C47" t="s">
        <v>40</v>
      </c>
      <c r="D47" t="s">
        <v>10</v>
      </c>
      <c r="E47" t="s">
        <v>118</v>
      </c>
      <c r="F47" t="s">
        <v>83</v>
      </c>
      <c r="G47" t="s">
        <v>101</v>
      </c>
      <c r="H47" s="3">
        <v>0</v>
      </c>
      <c r="I47" s="3">
        <v>478.72</v>
      </c>
      <c r="J47" s="3">
        <v>472.9</v>
      </c>
      <c r="K47" s="3">
        <v>365.45</v>
      </c>
      <c r="L47" s="3">
        <v>0</v>
      </c>
      <c r="M47" s="3">
        <v>455.06</v>
      </c>
      <c r="N47" s="3">
        <v>432.58</v>
      </c>
      <c r="O47" s="3">
        <v>0</v>
      </c>
      <c r="P47" s="3">
        <v>335.73</v>
      </c>
      <c r="Q47" s="3">
        <v>336.79</v>
      </c>
      <c r="R47" s="3">
        <v>217.81</v>
      </c>
      <c r="S47" s="3">
        <v>409.25</v>
      </c>
      <c r="U47" s="4">
        <v>0</v>
      </c>
      <c r="V47" s="4">
        <v>478.72</v>
      </c>
      <c r="W47" s="4">
        <v>951.62</v>
      </c>
      <c r="X47" s="4">
        <v>1317.07</v>
      </c>
      <c r="Y47" s="4">
        <v>1317.07</v>
      </c>
      <c r="Z47" s="4">
        <v>1772.1299999999999</v>
      </c>
      <c r="AA47" s="4">
        <v>2204.71</v>
      </c>
      <c r="AB47" s="4">
        <v>2204.71</v>
      </c>
      <c r="AC47" s="4">
        <v>2540.44</v>
      </c>
      <c r="AD47" s="4">
        <v>2877.23</v>
      </c>
      <c r="AE47" s="4">
        <v>3095.04</v>
      </c>
      <c r="AF47" s="4">
        <v>3504.29</v>
      </c>
    </row>
    <row r="48" spans="2:32">
      <c r="B48">
        <v>51189</v>
      </c>
      <c r="C48" t="s">
        <v>41</v>
      </c>
      <c r="D48" t="s">
        <v>10</v>
      </c>
      <c r="E48" t="s">
        <v>117</v>
      </c>
      <c r="F48" t="s">
        <v>83</v>
      </c>
      <c r="G48" t="s">
        <v>101</v>
      </c>
      <c r="H48" s="3">
        <v>2384.9299999999998</v>
      </c>
      <c r="I48" s="3">
        <v>1865.09</v>
      </c>
      <c r="J48" s="3">
        <v>1946.09</v>
      </c>
      <c r="K48" s="3">
        <v>1681.97</v>
      </c>
      <c r="L48" s="3">
        <v>4568.3500000000004</v>
      </c>
      <c r="M48" s="3">
        <v>4689.0600000000004</v>
      </c>
      <c r="N48" s="3">
        <v>5551.91</v>
      </c>
      <c r="O48" s="3">
        <v>0</v>
      </c>
      <c r="P48" s="3">
        <v>0</v>
      </c>
      <c r="Q48" s="3">
        <v>6160.97</v>
      </c>
      <c r="R48" s="3">
        <v>1683.34</v>
      </c>
      <c r="S48" s="3">
        <v>2407.79</v>
      </c>
      <c r="U48" s="4">
        <v>2384.9299999999998</v>
      </c>
      <c r="V48" s="4">
        <v>4250.0199999999995</v>
      </c>
      <c r="W48" s="4">
        <v>6196.11</v>
      </c>
      <c r="X48" s="4">
        <v>7878.08</v>
      </c>
      <c r="Y48" s="4">
        <v>12446.43</v>
      </c>
      <c r="Z48" s="4">
        <v>17135.490000000002</v>
      </c>
      <c r="AA48" s="4">
        <v>22687.4</v>
      </c>
      <c r="AB48" s="4">
        <v>22687.4</v>
      </c>
      <c r="AC48" s="4">
        <v>22687.4</v>
      </c>
      <c r="AD48" s="4">
        <v>28848.370000000003</v>
      </c>
      <c r="AE48" s="4">
        <v>30531.710000000003</v>
      </c>
      <c r="AF48" s="4">
        <v>32939.5</v>
      </c>
    </row>
    <row r="49" spans="2:32">
      <c r="B49">
        <v>53000</v>
      </c>
      <c r="C49" t="s">
        <v>42</v>
      </c>
      <c r="D49" t="s">
        <v>116</v>
      </c>
      <c r="E49" t="s">
        <v>116</v>
      </c>
      <c r="F49" t="s">
        <v>83</v>
      </c>
      <c r="G49" t="s">
        <v>101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487.8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487.8</v>
      </c>
    </row>
    <row r="50" spans="2:32">
      <c r="B50" s="5">
        <v>53014</v>
      </c>
      <c r="C50" s="5" t="s">
        <v>43</v>
      </c>
      <c r="D50" t="s">
        <v>10</v>
      </c>
      <c r="E50" t="s">
        <v>118</v>
      </c>
      <c r="F50" t="s">
        <v>83</v>
      </c>
      <c r="G50" t="s">
        <v>101</v>
      </c>
      <c r="H50" s="3">
        <v>1367.79</v>
      </c>
      <c r="I50" s="3">
        <v>1108.6099999999999</v>
      </c>
      <c r="J50" s="3">
        <v>300</v>
      </c>
      <c r="K50" s="3">
        <v>1922.46</v>
      </c>
      <c r="L50" s="3">
        <v>1871.08</v>
      </c>
      <c r="M50" s="3">
        <v>775</v>
      </c>
      <c r="N50" s="3">
        <v>2453.65</v>
      </c>
      <c r="O50" s="3">
        <v>770.75</v>
      </c>
      <c r="P50" s="3">
        <v>1391.63</v>
      </c>
      <c r="Q50" s="3">
        <v>0</v>
      </c>
      <c r="R50" s="3">
        <v>0</v>
      </c>
      <c r="S50" s="3">
        <v>1254.45</v>
      </c>
      <c r="U50" s="4">
        <v>1367.79</v>
      </c>
      <c r="V50" s="4">
        <v>2476.3999999999996</v>
      </c>
      <c r="W50" s="4">
        <v>2776.3999999999996</v>
      </c>
      <c r="X50" s="4">
        <v>4698.8599999999997</v>
      </c>
      <c r="Y50" s="4">
        <v>6569.94</v>
      </c>
      <c r="Z50" s="4">
        <v>7344.94</v>
      </c>
      <c r="AA50" s="4">
        <v>9798.59</v>
      </c>
      <c r="AB50" s="4">
        <v>10569.34</v>
      </c>
      <c r="AC50" s="4">
        <v>11960.970000000001</v>
      </c>
      <c r="AD50" s="4">
        <v>11960.970000000001</v>
      </c>
      <c r="AE50" s="4">
        <v>11960.970000000001</v>
      </c>
      <c r="AF50" s="4">
        <v>13215.420000000002</v>
      </c>
    </row>
    <row r="51" spans="2:32">
      <c r="B51">
        <v>53015</v>
      </c>
      <c r="C51" t="s">
        <v>44</v>
      </c>
      <c r="D51" t="s">
        <v>10</v>
      </c>
      <c r="E51" t="s">
        <v>117</v>
      </c>
      <c r="F51" t="s">
        <v>83</v>
      </c>
      <c r="G51" t="s">
        <v>101</v>
      </c>
      <c r="H51" s="3">
        <v>0</v>
      </c>
      <c r="I51" s="3">
        <v>0</v>
      </c>
      <c r="J51" s="3">
        <v>4533.2700000000004</v>
      </c>
      <c r="K51" s="3">
        <v>0</v>
      </c>
      <c r="L51" s="3">
        <v>0</v>
      </c>
      <c r="M51" s="3">
        <v>1851.66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U51" s="4">
        <v>0</v>
      </c>
      <c r="V51" s="4">
        <v>0</v>
      </c>
      <c r="W51" s="4">
        <v>4533.2700000000004</v>
      </c>
      <c r="X51" s="4">
        <v>4533.2700000000004</v>
      </c>
      <c r="Y51" s="4">
        <v>4533.2700000000004</v>
      </c>
      <c r="Z51" s="4">
        <v>6384.93</v>
      </c>
      <c r="AA51" s="4">
        <v>6384.93</v>
      </c>
      <c r="AB51" s="4">
        <v>6384.93</v>
      </c>
      <c r="AC51" s="4">
        <v>6384.93</v>
      </c>
      <c r="AD51" s="4">
        <v>6384.93</v>
      </c>
      <c r="AE51" s="4">
        <v>6384.93</v>
      </c>
      <c r="AF51" s="4">
        <v>6384.93</v>
      </c>
    </row>
    <row r="52" spans="2:32">
      <c r="B52">
        <v>53016</v>
      </c>
      <c r="C52" t="s">
        <v>45</v>
      </c>
      <c r="D52" t="s">
        <v>10</v>
      </c>
      <c r="E52" t="s">
        <v>117</v>
      </c>
      <c r="F52" t="s">
        <v>83</v>
      </c>
      <c r="G52" t="s">
        <v>101</v>
      </c>
      <c r="H52" s="3"/>
      <c r="I52" s="3">
        <v>0</v>
      </c>
      <c r="J52" s="3">
        <v>0</v>
      </c>
      <c r="K52" s="3">
        <v>0</v>
      </c>
      <c r="L52" s="3">
        <v>0</v>
      </c>
      <c r="M52" s="3">
        <v>1636.92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1636.92</v>
      </c>
      <c r="AA52" s="4">
        <v>1636.92</v>
      </c>
      <c r="AB52" s="4">
        <v>1636.92</v>
      </c>
      <c r="AC52" s="4">
        <v>1636.92</v>
      </c>
      <c r="AD52" s="4">
        <v>1636.92</v>
      </c>
      <c r="AE52" s="4">
        <v>1636.92</v>
      </c>
      <c r="AF52" s="4">
        <v>1636.92</v>
      </c>
    </row>
    <row r="53" spans="2:32">
      <c r="B53">
        <v>53017</v>
      </c>
      <c r="C53" t="s">
        <v>46</v>
      </c>
      <c r="D53" t="s">
        <v>10</v>
      </c>
      <c r="E53" t="s">
        <v>117</v>
      </c>
      <c r="F53" t="s">
        <v>83</v>
      </c>
      <c r="G53" t="s">
        <v>101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</row>
    <row r="54" spans="2:32">
      <c r="B54">
        <v>53019</v>
      </c>
      <c r="C54" t="s">
        <v>48</v>
      </c>
      <c r="D54" t="s">
        <v>10</v>
      </c>
      <c r="E54" t="s">
        <v>118</v>
      </c>
      <c r="F54" t="s">
        <v>101</v>
      </c>
      <c r="G54" s="2">
        <v>45658</v>
      </c>
      <c r="H54" s="3">
        <v>1502.76</v>
      </c>
      <c r="I54" s="3">
        <v>355.64</v>
      </c>
      <c r="J54" s="3">
        <v>372.95</v>
      </c>
      <c r="K54" s="3">
        <v>98.65</v>
      </c>
      <c r="L54" s="3">
        <v>341.13</v>
      </c>
      <c r="M54" s="3">
        <v>199.95</v>
      </c>
      <c r="N54" s="3">
        <v>0</v>
      </c>
      <c r="O54">
        <v>0</v>
      </c>
      <c r="P54">
        <v>317.52</v>
      </c>
      <c r="Q54">
        <v>375.36</v>
      </c>
      <c r="R54">
        <v>0</v>
      </c>
      <c r="S54">
        <v>311.95</v>
      </c>
      <c r="U54" s="4">
        <v>1502.76</v>
      </c>
      <c r="V54" s="4">
        <v>1858.4</v>
      </c>
      <c r="W54" s="4">
        <v>2231.35</v>
      </c>
      <c r="X54" s="4">
        <v>2330</v>
      </c>
      <c r="Y54" s="4">
        <v>2671.13</v>
      </c>
      <c r="Z54" s="4">
        <v>2871.08</v>
      </c>
      <c r="AA54" s="4">
        <v>2871.08</v>
      </c>
      <c r="AB54" s="4">
        <v>2871.08</v>
      </c>
      <c r="AC54" s="4">
        <v>3188.6</v>
      </c>
      <c r="AD54" s="4">
        <v>3563.96</v>
      </c>
      <c r="AE54" s="4">
        <v>3563.96</v>
      </c>
      <c r="AF54" s="4">
        <v>3875.91</v>
      </c>
    </row>
    <row r="55" spans="2:32">
      <c r="B55">
        <v>53018</v>
      </c>
      <c r="C55" t="s">
        <v>49</v>
      </c>
      <c r="D55" t="s">
        <v>10</v>
      </c>
      <c r="E55" t="s">
        <v>117</v>
      </c>
      <c r="F55" t="s">
        <v>101</v>
      </c>
      <c r="G55" s="2">
        <v>45658</v>
      </c>
      <c r="H55" s="3">
        <v>5018</v>
      </c>
      <c r="I55" s="3">
        <v>4242.25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>
        <v>0</v>
      </c>
      <c r="P55">
        <v>440.4</v>
      </c>
      <c r="Q55">
        <v>987.48</v>
      </c>
      <c r="R55">
        <v>1494.65</v>
      </c>
      <c r="S55">
        <v>0</v>
      </c>
      <c r="U55" s="4">
        <v>5018</v>
      </c>
      <c r="V55" s="4">
        <v>9260.25</v>
      </c>
      <c r="W55" s="4">
        <v>9260.25</v>
      </c>
      <c r="X55" s="4">
        <v>9260.25</v>
      </c>
      <c r="Y55" s="4">
        <v>9260.25</v>
      </c>
      <c r="Z55" s="4">
        <v>9260.25</v>
      </c>
      <c r="AA55" s="4">
        <v>9260.25</v>
      </c>
      <c r="AB55" s="4">
        <v>9260.25</v>
      </c>
      <c r="AC55" s="4">
        <v>9700.65</v>
      </c>
      <c r="AD55" s="4">
        <v>10688.13</v>
      </c>
      <c r="AE55" s="4">
        <v>12182.779999999999</v>
      </c>
      <c r="AF55" s="4">
        <v>12182.779999999999</v>
      </c>
    </row>
    <row r="56" spans="2:32">
      <c r="B56">
        <v>53020</v>
      </c>
      <c r="C56" t="s">
        <v>50</v>
      </c>
      <c r="D56" t="s">
        <v>10</v>
      </c>
      <c r="E56" t="s">
        <v>118</v>
      </c>
      <c r="F56" t="s">
        <v>101</v>
      </c>
      <c r="G56" s="2">
        <v>45658</v>
      </c>
      <c r="H56" s="3">
        <v>3354</v>
      </c>
      <c r="I56" s="3">
        <v>5868.31</v>
      </c>
      <c r="J56" s="3">
        <v>3032.85</v>
      </c>
      <c r="K56" s="3">
        <v>5600.72</v>
      </c>
      <c r="L56" s="3">
        <v>1691.83</v>
      </c>
      <c r="M56" s="3">
        <v>1114.98</v>
      </c>
      <c r="N56" s="3">
        <v>2709.26</v>
      </c>
      <c r="O56">
        <v>600.75</v>
      </c>
      <c r="P56">
        <v>2194.1799999999998</v>
      </c>
      <c r="Q56">
        <v>2645.8</v>
      </c>
      <c r="R56">
        <v>4171.34</v>
      </c>
      <c r="S56">
        <v>2208.6999999999998</v>
      </c>
      <c r="U56" s="4">
        <v>3354</v>
      </c>
      <c r="V56" s="4">
        <v>9222.3100000000013</v>
      </c>
      <c r="W56" s="4">
        <v>12255.160000000002</v>
      </c>
      <c r="X56" s="4">
        <v>17855.88</v>
      </c>
      <c r="Y56" s="4">
        <v>19547.71</v>
      </c>
      <c r="Z56" s="4">
        <v>20662.689999999999</v>
      </c>
      <c r="AA56" s="4">
        <v>23371.949999999997</v>
      </c>
      <c r="AB56" s="4">
        <v>23972.699999999997</v>
      </c>
      <c r="AC56" s="4">
        <v>26166.879999999997</v>
      </c>
      <c r="AD56" s="4">
        <v>28812.679999999997</v>
      </c>
      <c r="AE56" s="4">
        <v>32984.019999999997</v>
      </c>
      <c r="AF56" s="4">
        <v>35192.719999999994</v>
      </c>
    </row>
    <row r="57" spans="2:32">
      <c r="B57">
        <v>51192</v>
      </c>
      <c r="C57" t="s">
        <v>51</v>
      </c>
      <c r="D57" t="s">
        <v>10</v>
      </c>
      <c r="E57" t="s">
        <v>118</v>
      </c>
      <c r="F57" t="s">
        <v>101</v>
      </c>
      <c r="G57" s="2">
        <v>45717</v>
      </c>
      <c r="H57" s="3">
        <v>0</v>
      </c>
      <c r="I57" s="3">
        <v>0</v>
      </c>
      <c r="J57" s="3">
        <v>2275.92</v>
      </c>
      <c r="K57" s="3">
        <v>781.25</v>
      </c>
      <c r="L57" s="3">
        <v>1570.81</v>
      </c>
      <c r="M57" s="3">
        <v>0</v>
      </c>
      <c r="N57" s="3">
        <v>560.41999999999996</v>
      </c>
      <c r="O57">
        <v>375</v>
      </c>
      <c r="P57">
        <v>1037.49</v>
      </c>
      <c r="Q57">
        <v>822.9</v>
      </c>
      <c r="R57">
        <v>1404.87</v>
      </c>
      <c r="S57">
        <v>683.32</v>
      </c>
      <c r="U57" s="4">
        <v>0</v>
      </c>
      <c r="V57" s="4">
        <v>0</v>
      </c>
      <c r="W57" s="4">
        <v>2275.92</v>
      </c>
      <c r="X57" s="4">
        <v>3057.17</v>
      </c>
      <c r="Y57" s="4">
        <v>4627.9799999999996</v>
      </c>
      <c r="Z57" s="4">
        <v>4627.9799999999996</v>
      </c>
      <c r="AA57" s="4">
        <v>5188.3999999999996</v>
      </c>
      <c r="AB57" s="4">
        <v>5563.4</v>
      </c>
      <c r="AC57" s="4">
        <v>6600.8899999999994</v>
      </c>
      <c r="AD57" s="4">
        <v>7423.7899999999991</v>
      </c>
      <c r="AE57" s="4">
        <v>8828.66</v>
      </c>
      <c r="AF57" s="4">
        <v>9511.98</v>
      </c>
    </row>
    <row r="58" spans="2:32">
      <c r="B58">
        <v>51191</v>
      </c>
      <c r="C58" t="s">
        <v>52</v>
      </c>
      <c r="D58" t="s">
        <v>10</v>
      </c>
      <c r="E58" t="s">
        <v>118</v>
      </c>
      <c r="F58" t="s">
        <v>101</v>
      </c>
      <c r="G58" s="2">
        <v>45748</v>
      </c>
      <c r="H58" s="3">
        <v>0</v>
      </c>
      <c r="I58" s="3">
        <v>0</v>
      </c>
      <c r="J58" s="3">
        <v>0</v>
      </c>
      <c r="K58" s="3">
        <v>1841.8</v>
      </c>
      <c r="L58" s="3">
        <v>427.75</v>
      </c>
      <c r="M58" s="3">
        <v>179.59</v>
      </c>
      <c r="N58" s="3">
        <v>652.61</v>
      </c>
      <c r="O58">
        <v>0</v>
      </c>
      <c r="P58">
        <v>280.08999999999997</v>
      </c>
      <c r="Q58">
        <v>625.32000000000005</v>
      </c>
      <c r="R58">
        <v>1094.31</v>
      </c>
      <c r="S58">
        <v>0</v>
      </c>
      <c r="U58" s="4">
        <v>0</v>
      </c>
      <c r="V58" s="4">
        <v>0</v>
      </c>
      <c r="W58" s="4">
        <v>0</v>
      </c>
      <c r="X58" s="4">
        <v>1841.8</v>
      </c>
      <c r="Y58" s="4">
        <v>2269.5500000000002</v>
      </c>
      <c r="Z58" s="4">
        <v>2449.1400000000003</v>
      </c>
      <c r="AA58" s="4">
        <v>3101.7500000000005</v>
      </c>
      <c r="AB58" s="4">
        <v>3101.7500000000005</v>
      </c>
      <c r="AC58" s="4">
        <v>3381.8400000000006</v>
      </c>
      <c r="AD58" s="4">
        <v>4007.1600000000008</v>
      </c>
      <c r="AE58" s="4">
        <v>5101.4700000000012</v>
      </c>
      <c r="AF58" s="4">
        <v>5101.4700000000012</v>
      </c>
    </row>
    <row r="59" spans="2:32">
      <c r="B59">
        <v>53021</v>
      </c>
      <c r="C59" t="s">
        <v>53</v>
      </c>
      <c r="D59" t="s">
        <v>10</v>
      </c>
      <c r="E59" t="s">
        <v>117</v>
      </c>
      <c r="F59" t="s">
        <v>10</v>
      </c>
      <c r="G59">
        <v>45901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1780.4</v>
      </c>
      <c r="Q59">
        <v>329.16</v>
      </c>
      <c r="R59">
        <v>0</v>
      </c>
      <c r="S59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1780.4</v>
      </c>
      <c r="AD59" s="4">
        <v>2109.56</v>
      </c>
      <c r="AE59" s="4">
        <v>2109.56</v>
      </c>
      <c r="AF59" s="4">
        <v>2109.56</v>
      </c>
    </row>
    <row r="60" spans="2:32">
      <c r="B60">
        <v>51194</v>
      </c>
      <c r="C60" t="s">
        <v>54</v>
      </c>
      <c r="D60" t="s">
        <v>10</v>
      </c>
      <c r="E60" t="s">
        <v>117</v>
      </c>
      <c r="F60" t="s">
        <v>10</v>
      </c>
      <c r="G60">
        <v>45931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633.76</v>
      </c>
      <c r="R60">
        <v>555.55999999999995</v>
      </c>
      <c r="S60">
        <v>918.44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633.76</v>
      </c>
      <c r="AE60" s="4">
        <v>1189.32</v>
      </c>
      <c r="AF60" s="4">
        <v>2107.7600000000002</v>
      </c>
    </row>
    <row r="61" spans="2:32">
      <c r="B61">
        <v>51196</v>
      </c>
      <c r="C61" t="s">
        <v>55</v>
      </c>
      <c r="D61" t="s">
        <v>10</v>
      </c>
      <c r="E61" t="s">
        <v>118</v>
      </c>
      <c r="F61" t="s">
        <v>101</v>
      </c>
      <c r="G61">
        <v>45962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1213.0999999999999</v>
      </c>
      <c r="S61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1213.0999999999999</v>
      </c>
      <c r="AF61" s="4">
        <v>1213.0999999999999</v>
      </c>
    </row>
    <row r="62" spans="2:32"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</row>
    <row r="63" spans="2:32"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B80D-5D91-44A7-8A53-39910CB6CAD4}">
  <dimension ref="B1:AF41"/>
  <sheetViews>
    <sheetView topLeftCell="A29" workbookViewId="0">
      <selection activeCell="B41" sqref="B41"/>
    </sheetView>
  </sheetViews>
  <sheetFormatPr defaultRowHeight="15"/>
  <cols>
    <col min="2" max="2" width="6" bestFit="1" customWidth="1"/>
    <col min="3" max="3" width="40.42578125" bestFit="1" customWidth="1"/>
    <col min="4" max="7" width="16.7109375" customWidth="1"/>
    <col min="8" max="11" width="9.5703125" bestFit="1" customWidth="1"/>
    <col min="12" max="14" width="10.5703125" bestFit="1" customWidth="1"/>
    <col min="15" max="15" width="9.5703125" bestFit="1" customWidth="1"/>
    <col min="16" max="16" width="10.5703125" bestFit="1" customWidth="1"/>
    <col min="17" max="19" width="10.140625" bestFit="1" customWidth="1"/>
  </cols>
  <sheetData>
    <row r="1" spans="4:19">
      <c r="D1" s="1" t="s">
        <v>11</v>
      </c>
      <c r="E1" s="1"/>
    </row>
    <row r="2" spans="4:19">
      <c r="D2" t="s">
        <v>89</v>
      </c>
      <c r="H2">
        <f t="shared" ref="H2:S2" si="0">SUMIFS(H$25:H$57, $D$25:$D$57, $D$1)</f>
        <v>10960</v>
      </c>
      <c r="I2">
        <f t="shared" si="0"/>
        <v>9590.0000000000018</v>
      </c>
      <c r="J2">
        <f t="shared" si="0"/>
        <v>13700</v>
      </c>
      <c r="K2">
        <f t="shared" si="0"/>
        <v>12330</v>
      </c>
      <c r="L2">
        <f t="shared" si="0"/>
        <v>12330</v>
      </c>
      <c r="M2">
        <f t="shared" si="0"/>
        <v>10960</v>
      </c>
      <c r="N2">
        <f t="shared" si="0"/>
        <v>10960</v>
      </c>
      <c r="O2">
        <f t="shared" si="0"/>
        <v>6850</v>
      </c>
      <c r="P2">
        <f t="shared" si="0"/>
        <v>12330</v>
      </c>
      <c r="Q2">
        <f t="shared" si="0"/>
        <v>15070</v>
      </c>
      <c r="R2">
        <f t="shared" si="0"/>
        <v>12330</v>
      </c>
      <c r="S2">
        <f t="shared" si="0"/>
        <v>9590.0000000000018</v>
      </c>
    </row>
    <row r="3" spans="4:19">
      <c r="D3" t="s">
        <v>90</v>
      </c>
      <c r="H3">
        <f>SUM($H2:H2)</f>
        <v>10960</v>
      </c>
      <c r="I3">
        <f>SUM($H2:I2)</f>
        <v>20550</v>
      </c>
      <c r="J3">
        <f>SUM($H2:J2)</f>
        <v>34250</v>
      </c>
      <c r="K3">
        <f>SUM($H2:K2)</f>
        <v>46580</v>
      </c>
      <c r="L3">
        <f>SUM($H2:L2)</f>
        <v>58910</v>
      </c>
      <c r="M3">
        <f>SUM($H2:M2)</f>
        <v>69870</v>
      </c>
      <c r="N3">
        <f>SUM($H2:N2)</f>
        <v>80830</v>
      </c>
      <c r="O3">
        <f>SUM($H2:O2)</f>
        <v>87680</v>
      </c>
      <c r="P3">
        <f>SUM($H2:P2)</f>
        <v>100010</v>
      </c>
      <c r="Q3">
        <f>SUM($H2:Q2)</f>
        <v>115080</v>
      </c>
      <c r="R3">
        <f>SUM($H2:R2)</f>
        <v>127410</v>
      </c>
      <c r="S3">
        <f>SUM($H2:S2)</f>
        <v>137000</v>
      </c>
    </row>
    <row r="4" spans="4:19">
      <c r="D4" t="s">
        <v>91</v>
      </c>
      <c r="H4">
        <f t="shared" ref="H4:S4" si="1">COUNTIFS(H$25:H$57,"&gt;0", $D$25:$D$57, $D$1)</f>
        <v>3</v>
      </c>
      <c r="I4">
        <f t="shared" si="1"/>
        <v>3</v>
      </c>
      <c r="J4">
        <f t="shared" si="1"/>
        <v>3</v>
      </c>
      <c r="K4">
        <f t="shared" si="1"/>
        <v>3</v>
      </c>
      <c r="L4">
        <f t="shared" si="1"/>
        <v>3</v>
      </c>
      <c r="M4">
        <f t="shared" si="1"/>
        <v>3</v>
      </c>
      <c r="N4">
        <f t="shared" si="1"/>
        <v>3</v>
      </c>
      <c r="O4">
        <f t="shared" si="1"/>
        <v>3</v>
      </c>
      <c r="P4">
        <f t="shared" si="1"/>
        <v>3</v>
      </c>
      <c r="Q4">
        <f t="shared" si="1"/>
        <v>3</v>
      </c>
      <c r="R4">
        <f t="shared" si="1"/>
        <v>3</v>
      </c>
      <c r="S4">
        <f t="shared" si="1"/>
        <v>3</v>
      </c>
    </row>
    <row r="5" spans="4:19">
      <c r="D5" t="s">
        <v>92</v>
      </c>
      <c r="H5">
        <f t="shared" ref="H5:S5" si="2">COUNTIFS(U$25:U$57,"&gt;0", $D$25:$D$57, $D$1)</f>
        <v>3</v>
      </c>
      <c r="I5">
        <f t="shared" si="2"/>
        <v>3</v>
      </c>
      <c r="J5">
        <f t="shared" si="2"/>
        <v>3</v>
      </c>
      <c r="K5">
        <f t="shared" si="2"/>
        <v>3</v>
      </c>
      <c r="L5">
        <f t="shared" si="2"/>
        <v>3</v>
      </c>
      <c r="M5">
        <f t="shared" si="2"/>
        <v>3</v>
      </c>
      <c r="N5">
        <f t="shared" si="2"/>
        <v>3</v>
      </c>
      <c r="O5">
        <f t="shared" si="2"/>
        <v>3</v>
      </c>
      <c r="P5">
        <f t="shared" si="2"/>
        <v>3</v>
      </c>
      <c r="Q5">
        <f t="shared" si="2"/>
        <v>3</v>
      </c>
      <c r="R5">
        <f t="shared" si="2"/>
        <v>3</v>
      </c>
      <c r="S5">
        <f t="shared" si="2"/>
        <v>3</v>
      </c>
    </row>
    <row r="6" spans="4:19">
      <c r="D6" t="s">
        <v>93</v>
      </c>
      <c r="H6">
        <f t="shared" ref="H6:S6" si="3">COUNTIFS($F$25:$F$57,"Yes", $D$25:$D$57, $D$1)+COUNTIFS( $G$25:$G$57, "&lt;="&amp;H$24, $D$25:$D$57, $D$1)</f>
        <v>3</v>
      </c>
      <c r="I6">
        <f t="shared" si="3"/>
        <v>3</v>
      </c>
      <c r="J6">
        <f t="shared" si="3"/>
        <v>3</v>
      </c>
      <c r="K6">
        <f t="shared" si="3"/>
        <v>3</v>
      </c>
      <c r="L6">
        <f t="shared" si="3"/>
        <v>3</v>
      </c>
      <c r="M6">
        <f t="shared" si="3"/>
        <v>3</v>
      </c>
      <c r="N6">
        <f t="shared" si="3"/>
        <v>3</v>
      </c>
      <c r="O6">
        <f t="shared" si="3"/>
        <v>3</v>
      </c>
      <c r="P6">
        <f t="shared" si="3"/>
        <v>3</v>
      </c>
      <c r="Q6">
        <f t="shared" si="3"/>
        <v>3</v>
      </c>
      <c r="R6">
        <f t="shared" si="3"/>
        <v>3</v>
      </c>
      <c r="S6">
        <f t="shared" si="3"/>
        <v>3</v>
      </c>
    </row>
    <row r="7" spans="4:19">
      <c r="D7" t="s">
        <v>94</v>
      </c>
      <c r="H7">
        <f t="shared" ref="H7:S7" si="4">COUNTIFS( $G$25:$G$57, H$24, $D$25:$D$57, $D$1)</f>
        <v>0</v>
      </c>
      <c r="I7">
        <f t="shared" si="4"/>
        <v>0</v>
      </c>
      <c r="J7">
        <f t="shared" si="4"/>
        <v>0</v>
      </c>
      <c r="K7">
        <f t="shared" si="4"/>
        <v>0</v>
      </c>
      <c r="L7">
        <f t="shared" si="4"/>
        <v>0</v>
      </c>
      <c r="M7">
        <f t="shared" si="4"/>
        <v>0</v>
      </c>
      <c r="N7">
        <f t="shared" si="4"/>
        <v>0</v>
      </c>
      <c r="O7">
        <f t="shared" si="4"/>
        <v>0</v>
      </c>
      <c r="P7">
        <f t="shared" si="4"/>
        <v>0</v>
      </c>
      <c r="Q7">
        <f t="shared" si="4"/>
        <v>0</v>
      </c>
      <c r="R7">
        <f t="shared" si="4"/>
        <v>0</v>
      </c>
      <c r="S7">
        <f t="shared" si="4"/>
        <v>0</v>
      </c>
    </row>
    <row r="8" spans="4:19">
      <c r="D8" t="s">
        <v>95</v>
      </c>
      <c r="H8">
        <f>SUM($H7:H7)</f>
        <v>0</v>
      </c>
      <c r="I8">
        <f>SUM($H7:I7)</f>
        <v>0</v>
      </c>
      <c r="J8">
        <f>SUM($H7:J7)</f>
        <v>0</v>
      </c>
      <c r="K8">
        <f>SUM($H7:K7)</f>
        <v>0</v>
      </c>
      <c r="L8">
        <f>SUM($H7:L7)</f>
        <v>0</v>
      </c>
      <c r="M8">
        <f>SUM($H7:M7)</f>
        <v>0</v>
      </c>
      <c r="N8">
        <f>SUM($H7:N7)</f>
        <v>0</v>
      </c>
      <c r="O8">
        <f>SUM($H7:O7)</f>
        <v>0</v>
      </c>
      <c r="P8">
        <f>SUM($H7:P7)</f>
        <v>0</v>
      </c>
      <c r="Q8">
        <f>SUM($H7:Q7)</f>
        <v>0</v>
      </c>
      <c r="R8">
        <f>SUM($H7:R7)</f>
        <v>0</v>
      </c>
      <c r="S8">
        <f>SUM($H7:S7)</f>
        <v>0</v>
      </c>
    </row>
    <row r="9" spans="4:19">
      <c r="D9" t="s">
        <v>96</v>
      </c>
      <c r="H9">
        <f t="shared" ref="H9:S9" si="5">SUMIFS( H$25:H$57, $G$25:$G$57, H$24, $D$25:$D$57, $D$1)</f>
        <v>0</v>
      </c>
      <c r="I9">
        <f t="shared" si="5"/>
        <v>0</v>
      </c>
      <c r="J9">
        <f t="shared" si="5"/>
        <v>0</v>
      </c>
      <c r="K9">
        <f t="shared" si="5"/>
        <v>0</v>
      </c>
      <c r="L9">
        <f t="shared" si="5"/>
        <v>0</v>
      </c>
      <c r="M9">
        <f t="shared" si="5"/>
        <v>0</v>
      </c>
      <c r="N9">
        <f t="shared" si="5"/>
        <v>0</v>
      </c>
      <c r="O9">
        <f t="shared" si="5"/>
        <v>0</v>
      </c>
      <c r="P9">
        <f t="shared" si="5"/>
        <v>0</v>
      </c>
      <c r="Q9">
        <f t="shared" si="5"/>
        <v>0</v>
      </c>
      <c r="R9">
        <f t="shared" si="5"/>
        <v>0</v>
      </c>
      <c r="S9">
        <f t="shared" si="5"/>
        <v>0</v>
      </c>
    </row>
    <row r="10" spans="4:19">
      <c r="D10" t="s">
        <v>97</v>
      </c>
      <c r="H10">
        <f t="shared" ref="H10:S10" si="6">SUMIFS( U$25:U$57, $G$25:$G$57, "&lt;="&amp;H$24, $D$25:$D$57, $D$1)</f>
        <v>0</v>
      </c>
      <c r="I10">
        <f t="shared" si="6"/>
        <v>0</v>
      </c>
      <c r="J10">
        <f t="shared" si="6"/>
        <v>0</v>
      </c>
      <c r="K10">
        <f t="shared" si="6"/>
        <v>0</v>
      </c>
      <c r="L10">
        <f t="shared" si="6"/>
        <v>0</v>
      </c>
      <c r="M10">
        <f t="shared" si="6"/>
        <v>0</v>
      </c>
      <c r="N10">
        <f t="shared" si="6"/>
        <v>0</v>
      </c>
      <c r="O10">
        <f t="shared" si="6"/>
        <v>0</v>
      </c>
      <c r="P10">
        <f t="shared" si="6"/>
        <v>0</v>
      </c>
      <c r="Q10">
        <f t="shared" si="6"/>
        <v>0</v>
      </c>
      <c r="R10">
        <f t="shared" si="6"/>
        <v>0</v>
      </c>
      <c r="S10">
        <f t="shared" si="6"/>
        <v>0</v>
      </c>
    </row>
    <row r="12" spans="4:19">
      <c r="D12" s="1" t="s">
        <v>10</v>
      </c>
      <c r="E12" s="1"/>
    </row>
    <row r="13" spans="4:19">
      <c r="D13" t="s">
        <v>89</v>
      </c>
      <c r="H13">
        <f>SUMIFS(H$25:H$57, $D$25:$D$57, $D$12)</f>
        <v>8720</v>
      </c>
      <c r="I13">
        <f t="shared" ref="I13:S13" si="7">SUMIFS(I$25:I$57, $D$25:$D$57, $D$12)</f>
        <v>10630</v>
      </c>
      <c r="J13">
        <f t="shared" si="7"/>
        <v>16900</v>
      </c>
      <c r="K13">
        <f t="shared" si="7"/>
        <v>15810</v>
      </c>
      <c r="L13">
        <f t="shared" si="7"/>
        <v>18810</v>
      </c>
      <c r="M13">
        <f t="shared" si="7"/>
        <v>17720</v>
      </c>
      <c r="N13">
        <f t="shared" si="7"/>
        <v>20720</v>
      </c>
      <c r="O13">
        <f t="shared" si="7"/>
        <v>14450</v>
      </c>
      <c r="P13">
        <f t="shared" si="7"/>
        <v>27810</v>
      </c>
      <c r="Q13">
        <f t="shared" si="7"/>
        <v>29990</v>
      </c>
      <c r="R13">
        <f t="shared" si="7"/>
        <v>27810</v>
      </c>
      <c r="S13">
        <f t="shared" si="7"/>
        <v>19630</v>
      </c>
    </row>
    <row r="14" spans="4:19">
      <c r="D14" t="s">
        <v>90</v>
      </c>
      <c r="H14">
        <f>SUM($H13:H13)</f>
        <v>8720</v>
      </c>
      <c r="I14">
        <f>SUM($H13:I13)</f>
        <v>19350</v>
      </c>
      <c r="J14">
        <f>SUM($H13:J13)</f>
        <v>36250</v>
      </c>
      <c r="K14">
        <f>SUM($H13:K13)</f>
        <v>52060</v>
      </c>
      <c r="L14">
        <f>SUM($H13:L13)</f>
        <v>70870</v>
      </c>
      <c r="M14">
        <f>SUM($H13:M13)</f>
        <v>88590</v>
      </c>
      <c r="N14">
        <f>SUM($H13:N13)</f>
        <v>109310</v>
      </c>
      <c r="O14">
        <f>SUM($H13:O13)</f>
        <v>123760</v>
      </c>
      <c r="P14">
        <f>SUM($H13:P13)</f>
        <v>151570</v>
      </c>
      <c r="Q14">
        <f>SUM($H13:Q13)</f>
        <v>181560</v>
      </c>
      <c r="R14">
        <f>SUM($H13:R13)</f>
        <v>209370</v>
      </c>
      <c r="S14">
        <f>SUM($H13:S13)</f>
        <v>229000</v>
      </c>
    </row>
    <row r="15" spans="4:19">
      <c r="D15" t="s">
        <v>91</v>
      </c>
      <c r="H15" s="4">
        <f>ROUND(COUNTIFS(H$25:H$57,"&gt;0", $D$25:$D$57, $D$12)*75%, 0)+H18+ROUND(H19*35%, 0)</f>
        <v>7</v>
      </c>
      <c r="I15" s="4">
        <f t="shared" ref="I15:S15" si="8">ROUND(COUNTIFS(I$25:I$57,"&gt;0", $D$25:$D$57, $D$12)*75%, 0)+I18+ROUND(I19*35%, 0)</f>
        <v>9</v>
      </c>
      <c r="J15" s="4">
        <f t="shared" si="8"/>
        <v>11</v>
      </c>
      <c r="K15" s="4">
        <f t="shared" si="8"/>
        <v>10</v>
      </c>
      <c r="L15" s="4">
        <f t="shared" si="8"/>
        <v>11</v>
      </c>
      <c r="M15" s="4">
        <f t="shared" si="8"/>
        <v>11</v>
      </c>
      <c r="N15" s="4">
        <f t="shared" si="8"/>
        <v>11</v>
      </c>
      <c r="O15" s="4">
        <f t="shared" si="8"/>
        <v>12</v>
      </c>
      <c r="P15" s="4">
        <f t="shared" si="8"/>
        <v>12</v>
      </c>
      <c r="Q15" s="4">
        <f t="shared" si="8"/>
        <v>13</v>
      </c>
      <c r="R15" s="4">
        <f t="shared" si="8"/>
        <v>13</v>
      </c>
      <c r="S15" s="4">
        <f t="shared" si="8"/>
        <v>13</v>
      </c>
    </row>
    <row r="16" spans="4:19">
      <c r="D16" t="s">
        <v>92</v>
      </c>
      <c r="H16" s="4">
        <f>H15</f>
        <v>7</v>
      </c>
      <c r="I16" s="4">
        <f>I15</f>
        <v>9</v>
      </c>
      <c r="J16">
        <f t="shared" ref="J16:S16" si="9">J17</f>
        <v>13</v>
      </c>
      <c r="K16">
        <f t="shared" si="9"/>
        <v>14</v>
      </c>
      <c r="L16">
        <f t="shared" si="9"/>
        <v>15</v>
      </c>
      <c r="M16">
        <f t="shared" si="9"/>
        <v>16</v>
      </c>
      <c r="N16">
        <f t="shared" si="9"/>
        <v>17</v>
      </c>
      <c r="O16">
        <f t="shared" si="9"/>
        <v>18</v>
      </c>
      <c r="P16">
        <f t="shared" si="9"/>
        <v>19</v>
      </c>
      <c r="Q16">
        <f t="shared" si="9"/>
        <v>20</v>
      </c>
      <c r="R16">
        <f t="shared" si="9"/>
        <v>21</v>
      </c>
      <c r="S16">
        <f t="shared" si="9"/>
        <v>22</v>
      </c>
    </row>
    <row r="17" spans="2:32">
      <c r="D17" t="s">
        <v>93</v>
      </c>
      <c r="H17">
        <f t="shared" ref="H17:S17" si="10">COUNTIFS($F$25:$F$57,"Yes", $D$25:$D$57, $D$12)+COUNTIFS( $G$25:$G$57, "&lt;="&amp;H$24, $D$25:$D$57, $D$12)+H19</f>
        <v>10</v>
      </c>
      <c r="I17">
        <f t="shared" si="10"/>
        <v>11</v>
      </c>
      <c r="J17">
        <f t="shared" si="10"/>
        <v>13</v>
      </c>
      <c r="K17">
        <f t="shared" si="10"/>
        <v>14</v>
      </c>
      <c r="L17">
        <f t="shared" si="10"/>
        <v>15</v>
      </c>
      <c r="M17">
        <f t="shared" si="10"/>
        <v>16</v>
      </c>
      <c r="N17">
        <f t="shared" si="10"/>
        <v>17</v>
      </c>
      <c r="O17">
        <f t="shared" si="10"/>
        <v>18</v>
      </c>
      <c r="P17">
        <f t="shared" si="10"/>
        <v>19</v>
      </c>
      <c r="Q17">
        <f t="shared" si="10"/>
        <v>20</v>
      </c>
      <c r="R17">
        <f t="shared" si="10"/>
        <v>21</v>
      </c>
      <c r="S17">
        <f t="shared" si="10"/>
        <v>22</v>
      </c>
    </row>
    <row r="18" spans="2:32">
      <c r="D18" t="s">
        <v>94</v>
      </c>
      <c r="H18">
        <v>0</v>
      </c>
      <c r="I18">
        <v>1</v>
      </c>
      <c r="J18">
        <v>2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2:32">
      <c r="D19" t="s">
        <v>95</v>
      </c>
      <c r="H19">
        <f>SUM($H18:H18)</f>
        <v>0</v>
      </c>
      <c r="I19">
        <f>SUM($H18:I18)</f>
        <v>1</v>
      </c>
      <c r="J19">
        <f>SUM($H18:J18)</f>
        <v>3</v>
      </c>
      <c r="K19">
        <f>SUM($H18:K18)</f>
        <v>4</v>
      </c>
      <c r="L19">
        <f>SUM($H18:L18)</f>
        <v>5</v>
      </c>
      <c r="M19">
        <f>SUM($H18:M18)</f>
        <v>6</v>
      </c>
      <c r="N19">
        <f>SUM($H18:N18)</f>
        <v>7</v>
      </c>
      <c r="O19">
        <f>SUM($H18:O18)</f>
        <v>8</v>
      </c>
      <c r="P19">
        <f>SUM($H18:P18)</f>
        <v>9</v>
      </c>
      <c r="Q19">
        <f>SUM($H18:Q18)</f>
        <v>10</v>
      </c>
      <c r="R19">
        <f>SUM($H18:R18)</f>
        <v>11</v>
      </c>
      <c r="S19">
        <f>SUM($H18:S18)</f>
        <v>12</v>
      </c>
    </row>
    <row r="20" spans="2:32">
      <c r="D20" t="s">
        <v>96</v>
      </c>
      <c r="H20">
        <f>H18*3000</f>
        <v>0</v>
      </c>
      <c r="I20">
        <f t="shared" ref="I20:S20" si="11">I18*3000</f>
        <v>3000</v>
      </c>
      <c r="J20">
        <f t="shared" si="11"/>
        <v>6000</v>
      </c>
      <c r="K20">
        <f t="shared" si="11"/>
        <v>3000</v>
      </c>
      <c r="L20">
        <f t="shared" si="11"/>
        <v>3000</v>
      </c>
      <c r="M20">
        <f t="shared" si="11"/>
        <v>3000</v>
      </c>
      <c r="N20">
        <f t="shared" si="11"/>
        <v>3000</v>
      </c>
      <c r="O20">
        <f t="shared" si="11"/>
        <v>3000</v>
      </c>
      <c r="P20">
        <f t="shared" si="11"/>
        <v>3000</v>
      </c>
      <c r="Q20">
        <f t="shared" si="11"/>
        <v>3000</v>
      </c>
      <c r="R20">
        <f t="shared" si="11"/>
        <v>3000</v>
      </c>
      <c r="S20">
        <f t="shared" si="11"/>
        <v>3000</v>
      </c>
    </row>
    <row r="21" spans="2:32">
      <c r="D21" t="s">
        <v>97</v>
      </c>
      <c r="H21" s="4">
        <f>SUM($H41:H41)</f>
        <v>0</v>
      </c>
      <c r="I21" s="4">
        <f>SUM($H41:I41)</f>
        <v>3000</v>
      </c>
      <c r="J21" s="4">
        <f>SUM($H41:J41)</f>
        <v>9000</v>
      </c>
      <c r="K21" s="4">
        <f>SUM($H41:K41)</f>
        <v>15000</v>
      </c>
      <c r="L21" s="4">
        <f>SUM($H41:L41)</f>
        <v>24000</v>
      </c>
      <c r="M21" s="4">
        <f>SUM($H41:M41)</f>
        <v>33000</v>
      </c>
      <c r="N21" s="4">
        <f>SUM($H41:N41)</f>
        <v>45000</v>
      </c>
      <c r="O21" s="4">
        <f>SUM($H41:O41)</f>
        <v>54000</v>
      </c>
      <c r="P21" s="4">
        <f>SUM($H41:P41)</f>
        <v>72000</v>
      </c>
      <c r="Q21" s="4">
        <f>SUM($H41:Q41)</f>
        <v>90000</v>
      </c>
      <c r="R21" s="4">
        <f>SUM($H41:R41)</f>
        <v>108000</v>
      </c>
      <c r="S21" s="4">
        <f>SUM($H41:S41)</f>
        <v>120000</v>
      </c>
    </row>
    <row r="23" spans="2:32">
      <c r="H23">
        <v>73</v>
      </c>
      <c r="I23">
        <f>H23+3</f>
        <v>76</v>
      </c>
      <c r="J23">
        <f t="shared" ref="J23:S23" si="12">I23+3</f>
        <v>79</v>
      </c>
      <c r="K23">
        <f t="shared" si="12"/>
        <v>82</v>
      </c>
      <c r="L23">
        <f t="shared" si="12"/>
        <v>85</v>
      </c>
      <c r="M23">
        <f t="shared" si="12"/>
        <v>88</v>
      </c>
      <c r="N23">
        <f t="shared" si="12"/>
        <v>91</v>
      </c>
      <c r="O23">
        <f t="shared" si="12"/>
        <v>94</v>
      </c>
      <c r="P23">
        <f t="shared" si="12"/>
        <v>97</v>
      </c>
      <c r="Q23">
        <f t="shared" si="12"/>
        <v>100</v>
      </c>
      <c r="R23">
        <f t="shared" si="12"/>
        <v>103</v>
      </c>
      <c r="S23">
        <f t="shared" si="12"/>
        <v>106</v>
      </c>
    </row>
    <row r="24" spans="2:32">
      <c r="D24" t="s">
        <v>98</v>
      </c>
      <c r="E24" t="s">
        <v>69</v>
      </c>
      <c r="F24" t="s">
        <v>99</v>
      </c>
      <c r="G24" t="s">
        <v>100</v>
      </c>
      <c r="H24" s="2">
        <v>45658</v>
      </c>
      <c r="I24" s="2">
        <v>45689</v>
      </c>
      <c r="J24" s="2">
        <v>45717</v>
      </c>
      <c r="K24" s="2">
        <v>45748</v>
      </c>
      <c r="L24" s="2">
        <v>45778</v>
      </c>
      <c r="M24" s="2">
        <v>45809</v>
      </c>
      <c r="N24" s="2">
        <v>45839</v>
      </c>
      <c r="O24" s="2">
        <v>45870</v>
      </c>
      <c r="P24" s="2">
        <v>45901</v>
      </c>
      <c r="Q24" s="2">
        <v>45931</v>
      </c>
      <c r="R24" s="2">
        <v>45962</v>
      </c>
      <c r="S24" s="2">
        <v>45992</v>
      </c>
      <c r="U24" s="2">
        <v>45658</v>
      </c>
      <c r="V24" s="2">
        <v>45689</v>
      </c>
      <c r="W24" s="2">
        <v>45717</v>
      </c>
      <c r="X24" s="2">
        <v>45748</v>
      </c>
      <c r="Y24" s="2">
        <v>45778</v>
      </c>
      <c r="Z24" s="2">
        <v>45809</v>
      </c>
      <c r="AA24" s="2">
        <v>45839</v>
      </c>
      <c r="AB24" s="2">
        <v>45870</v>
      </c>
      <c r="AC24" s="2">
        <v>45901</v>
      </c>
      <c r="AD24" s="2">
        <v>45931</v>
      </c>
      <c r="AE24" s="2">
        <v>45962</v>
      </c>
      <c r="AF24" s="2">
        <v>45992</v>
      </c>
    </row>
    <row r="25" spans="2:32">
      <c r="B25">
        <v>51101</v>
      </c>
      <c r="C25" t="s">
        <v>63</v>
      </c>
      <c r="D25" t="s">
        <v>11</v>
      </c>
      <c r="E25" t="str">
        <f>IF(D25="Spa",VLOOKUP($B25,Mapping!$A:$D,4,0), D25)</f>
        <v>Retail</v>
      </c>
      <c r="F25" t="s">
        <v>83</v>
      </c>
      <c r="G25" t="s">
        <v>101</v>
      </c>
      <c r="H25" s="6">
        <v>8000</v>
      </c>
      <c r="I25" s="6">
        <v>7000.0000000000009</v>
      </c>
      <c r="J25" s="6">
        <v>10000</v>
      </c>
      <c r="K25" s="6">
        <v>9000</v>
      </c>
      <c r="L25" s="6">
        <v>9000</v>
      </c>
      <c r="M25" s="6">
        <v>8000</v>
      </c>
      <c r="N25" s="6">
        <v>8000</v>
      </c>
      <c r="O25" s="6">
        <v>5000</v>
      </c>
      <c r="P25" s="6">
        <v>9000</v>
      </c>
      <c r="Q25" s="6">
        <v>11000</v>
      </c>
      <c r="R25" s="6">
        <v>9000</v>
      </c>
      <c r="S25" s="6">
        <v>7000.0000000000009</v>
      </c>
      <c r="U25" s="4">
        <f>SUM($H25:H25)</f>
        <v>8000</v>
      </c>
      <c r="V25" s="4">
        <f>SUM($H25:I25)</f>
        <v>15000</v>
      </c>
      <c r="W25" s="4">
        <f>SUM($H25:J25)</f>
        <v>25000</v>
      </c>
      <c r="X25" s="4">
        <f>SUM($H25:K25)</f>
        <v>34000</v>
      </c>
      <c r="Y25" s="4">
        <f>SUM($H25:L25)</f>
        <v>43000</v>
      </c>
      <c r="Z25" s="4">
        <f>SUM($H25:M25)</f>
        <v>51000</v>
      </c>
      <c r="AA25" s="4">
        <f>SUM($H25:N25)</f>
        <v>59000</v>
      </c>
      <c r="AB25" s="4">
        <f>SUM($H25:O25)</f>
        <v>64000</v>
      </c>
      <c r="AC25" s="4">
        <f>SUM($H25:P25)</f>
        <v>73000</v>
      </c>
      <c r="AD25" s="4">
        <f>SUM($H25:Q25)</f>
        <v>84000</v>
      </c>
      <c r="AE25" s="4">
        <f>SUM($H25:R25)</f>
        <v>93000</v>
      </c>
      <c r="AF25" s="4">
        <f>SUM($H25:S25)</f>
        <v>100000</v>
      </c>
    </row>
    <row r="26" spans="2:32">
      <c r="B26">
        <v>51172</v>
      </c>
      <c r="C26" t="s">
        <v>64</v>
      </c>
      <c r="D26" t="s">
        <v>11</v>
      </c>
      <c r="E26" t="str">
        <f>IF(D26="Spa",VLOOKUP($B26,Mapping!$A:$D,4,0), D26)</f>
        <v>Retail</v>
      </c>
      <c r="F26" t="s">
        <v>83</v>
      </c>
      <c r="G26" t="s">
        <v>101</v>
      </c>
      <c r="H26" s="6">
        <v>2800</v>
      </c>
      <c r="I26" s="6">
        <v>2450.0000000000005</v>
      </c>
      <c r="J26" s="6">
        <v>3500</v>
      </c>
      <c r="K26" s="6">
        <v>3150</v>
      </c>
      <c r="L26" s="6">
        <v>3150</v>
      </c>
      <c r="M26" s="6">
        <v>2800</v>
      </c>
      <c r="N26" s="6">
        <v>2800</v>
      </c>
      <c r="O26" s="6">
        <v>1750</v>
      </c>
      <c r="P26" s="6">
        <v>3150</v>
      </c>
      <c r="Q26" s="6">
        <v>3850</v>
      </c>
      <c r="R26" s="6">
        <v>3150</v>
      </c>
      <c r="S26" s="6">
        <v>2450.0000000000005</v>
      </c>
      <c r="U26" s="4">
        <f>SUM($H26:H26)</f>
        <v>2800</v>
      </c>
      <c r="V26" s="4">
        <f>SUM($H26:I26)</f>
        <v>5250</v>
      </c>
      <c r="W26" s="4">
        <f>SUM($H26:J26)</f>
        <v>8750</v>
      </c>
      <c r="X26" s="4">
        <f>SUM($H26:K26)</f>
        <v>11900</v>
      </c>
      <c r="Y26" s="4">
        <f>SUM($H26:L26)</f>
        <v>15050</v>
      </c>
      <c r="Z26" s="4">
        <f>SUM($H26:M26)</f>
        <v>17850</v>
      </c>
      <c r="AA26" s="4">
        <f>SUM($H26:N26)</f>
        <v>20650</v>
      </c>
      <c r="AB26" s="4">
        <f>SUM($H26:O26)</f>
        <v>22400</v>
      </c>
      <c r="AC26" s="4">
        <f>SUM($H26:P26)</f>
        <v>25550</v>
      </c>
      <c r="AD26" s="4">
        <f>SUM($H26:Q26)</f>
        <v>29400</v>
      </c>
      <c r="AE26" s="4">
        <f>SUM($H26:R26)</f>
        <v>32550</v>
      </c>
      <c r="AF26" s="4">
        <f>SUM($H26:S26)</f>
        <v>35000</v>
      </c>
    </row>
    <row r="27" spans="2:32">
      <c r="B27">
        <v>51175</v>
      </c>
      <c r="C27" t="s">
        <v>66</v>
      </c>
      <c r="D27" t="s">
        <v>68</v>
      </c>
      <c r="E27" t="str">
        <f>IF(D27="Spa",VLOOKUP($B27,Mapping!$A:$D,4,0), D27)</f>
        <v>eTailers</v>
      </c>
      <c r="F27" t="s">
        <v>83</v>
      </c>
      <c r="G27" t="s">
        <v>101</v>
      </c>
      <c r="H27" s="6">
        <v>400</v>
      </c>
      <c r="I27" s="6">
        <v>350.00000000000006</v>
      </c>
      <c r="J27" s="6">
        <v>500</v>
      </c>
      <c r="K27" s="6">
        <v>450</v>
      </c>
      <c r="L27" s="6">
        <v>450</v>
      </c>
      <c r="M27" s="6">
        <v>400</v>
      </c>
      <c r="N27" s="6">
        <v>400</v>
      </c>
      <c r="O27" s="6">
        <v>250</v>
      </c>
      <c r="P27" s="6">
        <v>450</v>
      </c>
      <c r="Q27" s="6">
        <v>550</v>
      </c>
      <c r="R27" s="6">
        <v>450</v>
      </c>
      <c r="S27" s="6">
        <v>350.00000000000006</v>
      </c>
      <c r="U27" s="4">
        <f>SUM($H27:H27)</f>
        <v>400</v>
      </c>
      <c r="V27" s="4">
        <f>SUM($H27:I27)</f>
        <v>750</v>
      </c>
      <c r="W27" s="4">
        <f>SUM($H27:J27)</f>
        <v>1250</v>
      </c>
      <c r="X27" s="4">
        <f>SUM($H27:K27)</f>
        <v>1700</v>
      </c>
      <c r="Y27" s="4">
        <f>SUM($H27:L27)</f>
        <v>2150</v>
      </c>
      <c r="Z27" s="4">
        <f>SUM($H27:M27)</f>
        <v>2550</v>
      </c>
      <c r="AA27" s="4">
        <f>SUM($H27:N27)</f>
        <v>2950</v>
      </c>
      <c r="AB27" s="4">
        <f>SUM($H27:O27)</f>
        <v>3200</v>
      </c>
      <c r="AC27" s="4">
        <f>SUM($H27:P27)</f>
        <v>3650</v>
      </c>
      <c r="AD27" s="4">
        <f>SUM($H27:Q27)</f>
        <v>4200</v>
      </c>
      <c r="AE27" s="4">
        <f>SUM($H27:R27)</f>
        <v>4650</v>
      </c>
      <c r="AF27" s="4">
        <f>SUM($H27:S27)</f>
        <v>5000</v>
      </c>
    </row>
    <row r="28" spans="2:32">
      <c r="B28">
        <v>51176</v>
      </c>
      <c r="C28" t="s">
        <v>67</v>
      </c>
      <c r="D28" t="s">
        <v>68</v>
      </c>
      <c r="E28" t="str">
        <f>IF(D28="Spa",VLOOKUP($B28,Mapping!$A:$D,4,0), D28)</f>
        <v>eTailers</v>
      </c>
      <c r="F28" t="s">
        <v>83</v>
      </c>
      <c r="G28" t="s">
        <v>101</v>
      </c>
      <c r="H28" s="6">
        <v>800</v>
      </c>
      <c r="I28" s="6">
        <v>700.00000000000011</v>
      </c>
      <c r="J28" s="6">
        <v>1000</v>
      </c>
      <c r="K28" s="6">
        <v>900</v>
      </c>
      <c r="L28" s="6">
        <v>900</v>
      </c>
      <c r="M28" s="6">
        <v>800</v>
      </c>
      <c r="N28" s="6">
        <v>800</v>
      </c>
      <c r="O28" s="6">
        <v>500</v>
      </c>
      <c r="P28" s="6">
        <v>900</v>
      </c>
      <c r="Q28" s="6">
        <v>1100</v>
      </c>
      <c r="R28" s="6">
        <v>900</v>
      </c>
      <c r="S28" s="6">
        <v>700.00000000000011</v>
      </c>
      <c r="U28" s="4">
        <f>SUM($H28:H28)</f>
        <v>800</v>
      </c>
      <c r="V28" s="4">
        <f>SUM($H28:I28)</f>
        <v>1500</v>
      </c>
      <c r="W28" s="4">
        <f>SUM($H28:J28)</f>
        <v>2500</v>
      </c>
      <c r="X28" s="4">
        <f>SUM($H28:K28)</f>
        <v>3400</v>
      </c>
      <c r="Y28" s="4">
        <f>SUM($H28:L28)</f>
        <v>4300</v>
      </c>
      <c r="Z28" s="4">
        <f>SUM($H28:M28)</f>
        <v>5100</v>
      </c>
      <c r="AA28" s="4">
        <f>SUM($H28:N28)</f>
        <v>5900</v>
      </c>
      <c r="AB28" s="4">
        <f>SUM($H28:O28)</f>
        <v>6400</v>
      </c>
      <c r="AC28" s="4">
        <f>SUM($H28:P28)</f>
        <v>7300</v>
      </c>
      <c r="AD28" s="4">
        <f>SUM($H28:Q28)</f>
        <v>8400</v>
      </c>
      <c r="AE28" s="4">
        <f>SUM($H28:R28)</f>
        <v>9300</v>
      </c>
      <c r="AF28" s="4">
        <f>SUM($H28:S28)</f>
        <v>10000</v>
      </c>
    </row>
    <row r="29" spans="2:32">
      <c r="B29">
        <v>51183</v>
      </c>
      <c r="C29" t="s">
        <v>65</v>
      </c>
      <c r="D29" t="s">
        <v>11</v>
      </c>
      <c r="E29" t="str">
        <f>IF(D29="Spa",VLOOKUP($B29,Mapping!$A:$D,4,0), D29)</f>
        <v>Retail</v>
      </c>
      <c r="F29" t="s">
        <v>83</v>
      </c>
      <c r="G29" s="2" t="s">
        <v>101</v>
      </c>
      <c r="H29" s="6">
        <v>160</v>
      </c>
      <c r="I29" s="6">
        <v>140</v>
      </c>
      <c r="J29" s="6">
        <v>200</v>
      </c>
      <c r="K29" s="6">
        <v>180</v>
      </c>
      <c r="L29" s="6">
        <v>180</v>
      </c>
      <c r="M29" s="6">
        <v>160</v>
      </c>
      <c r="N29" s="6">
        <v>160</v>
      </c>
      <c r="O29" s="6">
        <v>100</v>
      </c>
      <c r="P29" s="6">
        <v>180</v>
      </c>
      <c r="Q29" s="6">
        <v>220</v>
      </c>
      <c r="R29" s="6">
        <v>180</v>
      </c>
      <c r="S29" s="6">
        <v>140</v>
      </c>
      <c r="U29" s="4">
        <f>SUM($H29:H29)</f>
        <v>160</v>
      </c>
      <c r="V29" s="4">
        <f>SUM($H29:I29)</f>
        <v>300</v>
      </c>
      <c r="W29" s="4">
        <f>SUM($H29:J29)</f>
        <v>500</v>
      </c>
      <c r="X29" s="4">
        <f>SUM($H29:K29)</f>
        <v>680</v>
      </c>
      <c r="Y29" s="4">
        <f>SUM($H29:L29)</f>
        <v>860</v>
      </c>
      <c r="Z29" s="4">
        <f>SUM($H29:M29)</f>
        <v>1020</v>
      </c>
      <c r="AA29" s="4">
        <f>SUM($H29:N29)</f>
        <v>1180</v>
      </c>
      <c r="AB29" s="4">
        <f>SUM($H29:O29)</f>
        <v>1280</v>
      </c>
      <c r="AC29" s="4">
        <f>SUM($H29:P29)</f>
        <v>1460</v>
      </c>
      <c r="AD29" s="4">
        <f>SUM($H29:Q29)</f>
        <v>1680</v>
      </c>
      <c r="AE29" s="4">
        <f>SUM($H29:R29)</f>
        <v>1860</v>
      </c>
      <c r="AF29" s="4">
        <f>SUM($H29:S29)</f>
        <v>2000</v>
      </c>
    </row>
    <row r="30" spans="2:32">
      <c r="B30">
        <v>51184</v>
      </c>
      <c r="C30" t="s">
        <v>37</v>
      </c>
      <c r="D30" t="s">
        <v>10</v>
      </c>
      <c r="E30" t="str">
        <f>IF(D30="Spa",VLOOKUP($B30,Mapping!$A:$D,4,0), D30)</f>
        <v>Spas / Hotels</v>
      </c>
      <c r="F30" t="s">
        <v>83</v>
      </c>
      <c r="G30" t="s">
        <v>101</v>
      </c>
      <c r="H30" s="6">
        <v>1600</v>
      </c>
      <c r="I30" s="6">
        <v>1400.0000000000002</v>
      </c>
      <c r="J30" s="6">
        <v>2000</v>
      </c>
      <c r="K30" s="6">
        <v>1800</v>
      </c>
      <c r="L30" s="6">
        <v>1800</v>
      </c>
      <c r="M30" s="6">
        <v>1600</v>
      </c>
      <c r="N30" s="6">
        <v>1600</v>
      </c>
      <c r="O30" s="6">
        <v>1000</v>
      </c>
      <c r="P30" s="6">
        <v>1800</v>
      </c>
      <c r="Q30" s="6">
        <v>2200</v>
      </c>
      <c r="R30" s="6">
        <v>1800</v>
      </c>
      <c r="S30" s="6">
        <v>1400.0000000000002</v>
      </c>
      <c r="U30" s="4">
        <f>SUM($H30:H30)</f>
        <v>1600</v>
      </c>
      <c r="V30" s="4">
        <f>SUM($H30:I30)</f>
        <v>3000</v>
      </c>
      <c r="W30" s="4">
        <f>SUM($H30:J30)</f>
        <v>5000</v>
      </c>
      <c r="X30" s="4">
        <f>SUM($H30:K30)</f>
        <v>6800</v>
      </c>
      <c r="Y30" s="4">
        <f>SUM($H30:L30)</f>
        <v>8600</v>
      </c>
      <c r="Z30" s="4">
        <f>SUM($H30:M30)</f>
        <v>10200</v>
      </c>
      <c r="AA30" s="4">
        <f>SUM($H30:N30)</f>
        <v>11800</v>
      </c>
      <c r="AB30" s="4">
        <f>SUM($H30:O30)</f>
        <v>12800</v>
      </c>
      <c r="AC30" s="4">
        <f>SUM($H30:P30)</f>
        <v>14600</v>
      </c>
      <c r="AD30" s="4">
        <f>SUM($H30:Q30)</f>
        <v>16800</v>
      </c>
      <c r="AE30" s="4">
        <f>SUM($H30:R30)</f>
        <v>18600</v>
      </c>
      <c r="AF30" s="4">
        <f>SUM($H30:S30)</f>
        <v>20000</v>
      </c>
    </row>
    <row r="31" spans="2:32">
      <c r="B31">
        <v>51185</v>
      </c>
      <c r="C31" t="s">
        <v>38</v>
      </c>
      <c r="D31" t="s">
        <v>10</v>
      </c>
      <c r="E31" t="str">
        <f>IF(D31="Spa",VLOOKUP($B31,Mapping!$A:$D,4,0), D31)</f>
        <v>Spas / Hotels</v>
      </c>
      <c r="F31" t="s">
        <v>83</v>
      </c>
      <c r="G31" t="s">
        <v>101</v>
      </c>
      <c r="H31" s="6">
        <v>400</v>
      </c>
      <c r="I31" s="6">
        <v>350.00000000000006</v>
      </c>
      <c r="J31" s="6">
        <v>500</v>
      </c>
      <c r="K31" s="6">
        <v>450</v>
      </c>
      <c r="L31" s="6">
        <v>450</v>
      </c>
      <c r="M31" s="6">
        <v>400</v>
      </c>
      <c r="N31" s="6">
        <v>400</v>
      </c>
      <c r="O31" s="6">
        <v>250</v>
      </c>
      <c r="P31" s="6">
        <v>450</v>
      </c>
      <c r="Q31" s="6">
        <v>550</v>
      </c>
      <c r="R31" s="6">
        <v>450</v>
      </c>
      <c r="S31" s="6">
        <v>350.00000000000006</v>
      </c>
      <c r="U31" s="4">
        <f>SUM($H31:H31)</f>
        <v>400</v>
      </c>
      <c r="V31" s="4">
        <f>SUM($H31:I31)</f>
        <v>750</v>
      </c>
      <c r="W31" s="4">
        <f>SUM($H31:J31)</f>
        <v>1250</v>
      </c>
      <c r="X31" s="4">
        <f>SUM($H31:K31)</f>
        <v>1700</v>
      </c>
      <c r="Y31" s="4">
        <f>SUM($H31:L31)</f>
        <v>2150</v>
      </c>
      <c r="Z31" s="4">
        <f>SUM($H31:M31)</f>
        <v>2550</v>
      </c>
      <c r="AA31" s="4">
        <f>SUM($H31:N31)</f>
        <v>2950</v>
      </c>
      <c r="AB31" s="4">
        <f>SUM($H31:O31)</f>
        <v>3200</v>
      </c>
      <c r="AC31" s="4">
        <f>SUM($H31:P31)</f>
        <v>3650</v>
      </c>
      <c r="AD31" s="4">
        <f>SUM($H31:Q31)</f>
        <v>4200</v>
      </c>
      <c r="AE31" s="4">
        <f>SUM($H31:R31)</f>
        <v>4650</v>
      </c>
      <c r="AF31" s="4">
        <f>SUM($H31:S31)</f>
        <v>5000</v>
      </c>
    </row>
    <row r="32" spans="2:32">
      <c r="B32">
        <v>51186</v>
      </c>
      <c r="C32" t="s">
        <v>39</v>
      </c>
      <c r="D32" t="s">
        <v>10</v>
      </c>
      <c r="E32" t="str">
        <f>IF(D32="Spa",VLOOKUP($B32,Mapping!$A:$D,4,0), D32)</f>
        <v>Spas / Hotels</v>
      </c>
      <c r="F32" t="s">
        <v>83</v>
      </c>
      <c r="G32" t="s">
        <v>101</v>
      </c>
      <c r="H32" s="6">
        <v>800</v>
      </c>
      <c r="I32" s="6">
        <v>700.00000000000011</v>
      </c>
      <c r="J32" s="6">
        <v>1000</v>
      </c>
      <c r="K32" s="6">
        <v>900</v>
      </c>
      <c r="L32" s="6">
        <v>900</v>
      </c>
      <c r="M32" s="6">
        <v>800</v>
      </c>
      <c r="N32" s="6">
        <v>800</v>
      </c>
      <c r="O32" s="6">
        <v>500</v>
      </c>
      <c r="P32" s="6">
        <v>900</v>
      </c>
      <c r="Q32" s="6">
        <v>1100</v>
      </c>
      <c r="R32" s="6">
        <v>900</v>
      </c>
      <c r="S32" s="6">
        <v>700.00000000000011</v>
      </c>
      <c r="U32" s="4">
        <f>SUM($H32:H32)</f>
        <v>800</v>
      </c>
      <c r="V32" s="4">
        <f>SUM($H32:I32)</f>
        <v>1500</v>
      </c>
      <c r="W32" s="4">
        <f>SUM($H32:J32)</f>
        <v>2500</v>
      </c>
      <c r="X32" s="4">
        <f>SUM($H32:K32)</f>
        <v>3400</v>
      </c>
      <c r="Y32" s="4">
        <f>SUM($H32:L32)</f>
        <v>4300</v>
      </c>
      <c r="Z32" s="4">
        <f>SUM($H32:M32)</f>
        <v>5100</v>
      </c>
      <c r="AA32" s="4">
        <f>SUM($H32:N32)</f>
        <v>5900</v>
      </c>
      <c r="AB32" s="4">
        <f>SUM($H32:O32)</f>
        <v>6400</v>
      </c>
      <c r="AC32" s="4">
        <f>SUM($H32:P32)</f>
        <v>7300</v>
      </c>
      <c r="AD32" s="4">
        <f>SUM($H32:Q32)</f>
        <v>8400</v>
      </c>
      <c r="AE32" s="4">
        <f>SUM($H32:R32)</f>
        <v>9300</v>
      </c>
      <c r="AF32" s="4">
        <f>SUM($H32:S32)</f>
        <v>10000</v>
      </c>
    </row>
    <row r="33" spans="2:32">
      <c r="B33">
        <v>51187</v>
      </c>
      <c r="C33" t="s">
        <v>40</v>
      </c>
      <c r="D33" t="s">
        <v>10</v>
      </c>
      <c r="E33" t="str">
        <f>IF(D33="Spa",VLOOKUP($B33,Mapping!$A:$D,4,0), D33)</f>
        <v>Institutes / Clinics</v>
      </c>
      <c r="F33" t="s">
        <v>83</v>
      </c>
      <c r="G33" t="s">
        <v>101</v>
      </c>
      <c r="H33" s="6">
        <v>160</v>
      </c>
      <c r="I33" s="6">
        <v>140</v>
      </c>
      <c r="J33" s="6">
        <v>200</v>
      </c>
      <c r="K33" s="6">
        <v>180</v>
      </c>
      <c r="L33" s="6">
        <v>180</v>
      </c>
      <c r="M33" s="6">
        <v>160</v>
      </c>
      <c r="N33" s="6">
        <v>160</v>
      </c>
      <c r="O33" s="6">
        <v>100</v>
      </c>
      <c r="P33" s="6">
        <v>180</v>
      </c>
      <c r="Q33" s="6">
        <v>220</v>
      </c>
      <c r="R33" s="6">
        <v>180</v>
      </c>
      <c r="S33" s="6">
        <v>140</v>
      </c>
      <c r="U33" s="4">
        <f>SUM($H33:H33)</f>
        <v>160</v>
      </c>
      <c r="V33" s="4">
        <f>SUM($H33:I33)</f>
        <v>300</v>
      </c>
      <c r="W33" s="4">
        <f>SUM($H33:J33)</f>
        <v>500</v>
      </c>
      <c r="X33" s="4">
        <f>SUM($H33:K33)</f>
        <v>680</v>
      </c>
      <c r="Y33" s="4">
        <f>SUM($H33:L33)</f>
        <v>860</v>
      </c>
      <c r="Z33" s="4">
        <f>SUM($H33:M33)</f>
        <v>1020</v>
      </c>
      <c r="AA33" s="4">
        <f>SUM($H33:N33)</f>
        <v>1180</v>
      </c>
      <c r="AB33" s="4">
        <f>SUM($H33:O33)</f>
        <v>1280</v>
      </c>
      <c r="AC33" s="4">
        <f>SUM($H33:P33)</f>
        <v>1460</v>
      </c>
      <c r="AD33" s="4">
        <f>SUM($H33:Q33)</f>
        <v>1680</v>
      </c>
      <c r="AE33" s="4">
        <f>SUM($H33:R33)</f>
        <v>1860</v>
      </c>
      <c r="AF33" s="4">
        <f>SUM($H33:S33)</f>
        <v>2000</v>
      </c>
    </row>
    <row r="34" spans="2:32">
      <c r="B34">
        <v>53000</v>
      </c>
      <c r="C34" t="s">
        <v>42</v>
      </c>
      <c r="D34" t="s">
        <v>10</v>
      </c>
      <c r="E34" t="str">
        <f>IF(D34="Spa",VLOOKUP($B34,Mapping!$A:$D,4,0), D34)</f>
        <v>Institutes / Clinics</v>
      </c>
      <c r="F34" t="s">
        <v>83</v>
      </c>
      <c r="G34" t="s">
        <v>101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U34" s="4">
        <f>SUM($H34:H34)</f>
        <v>0</v>
      </c>
      <c r="V34" s="4">
        <f>SUM($H34:I34)</f>
        <v>0</v>
      </c>
      <c r="W34" s="4">
        <f>SUM($H34:J34)</f>
        <v>0</v>
      </c>
      <c r="X34" s="4">
        <f>SUM($H34:K34)</f>
        <v>0</v>
      </c>
      <c r="Y34" s="4">
        <f>SUM($H34:L34)</f>
        <v>0</v>
      </c>
      <c r="Z34" s="4">
        <f>SUM($H34:M34)</f>
        <v>0</v>
      </c>
      <c r="AA34" s="4">
        <f>SUM($H34:N34)</f>
        <v>0</v>
      </c>
      <c r="AB34" s="4">
        <f>SUM($H34:O34)</f>
        <v>0</v>
      </c>
      <c r="AC34" s="4">
        <f>SUM($H34:P34)</f>
        <v>0</v>
      </c>
      <c r="AD34" s="4">
        <f>SUM($H34:Q34)</f>
        <v>0</v>
      </c>
      <c r="AE34" s="4">
        <f>SUM($H34:R34)</f>
        <v>0</v>
      </c>
      <c r="AF34" s="4">
        <f>SUM($H34:S34)</f>
        <v>0</v>
      </c>
    </row>
    <row r="35" spans="2:32">
      <c r="B35">
        <v>53014</v>
      </c>
      <c r="C35" t="s">
        <v>43</v>
      </c>
      <c r="D35" t="s">
        <v>10</v>
      </c>
      <c r="E35" t="str">
        <f>IF(D35="Spa",VLOOKUP($B35,Mapping!$A:$D,4,0), D35)</f>
        <v>Institutes / Clinics</v>
      </c>
      <c r="F35" t="s">
        <v>83</v>
      </c>
      <c r="G35" t="s">
        <v>101</v>
      </c>
      <c r="H35" s="6">
        <v>960</v>
      </c>
      <c r="I35" s="6">
        <v>840.00000000000011</v>
      </c>
      <c r="J35" s="6">
        <v>1200</v>
      </c>
      <c r="K35" s="6">
        <v>1080</v>
      </c>
      <c r="L35" s="6">
        <v>1080</v>
      </c>
      <c r="M35" s="6">
        <v>960</v>
      </c>
      <c r="N35" s="6">
        <v>960</v>
      </c>
      <c r="O35" s="6">
        <v>600</v>
      </c>
      <c r="P35" s="6">
        <v>1080</v>
      </c>
      <c r="Q35" s="6">
        <v>1320</v>
      </c>
      <c r="R35" s="6">
        <v>1080</v>
      </c>
      <c r="S35" s="6">
        <v>840.00000000000011</v>
      </c>
      <c r="U35" s="4">
        <f>SUM($H35:H35)</f>
        <v>960</v>
      </c>
      <c r="V35" s="4">
        <f>SUM($H35:I35)</f>
        <v>1800</v>
      </c>
      <c r="W35" s="4">
        <f>SUM($H35:J35)</f>
        <v>3000</v>
      </c>
      <c r="X35" s="4">
        <f>SUM($H35:K35)</f>
        <v>4080</v>
      </c>
      <c r="Y35" s="4">
        <f>SUM($H35:L35)</f>
        <v>5160</v>
      </c>
      <c r="Z35" s="4">
        <f>SUM($H35:M35)</f>
        <v>6120</v>
      </c>
      <c r="AA35" s="4">
        <f>SUM($H35:N35)</f>
        <v>7080</v>
      </c>
      <c r="AB35" s="4">
        <f>SUM($H35:O35)</f>
        <v>7680</v>
      </c>
      <c r="AC35" s="4">
        <f>SUM($H35:P35)</f>
        <v>8760</v>
      </c>
      <c r="AD35" s="4">
        <f>SUM($H35:Q35)</f>
        <v>10080</v>
      </c>
      <c r="AE35" s="4">
        <f>SUM($H35:R35)</f>
        <v>11160</v>
      </c>
      <c r="AF35" s="4">
        <f>SUM($H35:S35)</f>
        <v>12000</v>
      </c>
    </row>
    <row r="36" spans="2:32">
      <c r="B36">
        <v>53015</v>
      </c>
      <c r="C36" t="s">
        <v>44</v>
      </c>
      <c r="D36" t="s">
        <v>10</v>
      </c>
      <c r="E36" t="str">
        <f>IF(D36="Spa",VLOOKUP($B36,Mapping!$A:$D,4,0), D36)</f>
        <v>Spas / Hotels</v>
      </c>
      <c r="F36" t="s">
        <v>83</v>
      </c>
      <c r="G36" t="s">
        <v>101</v>
      </c>
      <c r="H36" s="6">
        <v>800</v>
      </c>
      <c r="I36" s="6">
        <v>700.00000000000011</v>
      </c>
      <c r="J36" s="6">
        <v>1000</v>
      </c>
      <c r="K36" s="6">
        <v>900</v>
      </c>
      <c r="L36" s="6">
        <v>900</v>
      </c>
      <c r="M36" s="6">
        <v>800</v>
      </c>
      <c r="N36" s="6">
        <v>800</v>
      </c>
      <c r="O36" s="6">
        <v>500</v>
      </c>
      <c r="P36" s="6">
        <v>900</v>
      </c>
      <c r="Q36" s="6">
        <v>1100</v>
      </c>
      <c r="R36" s="6">
        <v>900</v>
      </c>
      <c r="S36" s="6">
        <v>700.00000000000011</v>
      </c>
      <c r="U36" s="4">
        <f>SUM($H36:H36)</f>
        <v>800</v>
      </c>
      <c r="V36" s="4">
        <f>SUM($H36:I36)</f>
        <v>1500</v>
      </c>
      <c r="W36" s="4">
        <f>SUM($H36:J36)</f>
        <v>2500</v>
      </c>
      <c r="X36" s="4">
        <f>SUM($H36:K36)</f>
        <v>3400</v>
      </c>
      <c r="Y36" s="4">
        <f>SUM($H36:L36)</f>
        <v>4300</v>
      </c>
      <c r="Z36" s="4">
        <f>SUM($H36:M36)</f>
        <v>5100</v>
      </c>
      <c r="AA36" s="4">
        <f>SUM($H36:N36)</f>
        <v>5900</v>
      </c>
      <c r="AB36" s="4">
        <f>SUM($H36:O36)</f>
        <v>6400</v>
      </c>
      <c r="AC36" s="4">
        <f>SUM($H36:P36)</f>
        <v>7300</v>
      </c>
      <c r="AD36" s="4">
        <f>SUM($H36:Q36)</f>
        <v>8400</v>
      </c>
      <c r="AE36" s="4">
        <f>SUM($H36:R36)</f>
        <v>9300</v>
      </c>
      <c r="AF36" s="4">
        <f>SUM($H36:S36)</f>
        <v>10000</v>
      </c>
    </row>
    <row r="37" spans="2:32">
      <c r="B37">
        <v>53016</v>
      </c>
      <c r="C37" t="s">
        <v>45</v>
      </c>
      <c r="D37" t="s">
        <v>10</v>
      </c>
      <c r="E37" t="str">
        <f>IF(D37="Spa",VLOOKUP($B37,Mapping!$A:$D,4,0), D37)</f>
        <v>Spas / Hotels</v>
      </c>
      <c r="F37" t="s">
        <v>83</v>
      </c>
      <c r="G37" t="s">
        <v>101</v>
      </c>
      <c r="H37" s="6">
        <v>800</v>
      </c>
      <c r="I37" s="6">
        <v>700.00000000000011</v>
      </c>
      <c r="J37" s="6">
        <v>1000</v>
      </c>
      <c r="K37" s="6">
        <v>900</v>
      </c>
      <c r="L37" s="6">
        <v>900</v>
      </c>
      <c r="M37" s="6">
        <v>800</v>
      </c>
      <c r="N37" s="6">
        <v>800</v>
      </c>
      <c r="O37" s="6">
        <v>500</v>
      </c>
      <c r="P37" s="6">
        <v>900</v>
      </c>
      <c r="Q37" s="6">
        <v>1100</v>
      </c>
      <c r="R37" s="6">
        <v>900</v>
      </c>
      <c r="S37" s="6">
        <v>700.00000000000011</v>
      </c>
      <c r="U37" s="4">
        <f>SUM($H37:H37)</f>
        <v>800</v>
      </c>
      <c r="V37" s="4">
        <f>SUM($H37:I37)</f>
        <v>1500</v>
      </c>
      <c r="W37" s="4">
        <f>SUM($H37:J37)</f>
        <v>2500</v>
      </c>
      <c r="X37" s="4">
        <f>SUM($H37:K37)</f>
        <v>3400</v>
      </c>
      <c r="Y37" s="4">
        <f>SUM($H37:L37)</f>
        <v>4300</v>
      </c>
      <c r="Z37" s="4">
        <f>SUM($H37:M37)</f>
        <v>5100</v>
      </c>
      <c r="AA37" s="4">
        <f>SUM($H37:N37)</f>
        <v>5900</v>
      </c>
      <c r="AB37" s="4">
        <f>SUM($H37:O37)</f>
        <v>6400</v>
      </c>
      <c r="AC37" s="4">
        <f>SUM($H37:P37)</f>
        <v>7300</v>
      </c>
      <c r="AD37" s="4">
        <f>SUM($H37:Q37)</f>
        <v>8400</v>
      </c>
      <c r="AE37" s="4">
        <f>SUM($H37:R37)</f>
        <v>9300</v>
      </c>
      <c r="AF37" s="4">
        <f>SUM($H37:S37)</f>
        <v>10000</v>
      </c>
    </row>
    <row r="38" spans="2:32">
      <c r="B38">
        <v>51189</v>
      </c>
      <c r="C38" t="s">
        <v>41</v>
      </c>
      <c r="D38" t="s">
        <v>10</v>
      </c>
      <c r="E38" t="str">
        <f>IF(D38="Spa",VLOOKUP($B38,Mapping!$A:$D,4,0), D38)</f>
        <v>Spas / Hotels</v>
      </c>
      <c r="F38" t="s">
        <v>83</v>
      </c>
      <c r="G38" t="s">
        <v>101</v>
      </c>
      <c r="H38" s="6">
        <v>2400</v>
      </c>
      <c r="I38" s="6">
        <v>2100</v>
      </c>
      <c r="J38" s="6">
        <v>3000</v>
      </c>
      <c r="K38" s="6">
        <v>2700</v>
      </c>
      <c r="L38" s="6">
        <v>2700</v>
      </c>
      <c r="M38" s="6">
        <v>2400</v>
      </c>
      <c r="N38" s="6">
        <v>2400</v>
      </c>
      <c r="O38" s="6">
        <v>1500</v>
      </c>
      <c r="P38" s="6">
        <v>2700</v>
      </c>
      <c r="Q38" s="6">
        <v>3300</v>
      </c>
      <c r="R38" s="6">
        <v>2700</v>
      </c>
      <c r="S38" s="6">
        <v>2100</v>
      </c>
      <c r="U38" s="4">
        <f>SUM($H38:H38)</f>
        <v>2400</v>
      </c>
      <c r="V38" s="4">
        <f>SUM($H38:I38)</f>
        <v>4500</v>
      </c>
      <c r="W38" s="4">
        <f>SUM($H38:J38)</f>
        <v>7500</v>
      </c>
      <c r="X38" s="4">
        <f>SUM($H38:K38)</f>
        <v>10200</v>
      </c>
      <c r="Y38" s="4">
        <f>SUM($H38:L38)</f>
        <v>12900</v>
      </c>
      <c r="Z38" s="4">
        <f>SUM($H38:M38)</f>
        <v>15300</v>
      </c>
      <c r="AA38" s="4">
        <f>SUM($H38:N38)</f>
        <v>17700</v>
      </c>
      <c r="AB38" s="4">
        <f>SUM($H38:O38)</f>
        <v>19200</v>
      </c>
      <c r="AC38" s="4">
        <f>SUM($H38:P38)</f>
        <v>21900</v>
      </c>
      <c r="AD38" s="4">
        <f>SUM($H38:Q38)</f>
        <v>25200</v>
      </c>
      <c r="AE38" s="4">
        <f>SUM($H38:R38)</f>
        <v>27900</v>
      </c>
      <c r="AF38" s="4">
        <f>SUM($H38:S38)</f>
        <v>30000</v>
      </c>
    </row>
    <row r="39" spans="2:32">
      <c r="B39">
        <v>53017</v>
      </c>
      <c r="C39" t="s">
        <v>46</v>
      </c>
      <c r="D39" t="s">
        <v>10</v>
      </c>
      <c r="E39" t="str">
        <f>IF(D39="Spa",VLOOKUP($B39,Mapping!$A:$D,4,0), D39)</f>
        <v>Spas / Hotels</v>
      </c>
      <c r="F39" t="s">
        <v>83</v>
      </c>
      <c r="G39" t="s">
        <v>101</v>
      </c>
      <c r="H39" s="6">
        <v>800</v>
      </c>
      <c r="I39" s="6">
        <v>700.00000000000011</v>
      </c>
      <c r="J39" s="6">
        <v>1000</v>
      </c>
      <c r="K39" s="6">
        <v>900</v>
      </c>
      <c r="L39" s="6">
        <v>900</v>
      </c>
      <c r="M39" s="6">
        <v>800</v>
      </c>
      <c r="N39" s="6">
        <v>800</v>
      </c>
      <c r="O39" s="6">
        <v>500</v>
      </c>
      <c r="P39" s="6">
        <v>900</v>
      </c>
      <c r="Q39" s="6">
        <v>1100</v>
      </c>
      <c r="R39" s="6">
        <v>900</v>
      </c>
      <c r="S39" s="6">
        <v>700.00000000000011</v>
      </c>
      <c r="U39" s="4">
        <f>SUM($H39:H39)</f>
        <v>800</v>
      </c>
      <c r="V39" s="4">
        <f>SUM($H39:I39)</f>
        <v>1500</v>
      </c>
      <c r="W39" s="4">
        <f>SUM($H39:J39)</f>
        <v>2500</v>
      </c>
      <c r="X39" s="4">
        <f>SUM($H39:K39)</f>
        <v>3400</v>
      </c>
      <c r="Y39" s="4">
        <f>SUM($H39:L39)</f>
        <v>4300</v>
      </c>
      <c r="Z39" s="4">
        <f>SUM($H39:M39)</f>
        <v>5100</v>
      </c>
      <c r="AA39" s="4">
        <f>SUM($H39:N39)</f>
        <v>5900</v>
      </c>
      <c r="AB39" s="4">
        <f>SUM($H39:O39)</f>
        <v>6400</v>
      </c>
      <c r="AC39" s="4">
        <f>SUM($H39:P39)</f>
        <v>7300</v>
      </c>
      <c r="AD39" s="4">
        <f>SUM($H39:Q39)</f>
        <v>8400</v>
      </c>
      <c r="AE39" s="4">
        <f>SUM($H39:R39)</f>
        <v>9300</v>
      </c>
      <c r="AF39" s="4">
        <f>SUM($H39:S39)</f>
        <v>10000</v>
      </c>
    </row>
    <row r="40" spans="2:32">
      <c r="U40" s="4">
        <f>SUM($H40:H40)</f>
        <v>0</v>
      </c>
      <c r="V40" s="4">
        <f>SUM($H40:I40)</f>
        <v>0</v>
      </c>
      <c r="W40" s="4">
        <f>SUM($H40:J40)</f>
        <v>0</v>
      </c>
      <c r="X40" s="4">
        <f>SUM($H40:K40)</f>
        <v>0</v>
      </c>
      <c r="Y40" s="4">
        <f>SUM($H40:L40)</f>
        <v>0</v>
      </c>
      <c r="Z40" s="4">
        <f>SUM($H40:M40)</f>
        <v>0</v>
      </c>
      <c r="AA40" s="4">
        <f>SUM($H40:N40)</f>
        <v>0</v>
      </c>
      <c r="AB40" s="4">
        <f>SUM($H40:O40)</f>
        <v>0</v>
      </c>
      <c r="AC40" s="4">
        <f>SUM($H40:P40)</f>
        <v>0</v>
      </c>
      <c r="AD40" s="4">
        <f>SUM($H40:Q40)</f>
        <v>0</v>
      </c>
      <c r="AE40" s="4">
        <f>SUM($H40:R40)</f>
        <v>0</v>
      </c>
      <c r="AF40" s="4">
        <f>SUM($H40:S40)</f>
        <v>0</v>
      </c>
    </row>
    <row r="41" spans="2:32">
      <c r="B41" t="s">
        <v>56</v>
      </c>
      <c r="C41" t="s">
        <v>119</v>
      </c>
      <c r="D41" t="s">
        <v>10</v>
      </c>
      <c r="F41" t="s">
        <v>101</v>
      </c>
      <c r="G41" t="s">
        <v>83</v>
      </c>
      <c r="H41" s="3">
        <v>0</v>
      </c>
      <c r="I41" s="3">
        <v>3000</v>
      </c>
      <c r="J41" s="3">
        <v>6000</v>
      </c>
      <c r="K41" s="3">
        <v>6000</v>
      </c>
      <c r="L41" s="3">
        <v>9000</v>
      </c>
      <c r="M41" s="3">
        <v>9000</v>
      </c>
      <c r="N41" s="3">
        <v>12000</v>
      </c>
      <c r="O41" s="3">
        <v>9000</v>
      </c>
      <c r="P41" s="3">
        <v>18000</v>
      </c>
      <c r="Q41" s="3">
        <v>18000</v>
      </c>
      <c r="R41" s="3">
        <v>18000</v>
      </c>
      <c r="S41" s="3">
        <v>12000</v>
      </c>
      <c r="U41" s="4">
        <f>SUM($H41:H41)</f>
        <v>0</v>
      </c>
      <c r="V41" s="4">
        <f>SUM($H41:I41)</f>
        <v>3000</v>
      </c>
      <c r="W41" s="4">
        <f>SUM($H41:J41)</f>
        <v>9000</v>
      </c>
      <c r="X41" s="4">
        <f>SUM($H41:K41)</f>
        <v>15000</v>
      </c>
      <c r="Y41" s="4">
        <f>SUM($H41:L41)</f>
        <v>24000</v>
      </c>
      <c r="Z41" s="4">
        <f>SUM($H41:M41)</f>
        <v>33000</v>
      </c>
      <c r="AA41" s="4">
        <f>SUM($H41:N41)</f>
        <v>45000</v>
      </c>
      <c r="AB41" s="4">
        <f>SUM($H41:O41)</f>
        <v>54000</v>
      </c>
      <c r="AC41" s="4">
        <f>SUM($H41:P41)</f>
        <v>72000</v>
      </c>
      <c r="AD41" s="4">
        <f>SUM($H41:Q41)</f>
        <v>90000</v>
      </c>
      <c r="AE41" s="4">
        <f>SUM($H41:R41)</f>
        <v>108000</v>
      </c>
      <c r="AF41" s="4">
        <f>SUM($H41:S41)</f>
        <v>120000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73F3B-E980-476A-B8B9-B362BC491619}">
  <dimension ref="A2:U80"/>
  <sheetViews>
    <sheetView topLeftCell="A13" workbookViewId="0">
      <selection activeCell="A23" sqref="A23:A24"/>
    </sheetView>
  </sheetViews>
  <sheetFormatPr defaultColWidth="9.140625" defaultRowHeight="15"/>
  <cols>
    <col min="1" max="1" width="6" style="9" bestFit="1" customWidth="1"/>
    <col min="2" max="2" width="21.7109375" style="9" bestFit="1" customWidth="1"/>
    <col min="3" max="5" width="11.5703125" style="9" customWidth="1"/>
    <col min="6" max="6" width="9.140625" style="9"/>
    <col min="7" max="7" width="11.42578125" style="9" customWidth="1"/>
    <col min="8" max="16384" width="9.140625" style="9"/>
  </cols>
  <sheetData>
    <row r="2" spans="2:21">
      <c r="B2" s="7"/>
      <c r="C2" s="7" t="s">
        <v>120</v>
      </c>
      <c r="D2" s="7" t="s">
        <v>121</v>
      </c>
      <c r="E2" s="7" t="s">
        <v>122</v>
      </c>
      <c r="F2" s="7" t="s">
        <v>123</v>
      </c>
      <c r="G2" s="7" t="s">
        <v>124</v>
      </c>
      <c r="H2" s="7"/>
      <c r="I2" s="7"/>
      <c r="J2" s="8">
        <v>45292</v>
      </c>
      <c r="K2" s="8">
        <v>45323</v>
      </c>
      <c r="L2" s="8">
        <v>45352</v>
      </c>
      <c r="M2" s="8">
        <v>45383</v>
      </c>
      <c r="N2" s="8">
        <v>45413</v>
      </c>
      <c r="O2" s="8">
        <v>45444</v>
      </c>
      <c r="P2" s="8">
        <v>45474</v>
      </c>
      <c r="Q2" s="8">
        <v>45505</v>
      </c>
      <c r="R2" s="8">
        <v>45536</v>
      </c>
      <c r="S2" s="8">
        <v>45566</v>
      </c>
      <c r="T2" s="8">
        <v>45597</v>
      </c>
      <c r="U2" s="8">
        <v>45627</v>
      </c>
    </row>
    <row r="3" spans="2:21">
      <c r="B3" s="9" t="s">
        <v>125</v>
      </c>
      <c r="C3" s="10">
        <v>75000</v>
      </c>
      <c r="D3" s="10">
        <v>11873</v>
      </c>
      <c r="E3" s="11">
        <v>5.3168533647772254</v>
      </c>
      <c r="F3" s="12">
        <v>0</v>
      </c>
      <c r="G3" s="13" t="s">
        <v>126</v>
      </c>
      <c r="J3" s="14">
        <v>3000</v>
      </c>
      <c r="K3" s="14">
        <v>3750</v>
      </c>
      <c r="L3" s="14">
        <v>4500</v>
      </c>
      <c r="M3" s="14">
        <v>5250.0000000000009</v>
      </c>
      <c r="N3" s="14">
        <v>6000</v>
      </c>
      <c r="O3" s="14">
        <v>6750</v>
      </c>
      <c r="P3" s="14">
        <v>6750</v>
      </c>
      <c r="Q3" s="14">
        <v>6750</v>
      </c>
      <c r="R3" s="14">
        <v>6750</v>
      </c>
      <c r="S3" s="14">
        <v>7500</v>
      </c>
      <c r="T3" s="14">
        <v>9000</v>
      </c>
      <c r="U3" s="14">
        <v>9000</v>
      </c>
    </row>
    <row r="4" spans="2:21">
      <c r="B4" s="9" t="s">
        <v>127</v>
      </c>
      <c r="C4" s="10">
        <v>228500</v>
      </c>
      <c r="D4" s="10">
        <v>0</v>
      </c>
      <c r="E4" s="11" t="s">
        <v>126</v>
      </c>
      <c r="F4" s="12">
        <v>0</v>
      </c>
      <c r="G4" s="13" t="s">
        <v>126</v>
      </c>
      <c r="J4" s="14">
        <v>3500</v>
      </c>
      <c r="K4" s="14">
        <v>3500</v>
      </c>
      <c r="L4" s="14">
        <v>5500</v>
      </c>
      <c r="M4" s="14">
        <v>7500</v>
      </c>
      <c r="N4" s="14">
        <v>13000</v>
      </c>
      <c r="O4" s="14">
        <v>18500</v>
      </c>
      <c r="P4" s="14">
        <v>19000</v>
      </c>
      <c r="Q4" s="14">
        <v>25000</v>
      </c>
      <c r="R4" s="14">
        <v>29000</v>
      </c>
      <c r="S4" s="14">
        <v>33000</v>
      </c>
      <c r="T4" s="14">
        <v>33500</v>
      </c>
      <c r="U4" s="14">
        <v>37500</v>
      </c>
    </row>
    <row r="5" spans="2:21">
      <c r="B5" s="15" t="s">
        <v>128</v>
      </c>
      <c r="C5" s="16">
        <v>303500</v>
      </c>
      <c r="D5" s="16">
        <v>11873</v>
      </c>
      <c r="E5" s="17">
        <v>24.562199949465175</v>
      </c>
      <c r="F5" s="16">
        <v>0</v>
      </c>
      <c r="G5" s="18" t="s">
        <v>126</v>
      </c>
      <c r="J5" s="16">
        <v>6500</v>
      </c>
      <c r="K5" s="16">
        <v>7250</v>
      </c>
      <c r="L5" s="16">
        <v>10000</v>
      </c>
      <c r="M5" s="16">
        <v>12750</v>
      </c>
      <c r="N5" s="16">
        <v>19000</v>
      </c>
      <c r="O5" s="16">
        <v>25250</v>
      </c>
      <c r="P5" s="16">
        <v>25750</v>
      </c>
      <c r="Q5" s="16">
        <v>31750</v>
      </c>
      <c r="R5" s="16">
        <v>35750</v>
      </c>
      <c r="S5" s="16">
        <v>40500</v>
      </c>
      <c r="T5" s="16">
        <v>42500</v>
      </c>
      <c r="U5" s="16">
        <v>46500</v>
      </c>
    </row>
    <row r="18" spans="1:21">
      <c r="B18" s="19" t="s">
        <v>129</v>
      </c>
    </row>
    <row r="20" spans="1:21">
      <c r="J20" s="20">
        <v>0.04</v>
      </c>
      <c r="K20" s="20">
        <v>0.05</v>
      </c>
      <c r="L20" s="20">
        <v>0.06</v>
      </c>
      <c r="M20" s="20">
        <v>7.0000000000000007E-2</v>
      </c>
      <c r="N20" s="20">
        <v>0.08</v>
      </c>
      <c r="O20" s="20">
        <v>0.09</v>
      </c>
      <c r="P20" s="20">
        <v>0.09</v>
      </c>
      <c r="Q20" s="20">
        <v>0.09</v>
      </c>
      <c r="R20" s="20">
        <v>0.09</v>
      </c>
      <c r="S20" s="20">
        <v>0.1</v>
      </c>
      <c r="T20" s="20">
        <v>0.12</v>
      </c>
      <c r="U20" s="20">
        <v>0.12</v>
      </c>
    </row>
    <row r="21" spans="1:21" s="21" customFormat="1" ht="30">
      <c r="B21" s="22"/>
      <c r="C21" s="22" t="s">
        <v>130</v>
      </c>
      <c r="D21" s="22" t="s">
        <v>131</v>
      </c>
      <c r="E21" s="22" t="s">
        <v>132</v>
      </c>
      <c r="F21" s="23"/>
      <c r="G21" s="22"/>
      <c r="H21" s="22"/>
      <c r="I21" s="22"/>
      <c r="J21" s="8">
        <v>45292</v>
      </c>
      <c r="K21" s="8">
        <v>45323</v>
      </c>
      <c r="L21" s="8">
        <v>45352</v>
      </c>
      <c r="M21" s="8">
        <v>45383</v>
      </c>
      <c r="N21" s="8">
        <v>45413</v>
      </c>
      <c r="O21" s="8">
        <v>45444</v>
      </c>
      <c r="P21" s="8">
        <v>45474</v>
      </c>
      <c r="Q21" s="8">
        <v>45505</v>
      </c>
      <c r="R21" s="8">
        <v>45536</v>
      </c>
      <c r="S21" s="8">
        <v>45566</v>
      </c>
      <c r="T21" s="8">
        <v>45597</v>
      </c>
      <c r="U21" s="8">
        <v>45627</v>
      </c>
    </row>
    <row r="22" spans="1:21">
      <c r="A22" s="9">
        <v>51185</v>
      </c>
      <c r="B22" s="9" t="s">
        <v>133</v>
      </c>
      <c r="C22" s="24">
        <v>45270</v>
      </c>
      <c r="D22" s="25">
        <v>2000</v>
      </c>
      <c r="E22" s="25">
        <v>25000</v>
      </c>
      <c r="F22" s="10"/>
      <c r="G22" s="10"/>
      <c r="H22" s="10"/>
      <c r="I22" s="10"/>
      <c r="J22" s="10">
        <v>1000</v>
      </c>
      <c r="K22" s="10">
        <v>1250</v>
      </c>
      <c r="L22" s="10">
        <v>1500</v>
      </c>
      <c r="M22" s="10">
        <v>1750.0000000000002</v>
      </c>
      <c r="N22" s="10">
        <v>2000</v>
      </c>
      <c r="O22" s="10">
        <v>2250</v>
      </c>
      <c r="P22" s="10">
        <v>2250</v>
      </c>
      <c r="Q22" s="10">
        <v>2250</v>
      </c>
      <c r="R22" s="10">
        <v>2250</v>
      </c>
      <c r="S22" s="10">
        <v>2500</v>
      </c>
      <c r="T22" s="10">
        <v>3000</v>
      </c>
      <c r="U22" s="10">
        <v>3000</v>
      </c>
    </row>
    <row r="23" spans="1:21">
      <c r="A23" s="9">
        <v>51184</v>
      </c>
      <c r="B23" s="9" t="s">
        <v>134</v>
      </c>
      <c r="C23" s="24">
        <v>44927</v>
      </c>
      <c r="D23" s="25">
        <v>6250</v>
      </c>
      <c r="E23" s="25">
        <v>25000</v>
      </c>
      <c r="F23" s="10"/>
      <c r="G23" s="10"/>
      <c r="H23" s="10"/>
      <c r="I23" s="10"/>
      <c r="J23" s="10">
        <v>1000</v>
      </c>
      <c r="K23" s="10">
        <v>1250</v>
      </c>
      <c r="L23" s="10">
        <v>1500</v>
      </c>
      <c r="M23" s="10">
        <v>1750.0000000000002</v>
      </c>
      <c r="N23" s="10">
        <v>2000</v>
      </c>
      <c r="O23" s="10">
        <v>2250</v>
      </c>
      <c r="P23" s="10">
        <v>2250</v>
      </c>
      <c r="Q23" s="10">
        <v>2250</v>
      </c>
      <c r="R23" s="10">
        <v>2250</v>
      </c>
      <c r="S23" s="10">
        <v>2500</v>
      </c>
      <c r="T23" s="10">
        <v>3000</v>
      </c>
      <c r="U23" s="10">
        <v>3000</v>
      </c>
    </row>
    <row r="24" spans="1:21">
      <c r="A24" s="9">
        <v>51186</v>
      </c>
      <c r="B24" s="9" t="s">
        <v>135</v>
      </c>
      <c r="C24" s="24">
        <v>45261</v>
      </c>
      <c r="D24" s="25">
        <v>3623</v>
      </c>
      <c r="E24" s="25">
        <v>25000</v>
      </c>
      <c r="F24" s="10"/>
      <c r="G24" s="10"/>
      <c r="H24" s="10"/>
      <c r="I24" s="10"/>
      <c r="J24" s="10">
        <v>1000</v>
      </c>
      <c r="K24" s="10">
        <v>1250</v>
      </c>
      <c r="L24" s="10">
        <v>1500</v>
      </c>
      <c r="M24" s="10">
        <v>1750.0000000000002</v>
      </c>
      <c r="N24" s="10">
        <v>2000</v>
      </c>
      <c r="O24" s="10">
        <v>2250</v>
      </c>
      <c r="P24" s="10">
        <v>2250</v>
      </c>
      <c r="Q24" s="10">
        <v>2250</v>
      </c>
      <c r="R24" s="10">
        <v>2250</v>
      </c>
      <c r="S24" s="10">
        <v>2500</v>
      </c>
      <c r="T24" s="10">
        <v>3000</v>
      </c>
      <c r="U24" s="10">
        <v>3000</v>
      </c>
    </row>
    <row r="25" spans="1:21">
      <c r="B25" s="26" t="s">
        <v>136</v>
      </c>
      <c r="C25" s="26"/>
      <c r="D25" s="25"/>
      <c r="E25" s="25"/>
      <c r="F25" s="10"/>
      <c r="G25" s="10"/>
      <c r="H25" s="10"/>
      <c r="I25" s="10"/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</row>
    <row r="26" spans="1:21">
      <c r="B26" s="26"/>
      <c r="C26" s="26"/>
      <c r="D26" s="25"/>
      <c r="E26" s="25"/>
      <c r="F26" s="10"/>
      <c r="G26" s="10"/>
      <c r="H26" s="10"/>
      <c r="I26" s="10"/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</row>
    <row r="27" spans="1:21">
      <c r="B27" s="26"/>
      <c r="C27" s="26"/>
      <c r="D27" s="25"/>
      <c r="E27" s="25"/>
      <c r="F27" s="10"/>
      <c r="G27" s="10"/>
      <c r="H27" s="10"/>
      <c r="I27" s="10"/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</row>
    <row r="28" spans="1:21">
      <c r="B28" s="26"/>
      <c r="C28" s="26"/>
      <c r="D28" s="25"/>
      <c r="E28" s="25"/>
      <c r="F28" s="10"/>
      <c r="G28" s="10"/>
      <c r="H28" s="10"/>
      <c r="I28" s="10"/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</row>
    <row r="29" spans="1:21">
      <c r="B29" s="15" t="s">
        <v>137</v>
      </c>
      <c r="C29" s="15"/>
      <c r="D29" s="16">
        <v>11873</v>
      </c>
      <c r="E29" s="16">
        <v>75000</v>
      </c>
      <c r="F29" s="10"/>
      <c r="G29" s="10"/>
      <c r="H29" s="10"/>
      <c r="I29" s="10"/>
      <c r="J29" s="16">
        <v>3000</v>
      </c>
      <c r="K29" s="16">
        <v>3750</v>
      </c>
      <c r="L29" s="16">
        <v>4500</v>
      </c>
      <c r="M29" s="16">
        <v>5250.0000000000009</v>
      </c>
      <c r="N29" s="16">
        <v>6000</v>
      </c>
      <c r="O29" s="16">
        <v>6750</v>
      </c>
      <c r="P29" s="16">
        <v>6750</v>
      </c>
      <c r="Q29" s="16">
        <v>6750</v>
      </c>
      <c r="R29" s="16">
        <v>6750</v>
      </c>
      <c r="S29" s="16">
        <v>7500</v>
      </c>
      <c r="T29" s="16">
        <v>9000</v>
      </c>
      <c r="U29" s="16">
        <v>9000</v>
      </c>
    </row>
    <row r="34" spans="2:21">
      <c r="B34" s="19" t="s">
        <v>138</v>
      </c>
    </row>
    <row r="37" spans="2:21">
      <c r="B37" s="27" t="s">
        <v>139</v>
      </c>
      <c r="C37" s="27"/>
      <c r="D37" s="27"/>
      <c r="E37" s="28">
        <v>228500</v>
      </c>
      <c r="F37" s="29"/>
      <c r="G37" s="29"/>
      <c r="H37" s="29"/>
      <c r="I37" s="29"/>
      <c r="J37" s="28">
        <v>3500</v>
      </c>
      <c r="K37" s="28">
        <v>3500</v>
      </c>
      <c r="L37" s="28">
        <v>5500</v>
      </c>
      <c r="M37" s="28">
        <v>7500</v>
      </c>
      <c r="N37" s="28">
        <v>13000</v>
      </c>
      <c r="O37" s="28">
        <v>18500</v>
      </c>
      <c r="P37" s="28">
        <v>19000</v>
      </c>
      <c r="Q37" s="28">
        <v>25000</v>
      </c>
      <c r="R37" s="28">
        <v>29000</v>
      </c>
      <c r="S37" s="28">
        <v>33000</v>
      </c>
      <c r="T37" s="28">
        <v>33500</v>
      </c>
      <c r="U37" s="28">
        <v>37500</v>
      </c>
    </row>
    <row r="38" spans="2:21">
      <c r="F38" s="30" t="s">
        <v>140</v>
      </c>
    </row>
    <row r="39" spans="2:21">
      <c r="B39" s="9" t="s">
        <v>141</v>
      </c>
      <c r="D39" s="9">
        <v>19</v>
      </c>
      <c r="F39" s="9">
        <v>0</v>
      </c>
      <c r="I39" s="9" t="s">
        <v>142</v>
      </c>
      <c r="J39" s="9">
        <v>1</v>
      </c>
      <c r="K39" s="9">
        <v>1</v>
      </c>
      <c r="L39" s="9">
        <v>1</v>
      </c>
      <c r="M39" s="9">
        <v>1</v>
      </c>
      <c r="N39" s="9">
        <v>2</v>
      </c>
      <c r="O39" s="9">
        <v>3</v>
      </c>
      <c r="P39" s="9">
        <v>2</v>
      </c>
      <c r="Q39" s="9">
        <v>2</v>
      </c>
      <c r="R39" s="9">
        <v>2</v>
      </c>
      <c r="S39" s="9">
        <v>2</v>
      </c>
      <c r="T39" s="9">
        <v>1</v>
      </c>
      <c r="U39" s="9">
        <v>1</v>
      </c>
    </row>
    <row r="40" spans="2:21">
      <c r="B40" s="9" t="s">
        <v>143</v>
      </c>
      <c r="D40" s="26">
        <v>19</v>
      </c>
      <c r="F40" s="9">
        <v>0</v>
      </c>
      <c r="J40" s="26">
        <v>1</v>
      </c>
      <c r="K40" s="26">
        <v>1</v>
      </c>
      <c r="L40" s="26">
        <v>1</v>
      </c>
      <c r="M40" s="26">
        <v>1</v>
      </c>
      <c r="N40" s="26">
        <v>2</v>
      </c>
      <c r="O40" s="26">
        <v>3</v>
      </c>
      <c r="P40" s="26">
        <v>2</v>
      </c>
      <c r="Q40" s="26">
        <v>2</v>
      </c>
      <c r="R40" s="26">
        <v>2</v>
      </c>
      <c r="S40" s="26">
        <v>2</v>
      </c>
      <c r="T40" s="26">
        <v>1</v>
      </c>
      <c r="U40" s="26">
        <v>1</v>
      </c>
    </row>
    <row r="42" spans="2:21">
      <c r="B42" s="9" t="s">
        <v>144</v>
      </c>
      <c r="J42" s="9">
        <v>1</v>
      </c>
      <c r="K42" s="9">
        <v>1</v>
      </c>
      <c r="L42" s="9">
        <v>1</v>
      </c>
      <c r="M42" s="9">
        <v>1</v>
      </c>
      <c r="N42" s="9">
        <v>2</v>
      </c>
      <c r="O42" s="9">
        <v>3</v>
      </c>
      <c r="P42" s="9">
        <v>2</v>
      </c>
      <c r="Q42" s="9">
        <v>2</v>
      </c>
      <c r="R42" s="9">
        <v>2</v>
      </c>
      <c r="S42" s="9">
        <v>2</v>
      </c>
      <c r="T42" s="9">
        <v>1</v>
      </c>
      <c r="U42" s="9">
        <v>1</v>
      </c>
    </row>
    <row r="43" spans="2:21">
      <c r="B43" s="9" t="s">
        <v>145</v>
      </c>
      <c r="J43" s="9">
        <v>0</v>
      </c>
      <c r="K43" s="9">
        <v>0</v>
      </c>
      <c r="L43" s="9">
        <v>1</v>
      </c>
      <c r="M43" s="9">
        <v>2</v>
      </c>
      <c r="N43" s="9">
        <v>3</v>
      </c>
      <c r="O43" s="9">
        <v>4</v>
      </c>
      <c r="P43" s="9">
        <v>6</v>
      </c>
      <c r="Q43" s="9">
        <v>9</v>
      </c>
      <c r="R43" s="9">
        <v>11</v>
      </c>
      <c r="S43" s="9">
        <v>13</v>
      </c>
      <c r="T43" s="9">
        <v>15</v>
      </c>
      <c r="U43" s="9">
        <v>17</v>
      </c>
    </row>
    <row r="45" spans="2:21">
      <c r="B45" s="9" t="s">
        <v>146</v>
      </c>
      <c r="D45" s="31">
        <v>3500</v>
      </c>
    </row>
    <row r="46" spans="2:21">
      <c r="B46" s="9" t="s">
        <v>147</v>
      </c>
      <c r="D46" s="31">
        <v>2000</v>
      </c>
    </row>
    <row r="49" spans="2:2">
      <c r="B49" s="32" t="s">
        <v>148</v>
      </c>
    </row>
    <row r="50" spans="2:2">
      <c r="B50" s="9" t="s">
        <v>149</v>
      </c>
    </row>
    <row r="51" spans="2:2">
      <c r="B51" s="9" t="s">
        <v>150</v>
      </c>
    </row>
    <row r="52" spans="2:2">
      <c r="B52" s="9" t="s">
        <v>151</v>
      </c>
    </row>
    <row r="53" spans="2:2">
      <c r="B53" s="9" t="s">
        <v>152</v>
      </c>
    </row>
    <row r="54" spans="2:2">
      <c r="B54" s="9" t="s">
        <v>153</v>
      </c>
    </row>
    <row r="55" spans="2:2">
      <c r="B55" s="9" t="s">
        <v>154</v>
      </c>
    </row>
    <row r="56" spans="2:2">
      <c r="B56" s="9" t="s">
        <v>155</v>
      </c>
    </row>
    <row r="57" spans="2:2">
      <c r="B57" s="9" t="s">
        <v>156</v>
      </c>
    </row>
    <row r="58" spans="2:2">
      <c r="B58" s="9" t="s">
        <v>157</v>
      </c>
    </row>
    <row r="59" spans="2:2">
      <c r="B59" s="9" t="s">
        <v>158</v>
      </c>
    </row>
    <row r="60" spans="2:2">
      <c r="B60" s="9" t="s">
        <v>159</v>
      </c>
    </row>
    <row r="61" spans="2:2">
      <c r="B61" s="9" t="s">
        <v>160</v>
      </c>
    </row>
    <row r="62" spans="2:2">
      <c r="B62" s="9" t="s">
        <v>161</v>
      </c>
    </row>
    <row r="63" spans="2:2">
      <c r="B63" s="9" t="s">
        <v>162</v>
      </c>
    </row>
    <row r="64" spans="2:2">
      <c r="B64" s="9" t="s">
        <v>163</v>
      </c>
    </row>
    <row r="65" spans="2:2">
      <c r="B65" s="9" t="s">
        <v>164</v>
      </c>
    </row>
    <row r="66" spans="2:2">
      <c r="B66" s="9" t="s">
        <v>165</v>
      </c>
    </row>
    <row r="67" spans="2:2">
      <c r="B67" s="9" t="s">
        <v>166</v>
      </c>
    </row>
    <row r="68" spans="2:2">
      <c r="B68" s="9" t="s">
        <v>167</v>
      </c>
    </row>
    <row r="69" spans="2:2">
      <c r="B69" s="9" t="s">
        <v>168</v>
      </c>
    </row>
    <row r="70" spans="2:2">
      <c r="B70" s="9" t="s">
        <v>169</v>
      </c>
    </row>
    <row r="71" spans="2:2">
      <c r="B71" s="9" t="s">
        <v>170</v>
      </c>
    </row>
    <row r="72" spans="2:2">
      <c r="B72" s="9" t="s">
        <v>171</v>
      </c>
    </row>
    <row r="73" spans="2:2">
      <c r="B73" s="9" t="s">
        <v>172</v>
      </c>
    </row>
    <row r="74" spans="2:2">
      <c r="B74" s="9" t="s">
        <v>173</v>
      </c>
    </row>
    <row r="75" spans="2:2">
      <c r="B75" s="9" t="s">
        <v>174</v>
      </c>
    </row>
    <row r="76" spans="2:2">
      <c r="B76" s="9" t="s">
        <v>175</v>
      </c>
    </row>
    <row r="77" spans="2:2">
      <c r="B77" s="9" t="s">
        <v>176</v>
      </c>
    </row>
    <row r="78" spans="2:2">
      <c r="B78" s="9" t="s">
        <v>177</v>
      </c>
    </row>
    <row r="79" spans="2:2">
      <c r="B79" s="9" t="s">
        <v>178</v>
      </c>
    </row>
    <row r="80" spans="2:2">
      <c r="B80" s="9" t="s">
        <v>179</v>
      </c>
    </row>
  </sheetData>
  <conditionalFormatting sqref="F39:F40">
    <cfRule type="expression" dxfId="1" priority="1">
      <formula>F39=0</formula>
    </cfRule>
    <cfRule type="expression" dxfId="0" priority="2">
      <formula>OR(F39&gt;0, F39&lt;0)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3D03-5285-493C-85B7-A4EA3807EC0A}">
  <dimension ref="A1:H35"/>
  <sheetViews>
    <sheetView workbookViewId="0">
      <selection activeCell="A2" sqref="A2:B8"/>
    </sheetView>
  </sheetViews>
  <sheetFormatPr defaultColWidth="8.85546875" defaultRowHeight="15"/>
  <cols>
    <col min="2" max="2" width="40.42578125" bestFit="1" customWidth="1"/>
    <col min="4" max="4" width="36" bestFit="1" customWidth="1"/>
    <col min="5" max="5" width="20.42578125" customWidth="1"/>
  </cols>
  <sheetData>
    <row r="1" spans="1:8">
      <c r="A1" t="s">
        <v>17</v>
      </c>
      <c r="B1" t="s">
        <v>18</v>
      </c>
      <c r="C1" t="s">
        <v>19</v>
      </c>
      <c r="D1" t="s">
        <v>98</v>
      </c>
      <c r="E1" t="s">
        <v>69</v>
      </c>
      <c r="F1" t="s">
        <v>180</v>
      </c>
      <c r="G1" t="s">
        <v>181</v>
      </c>
      <c r="H1" t="s">
        <v>182</v>
      </c>
    </row>
    <row r="2" spans="1:8">
      <c r="A2">
        <v>51101</v>
      </c>
      <c r="B2" t="s">
        <v>63</v>
      </c>
      <c r="C2" t="s">
        <v>58</v>
      </c>
      <c r="D2" t="s">
        <v>183</v>
      </c>
      <c r="E2" t="s">
        <v>11</v>
      </c>
      <c r="F2">
        <f>SUMIF('2022'!B:B, A2,'2022'!AE:AE)</f>
        <v>170276.4</v>
      </c>
      <c r="G2">
        <f>SUMIF('2023'!B:B, A2,'2023'!AF:AF)</f>
        <v>108670.27999999998</v>
      </c>
      <c r="H2">
        <f>SUMIF('2024'!B:B, A2,'2024'!AF:AF)</f>
        <v>106390.93</v>
      </c>
    </row>
    <row r="3" spans="1:8">
      <c r="A3">
        <v>51172</v>
      </c>
      <c r="B3" t="s">
        <v>64</v>
      </c>
      <c r="C3" t="s">
        <v>58</v>
      </c>
      <c r="D3" t="s">
        <v>183</v>
      </c>
      <c r="E3" t="s">
        <v>11</v>
      </c>
      <c r="F3">
        <f>SUMIF('2022'!B:B, A3,'2022'!AE:AE)</f>
        <v>25706.86</v>
      </c>
      <c r="G3">
        <f>SUMIF('2023'!B:B, A3,'2023'!AF:AF)</f>
        <v>24702.52</v>
      </c>
      <c r="H3">
        <f>SUMIF('2024'!B:B, A3,'2024'!AF:AF)</f>
        <v>39567.380000000005</v>
      </c>
    </row>
    <row r="4" spans="1:8">
      <c r="A4">
        <v>51175</v>
      </c>
      <c r="B4" t="s">
        <v>66</v>
      </c>
      <c r="C4" t="s">
        <v>184</v>
      </c>
      <c r="D4" t="s">
        <v>68</v>
      </c>
      <c r="E4" t="s">
        <v>68</v>
      </c>
      <c r="F4">
        <f>SUMIF('2022'!B:B, A4,'2022'!AE:AE)</f>
        <v>11439.24</v>
      </c>
      <c r="G4">
        <f>SUMIF('2023'!B:B, A4,'2023'!AF:AF)</f>
        <v>45672.350000000006</v>
      </c>
      <c r="H4">
        <f>SUMIF('2024'!B:B, A4,'2024'!AF:AF)</f>
        <v>-6663.15</v>
      </c>
    </row>
    <row r="5" spans="1:8">
      <c r="A5">
        <v>51176</v>
      </c>
      <c r="B5" t="s">
        <v>67</v>
      </c>
      <c r="C5" t="s">
        <v>58</v>
      </c>
      <c r="D5" t="s">
        <v>68</v>
      </c>
      <c r="E5" t="s">
        <v>68</v>
      </c>
      <c r="F5">
        <f>SUMIF('2022'!B:B, A5,'2022'!AE:AE)</f>
        <v>12922.93</v>
      </c>
      <c r="G5">
        <f>SUMIF('2023'!B:B, A5,'2023'!AF:AF)</f>
        <v>31366.93</v>
      </c>
      <c r="H5">
        <f>SUMIF('2024'!B:B, A5,'2024'!AF:AF)</f>
        <v>15312.810000000001</v>
      </c>
    </row>
    <row r="6" spans="1:8">
      <c r="A6">
        <v>51177</v>
      </c>
      <c r="B6" t="s">
        <v>102</v>
      </c>
      <c r="C6" t="s">
        <v>58</v>
      </c>
      <c r="D6" t="s">
        <v>68</v>
      </c>
      <c r="E6" t="s">
        <v>68</v>
      </c>
      <c r="F6">
        <f>SUMIF('2022'!B:B, A6,'2022'!AE:AE)</f>
        <v>11226</v>
      </c>
      <c r="G6">
        <f>SUMIF('2023'!B:B, A6,'2023'!AF:AF)</f>
        <v>6665.8499999999995</v>
      </c>
      <c r="H6">
        <f>SUMIF('2024'!B:B, A6,'2024'!AF:AF)</f>
        <v>0</v>
      </c>
    </row>
    <row r="7" spans="1:8">
      <c r="A7">
        <v>51179</v>
      </c>
      <c r="B7" t="s">
        <v>103</v>
      </c>
      <c r="C7" t="s">
        <v>185</v>
      </c>
      <c r="D7" t="s">
        <v>68</v>
      </c>
      <c r="E7" t="s">
        <v>68</v>
      </c>
      <c r="F7">
        <f>SUMIF('2022'!B:B, A7,'2022'!AE:AE)</f>
        <v>2632.51</v>
      </c>
      <c r="G7">
        <f>SUMIF('2023'!B:B, A7,'2023'!AF:AF)</f>
        <v>3600.05</v>
      </c>
      <c r="H7">
        <f>SUMIF('2024'!B:B, A7,'2024'!AF:AF)</f>
        <v>0</v>
      </c>
    </row>
    <row r="8" spans="1:8">
      <c r="A8">
        <v>51183</v>
      </c>
      <c r="B8" t="s">
        <v>65</v>
      </c>
      <c r="C8" t="s">
        <v>58</v>
      </c>
      <c r="D8" t="s">
        <v>183</v>
      </c>
      <c r="E8" t="s">
        <v>11</v>
      </c>
      <c r="F8">
        <f>SUMIF('2022'!B:B, A8,'2022'!AE:AE)</f>
        <v>5062.5600000000004</v>
      </c>
      <c r="G8">
        <f>SUMIF('2023'!B:B, A8,'2023'!AF:AF)</f>
        <v>3526.98</v>
      </c>
      <c r="H8">
        <f>SUMIF('2024'!B:B, A8,'2024'!AF:AF)</f>
        <v>1708.9499999999998</v>
      </c>
    </row>
    <row r="9" spans="1:8">
      <c r="A9">
        <v>51206</v>
      </c>
      <c r="B9" t="s">
        <v>104</v>
      </c>
      <c r="C9" t="s">
        <v>58</v>
      </c>
      <c r="D9" t="s">
        <v>186</v>
      </c>
      <c r="E9" t="s">
        <v>116</v>
      </c>
      <c r="F9">
        <f>SUMIF('2022'!B:B, A9,'2022'!AE:AE)</f>
        <v>1418.9299999999998</v>
      </c>
      <c r="G9">
        <f>SUMIF('2023'!B:B, A9,'2023'!AF:AF)</f>
        <v>1604.2399999999998</v>
      </c>
      <c r="H9">
        <f>SUMIF('2024'!B:B, A9,'2024'!AF:AF)</f>
        <v>1410.41</v>
      </c>
    </row>
    <row r="10" spans="1:8">
      <c r="A10">
        <v>53008</v>
      </c>
      <c r="B10" t="s">
        <v>105</v>
      </c>
      <c r="C10" t="s">
        <v>58</v>
      </c>
      <c r="D10" t="s">
        <v>118</v>
      </c>
      <c r="E10" t="s">
        <v>116</v>
      </c>
      <c r="F10">
        <f>SUMIF('2022'!B:B, A10,'2022'!AE:AE)</f>
        <v>1491.06</v>
      </c>
      <c r="G10">
        <f>SUMIF('2023'!B:B, A10,'2023'!AF:AF)</f>
        <v>1871.08</v>
      </c>
      <c r="H10">
        <f>SUMIF('2024'!B:B, A10,'2024'!AF:AF)</f>
        <v>1066.8</v>
      </c>
    </row>
    <row r="11" spans="1:8">
      <c r="A11">
        <v>53011</v>
      </c>
      <c r="B11" t="s">
        <v>106</v>
      </c>
      <c r="C11" t="s">
        <v>58</v>
      </c>
      <c r="D11" t="s">
        <v>118</v>
      </c>
      <c r="E11" t="s">
        <v>116</v>
      </c>
      <c r="F11">
        <f>SUMIF('2022'!B:B, A11,'2022'!AE:AE)</f>
        <v>0</v>
      </c>
      <c r="G11">
        <f>SUMIF('2023'!B:B, A11,'2023'!AF:AF)</f>
        <v>1341.82</v>
      </c>
      <c r="H11">
        <f>SUMIF('2024'!B:B, A11,'2024'!AF:AF)</f>
        <v>0</v>
      </c>
    </row>
    <row r="12" spans="1:8">
      <c r="A12">
        <v>53012</v>
      </c>
      <c r="B12" t="s">
        <v>107</v>
      </c>
      <c r="C12" t="s">
        <v>58</v>
      </c>
      <c r="D12" t="s">
        <v>186</v>
      </c>
      <c r="E12" t="s">
        <v>116</v>
      </c>
      <c r="F12">
        <f>SUMIF('2022'!B:B, A12,'2022'!AE:AE)</f>
        <v>0</v>
      </c>
      <c r="G12">
        <f>SUMIF('2023'!B:B, A12,'2023'!AF:AF)</f>
        <v>0</v>
      </c>
      <c r="H12">
        <f>SUMIF('2024'!B:B, A12,'2024'!AF:AF)</f>
        <v>0</v>
      </c>
    </row>
    <row r="13" spans="1:8">
      <c r="A13">
        <v>59100</v>
      </c>
      <c r="B13" t="s">
        <v>108</v>
      </c>
      <c r="C13" t="s">
        <v>58</v>
      </c>
      <c r="D13" t="s">
        <v>187</v>
      </c>
      <c r="E13" t="s">
        <v>116</v>
      </c>
      <c r="F13">
        <f>SUMIF('2022'!B:B, A13,'2022'!AE:AE)</f>
        <v>77357.320000000007</v>
      </c>
      <c r="G13">
        <f>SUMIF('2023'!B:B, A13,'2023'!AF:AF)</f>
        <v>65709.489999999991</v>
      </c>
      <c r="H13">
        <f>SUMIF('2024'!B:B, A13,'2024'!AF:AF)</f>
        <v>60297.430000000008</v>
      </c>
    </row>
    <row r="14" spans="1:8">
      <c r="A14">
        <v>59200</v>
      </c>
      <c r="B14" t="s">
        <v>109</v>
      </c>
      <c r="C14" t="s">
        <v>188</v>
      </c>
      <c r="D14" t="s">
        <v>187</v>
      </c>
      <c r="E14" t="s">
        <v>116</v>
      </c>
      <c r="F14">
        <f>SUMIF('2022'!B:B, A14,'2022'!AE:AE)</f>
        <v>18540.75</v>
      </c>
      <c r="G14">
        <f>SUMIF('2023'!B:B, A14,'2023'!AF:AF)</f>
        <v>14906.25</v>
      </c>
      <c r="H14">
        <f>SUMIF('2024'!B:B, A14,'2024'!AF:AF)</f>
        <v>9580</v>
      </c>
    </row>
    <row r="15" spans="1:8">
      <c r="A15">
        <v>51202</v>
      </c>
      <c r="B15" t="s">
        <v>110</v>
      </c>
      <c r="C15" t="s">
        <v>58</v>
      </c>
      <c r="D15" t="s">
        <v>186</v>
      </c>
      <c r="E15" t="s">
        <v>116</v>
      </c>
      <c r="F15">
        <f>SUMIF('2022'!B:B, A15,'2022'!AE:AE)</f>
        <v>0</v>
      </c>
      <c r="G15">
        <f>SUMIF('2023'!B:B, A15,'2023'!AF:AF)</f>
        <v>2632.83</v>
      </c>
      <c r="H15">
        <f>SUMIF('2024'!B:B, A15,'2024'!AF:AF)</f>
        <v>2190.42</v>
      </c>
    </row>
    <row r="16" spans="1:8">
      <c r="A16">
        <v>51180</v>
      </c>
      <c r="B16" t="s">
        <v>111</v>
      </c>
      <c r="C16" t="s">
        <v>184</v>
      </c>
      <c r="D16" t="s">
        <v>68</v>
      </c>
      <c r="E16" t="s">
        <v>68</v>
      </c>
      <c r="F16">
        <f>SUMIF('2022'!B:B, A16,'2022'!AE:AE)</f>
        <v>9440.5</v>
      </c>
      <c r="G16">
        <f>SUMIF('2023'!B:B, A16,'2023'!AF:AF)</f>
        <v>6095.01</v>
      </c>
      <c r="H16">
        <f>SUMIF('2024'!B:B, A16,'2024'!AF:AF)</f>
        <v>-1862.58</v>
      </c>
    </row>
    <row r="17" spans="1:8">
      <c r="A17">
        <v>51207</v>
      </c>
      <c r="B17" t="s">
        <v>112</v>
      </c>
      <c r="C17" t="s">
        <v>58</v>
      </c>
      <c r="D17" t="s">
        <v>186</v>
      </c>
      <c r="E17" t="s">
        <v>116</v>
      </c>
      <c r="F17">
        <f>SUMIF('2022'!B:B, A17,'2022'!AE:AE)</f>
        <v>0</v>
      </c>
      <c r="G17">
        <f>SUMIF('2023'!B:B, A17,'2023'!AF:AF)</f>
        <v>0</v>
      </c>
      <c r="H17">
        <f>SUMIF('2024'!B:B, A17,'2024'!AF:AF)</f>
        <v>375</v>
      </c>
    </row>
    <row r="18" spans="1:8">
      <c r="A18">
        <v>51209</v>
      </c>
      <c r="B18" t="s">
        <v>113</v>
      </c>
      <c r="C18" t="s">
        <v>58</v>
      </c>
      <c r="D18" t="s">
        <v>186</v>
      </c>
      <c r="E18" t="s">
        <v>116</v>
      </c>
      <c r="F18">
        <f>SUMIF('2022'!B:B, A18,'2022'!AE:AE)</f>
        <v>0</v>
      </c>
      <c r="G18">
        <f>SUMIF('2023'!B:B, A18,'2023'!AF:AF)</f>
        <v>0</v>
      </c>
      <c r="H18">
        <f>SUMIF('2024'!B:B, A18,'2024'!AF:AF)</f>
        <v>0</v>
      </c>
    </row>
    <row r="19" spans="1:8">
      <c r="A19">
        <v>51178</v>
      </c>
      <c r="B19" t="s">
        <v>114</v>
      </c>
      <c r="C19" t="s">
        <v>189</v>
      </c>
      <c r="D19" t="s">
        <v>68</v>
      </c>
      <c r="E19" t="s">
        <v>68</v>
      </c>
      <c r="F19">
        <f>SUMIF('2022'!B:B, A19,'2022'!AE:AE)</f>
        <v>8003.3</v>
      </c>
      <c r="G19">
        <f>SUMIF('2023'!B:B, A19,'2023'!AF:AF)</f>
        <v>1982.74</v>
      </c>
      <c r="H19">
        <f>SUMIF('2024'!B:B, A19,'2024'!AF:AF)</f>
        <v>0</v>
      </c>
    </row>
    <row r="20" spans="1:8">
      <c r="A20">
        <v>51158</v>
      </c>
      <c r="B20" t="s">
        <v>115</v>
      </c>
      <c r="C20" t="s">
        <v>58</v>
      </c>
      <c r="D20" t="s">
        <v>183</v>
      </c>
      <c r="E20" t="s">
        <v>116</v>
      </c>
      <c r="F20">
        <f>SUMIF('2022'!B:B, A20,'2022'!AE:AE)</f>
        <v>0</v>
      </c>
      <c r="G20">
        <f>SUMIF('2023'!B:B, A20,'2023'!AF:AF)</f>
        <v>0</v>
      </c>
      <c r="H20">
        <f>SUMIF('2024'!B:B, A20,'2024'!AF:AF)</f>
        <v>0</v>
      </c>
    </row>
    <row r="21" spans="1:8">
      <c r="A21">
        <v>51184</v>
      </c>
      <c r="B21" t="s">
        <v>37</v>
      </c>
      <c r="C21" t="s">
        <v>58</v>
      </c>
      <c r="D21" t="s">
        <v>117</v>
      </c>
      <c r="E21" t="s">
        <v>10</v>
      </c>
      <c r="F21">
        <f>SUMIF('2022'!B:B, A21,'2022'!AE:AE)</f>
        <v>0</v>
      </c>
      <c r="G21">
        <f>SUMIF('2023'!B:B, A21,'2023'!AF:AF)</f>
        <v>6655.7</v>
      </c>
      <c r="H21">
        <f>SUMIF('2024'!B:B, A21,'2024'!AF:AF)</f>
        <v>26665.909999999996</v>
      </c>
    </row>
    <row r="22" spans="1:8">
      <c r="A22">
        <v>51185</v>
      </c>
      <c r="B22" t="s">
        <v>38</v>
      </c>
      <c r="C22" t="s">
        <v>58</v>
      </c>
      <c r="D22" t="s">
        <v>117</v>
      </c>
      <c r="E22" t="s">
        <v>10</v>
      </c>
      <c r="F22">
        <f>SUMIF('2022'!B:B, A22,'2022'!AE:AE)</f>
        <v>0</v>
      </c>
      <c r="G22">
        <f>SUMIF('2023'!B:B, A22,'2023'!AF:AF)</f>
        <v>0</v>
      </c>
      <c r="H22">
        <f>SUMIF('2024'!B:B, A22,'2024'!AF:AF)</f>
        <v>4761.01</v>
      </c>
    </row>
    <row r="23" spans="1:8">
      <c r="A23">
        <v>51186</v>
      </c>
      <c r="B23" t="s">
        <v>39</v>
      </c>
      <c r="C23" t="s">
        <v>58</v>
      </c>
      <c r="D23" t="s">
        <v>117</v>
      </c>
      <c r="E23" t="s">
        <v>10</v>
      </c>
      <c r="F23">
        <f>SUMIF('2022'!B:B, A23,'2022'!AE:AE)</f>
        <v>0</v>
      </c>
      <c r="G23">
        <f>SUMIF('2023'!B:B, A23,'2023'!AF:AF)</f>
        <v>2266.7800000000002</v>
      </c>
      <c r="H23">
        <f>SUMIF('2024'!B:B, A23,'2024'!AF:AF)</f>
        <v>8045.51</v>
      </c>
    </row>
    <row r="24" spans="1:8">
      <c r="A24">
        <v>51187</v>
      </c>
      <c r="B24" t="s">
        <v>40</v>
      </c>
      <c r="C24" t="s">
        <v>58</v>
      </c>
      <c r="D24" t="s">
        <v>118</v>
      </c>
      <c r="E24" t="s">
        <v>10</v>
      </c>
      <c r="F24">
        <f>SUMIF('2022'!B:B, A24,'2022'!AE:AE)</f>
        <v>0</v>
      </c>
      <c r="G24">
        <f>SUMIF('2023'!B:B, A24,'2023'!AF:AF)</f>
        <v>1173.99</v>
      </c>
      <c r="H24">
        <f>SUMIF('2024'!B:B, A24,'2024'!AF:AF)</f>
        <v>2526.58</v>
      </c>
    </row>
    <row r="25" spans="1:8">
      <c r="A25">
        <v>53000</v>
      </c>
      <c r="B25" t="s">
        <v>42</v>
      </c>
      <c r="C25" t="s">
        <v>58</v>
      </c>
      <c r="D25" t="s">
        <v>118</v>
      </c>
      <c r="E25" t="s">
        <v>116</v>
      </c>
      <c r="F25">
        <f>SUMIF('2022'!B:B, A25,'2022'!AE:AE)</f>
        <v>7647.7999999999993</v>
      </c>
      <c r="G25">
        <f>SUMIF('2023'!B:B, A25,'2023'!AF:AF)</f>
        <v>610.55999999999995</v>
      </c>
      <c r="H25">
        <f>SUMIF('2024'!B:B, A25,'2024'!AF:AF)</f>
        <v>2165.3199999999997</v>
      </c>
    </row>
    <row r="26" spans="1:8">
      <c r="A26" s="5">
        <v>53014</v>
      </c>
      <c r="B26" s="5" t="s">
        <v>43</v>
      </c>
      <c r="C26" t="s">
        <v>58</v>
      </c>
      <c r="D26" t="s">
        <v>118</v>
      </c>
      <c r="E26" t="s">
        <v>10</v>
      </c>
      <c r="F26">
        <f>SUMIF('2022'!B:B, A26,'2022'!AE:AE)</f>
        <v>0</v>
      </c>
      <c r="G26">
        <f>SUMIF('2023'!B:B, A26,'2023'!AF:AF)</f>
        <v>0</v>
      </c>
      <c r="H26">
        <f>SUMIF('2024'!B:B, A26,'2024'!AF:AF)</f>
        <v>15824.73</v>
      </c>
    </row>
    <row r="27" spans="1:8">
      <c r="A27">
        <v>53015</v>
      </c>
      <c r="B27" t="s">
        <v>44</v>
      </c>
      <c r="C27" t="s">
        <v>58</v>
      </c>
      <c r="D27" t="s">
        <v>117</v>
      </c>
      <c r="E27" t="s">
        <v>10</v>
      </c>
      <c r="F27">
        <f>SUMIF('2022'!B:B, A27,'2022'!AE:AE)</f>
        <v>0</v>
      </c>
      <c r="G27">
        <f>SUMIF('2023'!B:B, A27,'2023'!AF:AF)</f>
        <v>0</v>
      </c>
      <c r="H27">
        <f>SUMIF('2024'!B:B, A27,'2024'!AF:AF)</f>
        <v>3678.79</v>
      </c>
    </row>
    <row r="28" spans="1:8">
      <c r="A28">
        <v>53016</v>
      </c>
      <c r="B28" t="s">
        <v>45</v>
      </c>
      <c r="C28" t="s">
        <v>58</v>
      </c>
      <c r="D28" t="s">
        <v>117</v>
      </c>
      <c r="E28" t="s">
        <v>10</v>
      </c>
      <c r="F28">
        <f>SUMIF('2022'!B:B, A28,'2022'!AE:AE)</f>
        <v>0</v>
      </c>
      <c r="G28">
        <f>SUMIF('2023'!B:B, A28,'2023'!AF:AF)</f>
        <v>0</v>
      </c>
      <c r="H28">
        <f>SUMIF('2024'!B:B, A28,'2024'!AF:AF)</f>
        <v>2148.84</v>
      </c>
    </row>
    <row r="29" spans="1:8">
      <c r="A29">
        <v>51189</v>
      </c>
      <c r="B29" t="s">
        <v>41</v>
      </c>
      <c r="C29" t="s">
        <v>58</v>
      </c>
      <c r="D29" t="s">
        <v>117</v>
      </c>
      <c r="E29" t="s">
        <v>10</v>
      </c>
      <c r="F29">
        <f>SUMIF('2022'!B:B, A29,'2022'!AE:AE)</f>
        <v>0</v>
      </c>
      <c r="G29">
        <f>SUMIF('2023'!B:B, A29,'2023'!AF:AF)</f>
        <v>0</v>
      </c>
      <c r="H29">
        <f>SUMIF('2024'!B:B, A29,'2024'!AF:AF)</f>
        <v>28806.05</v>
      </c>
    </row>
    <row r="30" spans="1:8">
      <c r="A30">
        <v>53017</v>
      </c>
      <c r="B30" t="s">
        <v>46</v>
      </c>
      <c r="C30" t="s">
        <v>58</v>
      </c>
      <c r="D30" t="s">
        <v>117</v>
      </c>
      <c r="E30" t="s">
        <v>10</v>
      </c>
      <c r="F30">
        <f>SUMIF('2022'!B:B, A30,'2022'!AE:AE)</f>
        <v>0</v>
      </c>
      <c r="G30">
        <f>SUMIF('2023'!B:B, A30,'2023'!AF:AF)</f>
        <v>0</v>
      </c>
      <c r="H30">
        <f>SUMIF('2024'!B:B, A30,'2024'!AF:AF)</f>
        <v>8698.4700000000012</v>
      </c>
    </row>
    <row r="31" spans="1:8">
      <c r="A31">
        <v>53019</v>
      </c>
      <c r="B31" t="s">
        <v>48</v>
      </c>
      <c r="C31" t="s">
        <v>58</v>
      </c>
      <c r="D31" t="s">
        <v>118</v>
      </c>
      <c r="E31" t="s">
        <v>10</v>
      </c>
    </row>
    <row r="32" spans="1:8">
      <c r="A32">
        <v>53018</v>
      </c>
      <c r="B32" t="s">
        <v>49</v>
      </c>
      <c r="C32" t="s">
        <v>58</v>
      </c>
      <c r="D32" t="s">
        <v>117</v>
      </c>
      <c r="E32" t="s">
        <v>10</v>
      </c>
    </row>
    <row r="33" spans="1:5">
      <c r="A33">
        <v>53020</v>
      </c>
      <c r="B33" t="s">
        <v>50</v>
      </c>
      <c r="C33" t="s">
        <v>58</v>
      </c>
      <c r="D33" t="s">
        <v>118</v>
      </c>
      <c r="E33" t="s">
        <v>10</v>
      </c>
    </row>
    <row r="34" spans="1:5">
      <c r="A34">
        <v>51192</v>
      </c>
      <c r="B34" t="s">
        <v>51</v>
      </c>
      <c r="C34" t="s">
        <v>58</v>
      </c>
      <c r="D34" t="s">
        <v>118</v>
      </c>
      <c r="E34" t="s">
        <v>10</v>
      </c>
    </row>
    <row r="35" spans="1:5">
      <c r="A35">
        <v>51191</v>
      </c>
      <c r="B35" t="s">
        <v>52</v>
      </c>
      <c r="C35" t="s">
        <v>58</v>
      </c>
      <c r="D35" t="s">
        <v>118</v>
      </c>
      <c r="E35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4B9D-383D-4D55-A050-EED5E3FF8853}">
  <dimension ref="B2:D4"/>
  <sheetViews>
    <sheetView showGridLines="0" workbookViewId="0">
      <selection sqref="A1:XFD1048576"/>
    </sheetView>
  </sheetViews>
  <sheetFormatPr defaultRowHeight="15"/>
  <sheetData>
    <row r="2" spans="2:4">
      <c r="B2" t="s">
        <v>83</v>
      </c>
      <c r="D2" t="s">
        <v>190</v>
      </c>
    </row>
    <row r="3" spans="2:4">
      <c r="B3" t="s">
        <v>101</v>
      </c>
      <c r="D3" t="s">
        <v>191</v>
      </c>
    </row>
    <row r="4" spans="2:4">
      <c r="D4" t="s">
        <v>192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4C1493FF4C124AA61416ED9EC966E9" ma:contentTypeVersion="4" ma:contentTypeDescription="Create a new document." ma:contentTypeScope="" ma:versionID="d0c0148a9f8ce5d0f7761491e1f8e021">
  <xsd:schema xmlns:xsd="http://www.w3.org/2001/XMLSchema" xmlns:xs="http://www.w3.org/2001/XMLSchema" xmlns:p="http://schemas.microsoft.com/office/2006/metadata/properties" xmlns:ns2="34b9a112-d606-4fe6-9a6c-82dd5954e82f" targetNamespace="http://schemas.microsoft.com/office/2006/metadata/properties" ma:root="true" ma:fieldsID="6c6b9bd5373f7eefc1b6597b1c3df57f" ns2:_="">
    <xsd:import namespace="34b9a112-d606-4fe6-9a6c-82dd5954e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9a112-d606-4fe6-9a6c-82dd5954e8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825F40-702D-4824-AA31-D65CC5049B27}"/>
</file>

<file path=customXml/itemProps2.xml><?xml version="1.0" encoding="utf-8"?>
<ds:datastoreItem xmlns:ds="http://schemas.openxmlformats.org/officeDocument/2006/customXml" ds:itemID="{9C45CCA7-C9B8-45F9-9671-B030D151CFBB}"/>
</file>

<file path=customXml/itemProps3.xml><?xml version="1.0" encoding="utf-8"?>
<ds:datastoreItem xmlns:ds="http://schemas.openxmlformats.org/officeDocument/2006/customXml" ds:itemID="{1720CBBB-339E-4EC3-A3E2-BD9E459D5D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Byrom-Chadd</dc:creator>
  <cp:keywords/>
  <dc:description/>
  <cp:lastModifiedBy>Bradley Wilcock</cp:lastModifiedBy>
  <cp:revision/>
  <dcterms:created xsi:type="dcterms:W3CDTF">2025-09-15T10:16:15Z</dcterms:created>
  <dcterms:modified xsi:type="dcterms:W3CDTF">2026-02-02T12:58:07Z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0x010100964C1493FF4C124AA61416ED9EC966E9</vt:lpwstr>
  </property>
</Properties>
</file>