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qmsmedicosmetics.sharepoint.com/sites/TIFinanceSBCCT/Shared Documents/Budget/2026/Top Down/"/>
    </mc:Choice>
  </mc:AlternateContent>
  <xr:revisionPtr revIDLastSave="5056" documentId="8_{6A435E5B-164A-4E34-BF1F-8D01D3F4C8AC}" xr6:coauthVersionLast="47" xr6:coauthVersionMax="47" xr10:uidLastSave="{54876BFC-532B-465E-B6EB-B96347B1A65B}"/>
  <bookViews>
    <workbookView xWindow="-120" yWindow="-120" windowWidth="29040" windowHeight="15720" firstSheet="28" activeTab="12" xr2:uid="{F581D722-EF7C-4911-A401-C158998C3E41}"/>
  </bookViews>
  <sheets>
    <sheet name="Trackers &gt;&gt;" sheetId="53" r:id="rId1"/>
    <sheet name="Initiative Log - Detailed" sheetId="54" r:id="rId2"/>
    <sheet name="BAU Log - Detailed" sheetId="56" r:id="rId3"/>
    <sheet name="Definition" sheetId="57" r:id="rId4"/>
    <sheet name="Initiatives &gt;&gt;" sheetId="21" r:id="rId5"/>
    <sheet name="1.1 Core Markets Visibility" sheetId="32" r:id="rId6"/>
    <sheet name="1.2 Core Markets Team expansion" sheetId="22" r:id="rId7"/>
    <sheet name="2.1 Mark Wuttke Contact Book" sheetId="33" r:id="rId8"/>
    <sheet name="2.2 Jaime Contact Book" sheetId="34" r:id="rId9"/>
    <sheet name="2.3 US Visibility" sheetId="35" r:id="rId10"/>
    <sheet name="2.4 US Team Expansion" sheetId="36" r:id="rId11"/>
    <sheet name="3.1 China" sheetId="37" r:id="rId12"/>
    <sheet name="3.2 Lane Crawford" sheetId="39" r:id="rId13"/>
    <sheet name="4.1 Nadim ME" sheetId="38" r:id="rId14"/>
    <sheet name="4.2 ME Retail" sheetId="40" r:id="rId15"/>
    <sheet name="5.1 Mingo" sheetId="41" r:id="rId16"/>
    <sheet name="5.2 Juan" sheetId="42" r:id="rId17"/>
    <sheet name="5.3 Vishal_India" sheetId="45" r:id="rId18"/>
    <sheet name="5.4 Export Event" sheetId="47" r:id="rId19"/>
    <sheet name="5.5 ABC Brokers" sheetId="59" r:id="rId20"/>
    <sheet name="6.1 eComm Growth EU" sheetId="44" r:id="rId21"/>
    <sheet name="6.2 eComm Growth US" sheetId="48" r:id="rId22"/>
    <sheet name="7.1 Cambrium NPD" sheetId="43" r:id="rId23"/>
    <sheet name="7.2 Social Media_Mkting" sheetId="46" r:id="rId24"/>
    <sheet name="Initiatives Summary" sheetId="27" r:id="rId25"/>
    <sheet name="Presentation &gt;&gt;" sheetId="15" r:id="rId26"/>
    <sheet name="Potential Upside" sheetId="52" r:id="rId27"/>
    <sheet name="2025A" sheetId="16" r:id="rId28"/>
    <sheet name="2026B" sheetId="17" r:id="rId29"/>
    <sheet name="3YP" sheetId="18" r:id="rId30"/>
    <sheet name="Balance Sheet" sheetId="19" r:id="rId31"/>
    <sheet name="Cash Flows" sheetId="20" r:id="rId32"/>
    <sheet name="Initiatives Log" sheetId="49" r:id="rId33"/>
    <sheet name="2026B w. initiatives" sheetId="23" r:id="rId34"/>
    <sheet name="3YP w. initiatives" sheetId="24" r:id="rId35"/>
    <sheet name="2026B w. downside" sheetId="25" r:id="rId36"/>
    <sheet name="3YP w. downside" sheetId="26" r:id="rId37"/>
    <sheet name="3YP w. downside sens" sheetId="51" r:id="rId38"/>
    <sheet name="Sales &gt;&gt;" sheetId="8" r:id="rId39"/>
    <sheet name="Sales Budget Summary" sheetId="4" r:id="rId40"/>
    <sheet name="Co. 1 B2B Sales" sheetId="1" r:id="rId41"/>
    <sheet name="Co. 1_2 Export Sales" sheetId="2" r:id="rId42"/>
    <sheet name="Co. 3 eComm Sales" sheetId="3" r:id="rId43"/>
    <sheet name="COGS &gt;&gt;" sheetId="9" r:id="rId44"/>
    <sheet name="COGS" sheetId="6" r:id="rId45"/>
    <sheet name="Other COS" sheetId="7" r:id="rId46"/>
    <sheet name="Opex &gt;&gt;" sheetId="10" r:id="rId47"/>
    <sheet name="Base" sheetId="11" r:id="rId48"/>
    <sheet name="Extra" sheetId="12" r:id="rId49"/>
    <sheet name="Personnel Phasing" sheetId="58" r:id="rId50"/>
    <sheet name="Balance Sheet &gt;&gt;" sheetId="13" r:id="rId51"/>
    <sheet name="BS Inputs" sheetId="14" r:id="rId52"/>
    <sheet name="PY inputs &gt;&gt;" sheetId="28" r:id="rId53"/>
    <sheet name="OLB fcst" sheetId="29" r:id="rId54"/>
    <sheet name="2025B" sheetId="30" r:id="rId55"/>
    <sheet name="OLB workings" sheetId="31" r:id="rId56"/>
    <sheet name="List" sheetId="50" r:id="rId57"/>
  </sheets>
  <externalReferences>
    <externalReference r:id="rId58"/>
  </externalReferences>
  <definedNames>
    <definedName name="_xlnm._FilterDatabase" localSheetId="32" hidden="1">'Initiatives Log'!$B$2:$T$21</definedName>
    <definedName name="_xlnm.Print_Area" localSheetId="26">'Potential Upside'!$B$33:$L$63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7" l="1"/>
  <c r="D41" i="16"/>
  <c r="D40" i="16"/>
  <c r="D39" i="16"/>
  <c r="D38" i="16"/>
  <c r="D34" i="16"/>
  <c r="D33" i="16"/>
  <c r="D32" i="16"/>
  <c r="D27" i="16"/>
  <c r="D26" i="16"/>
  <c r="D25" i="16"/>
  <c r="D24" i="16"/>
  <c r="D23" i="16"/>
  <c r="D22" i="16"/>
  <c r="D21" i="16"/>
  <c r="D18" i="16"/>
  <c r="D17" i="16"/>
  <c r="D14" i="16"/>
  <c r="D13" i="16"/>
  <c r="D10" i="16"/>
  <c r="D9" i="16"/>
  <c r="D8" i="16"/>
  <c r="D7" i="16"/>
  <c r="D6" i="16"/>
  <c r="D5" i="16"/>
  <c r="S10" i="43"/>
  <c r="T10" i="43"/>
  <c r="T16" i="43" s="1"/>
  <c r="U10" i="43"/>
  <c r="U16" i="43" s="1"/>
  <c r="V10" i="43"/>
  <c r="V16" i="43" s="1"/>
  <c r="W10" i="43"/>
  <c r="W16" i="43" s="1"/>
  <c r="X10" i="43"/>
  <c r="Y10" i="43"/>
  <c r="Z10" i="43"/>
  <c r="Z11" i="43" s="1"/>
  <c r="AA10" i="43"/>
  <c r="AA11" i="43" s="1"/>
  <c r="AB10" i="43"/>
  <c r="AB11" i="43" s="1"/>
  <c r="AC10" i="43"/>
  <c r="AC11" i="43" s="1"/>
  <c r="S11" i="43"/>
  <c r="T11" i="43"/>
  <c r="U11" i="43"/>
  <c r="V11" i="43"/>
  <c r="W11" i="43"/>
  <c r="X11" i="43"/>
  <c r="Y11" i="43"/>
  <c r="S16" i="43"/>
  <c r="S22" i="43" s="1"/>
  <c r="X16" i="43"/>
  <c r="X22" i="43" s="1"/>
  <c r="Y16" i="43"/>
  <c r="Y22" i="43" s="1"/>
  <c r="Z16" i="43"/>
  <c r="Z17" i="43" s="1"/>
  <c r="AA16" i="43"/>
  <c r="AA17" i="43" s="1"/>
  <c r="AB16" i="43"/>
  <c r="AB17" i="43" s="1"/>
  <c r="AC16" i="43"/>
  <c r="AC17" i="43" s="1"/>
  <c r="S17" i="43"/>
  <c r="AH19" i="43"/>
  <c r="AI19" i="43" s="1"/>
  <c r="AJ19" i="43" s="1"/>
  <c r="AK19" i="43" s="1"/>
  <c r="AL19" i="43" s="1"/>
  <c r="AM19" i="43" s="1"/>
  <c r="AN19" i="43" s="1"/>
  <c r="AO19" i="43" s="1"/>
  <c r="AP19" i="43" s="1"/>
  <c r="AQ19" i="43" s="1"/>
  <c r="AR19" i="43" s="1"/>
  <c r="AS19" i="43" s="1"/>
  <c r="AT19" i="43" s="1"/>
  <c r="AU19" i="43" s="1"/>
  <c r="AI13" i="43"/>
  <c r="AJ13" i="43" s="1"/>
  <c r="AK13" i="43" s="1"/>
  <c r="AL13" i="43" s="1"/>
  <c r="AM13" i="43" s="1"/>
  <c r="AN13" i="43" s="1"/>
  <c r="AO13" i="43" s="1"/>
  <c r="AP13" i="43" s="1"/>
  <c r="AQ13" i="43" s="1"/>
  <c r="AR13" i="43" s="1"/>
  <c r="AS13" i="43" s="1"/>
  <c r="AT13" i="43" s="1"/>
  <c r="AU13" i="43" s="1"/>
  <c r="AH13" i="43"/>
  <c r="AH8" i="43"/>
  <c r="AI8" i="43" s="1"/>
  <c r="AJ8" i="43" s="1"/>
  <c r="AK8" i="43" s="1"/>
  <c r="AL8" i="43" s="1"/>
  <c r="AM8" i="43" s="1"/>
  <c r="AN8" i="43" s="1"/>
  <c r="AO8" i="43" s="1"/>
  <c r="AP8" i="43" s="1"/>
  <c r="AQ8" i="43" s="1"/>
  <c r="AR8" i="43" s="1"/>
  <c r="AS8" i="43" s="1"/>
  <c r="AT8" i="43" s="1"/>
  <c r="AU8" i="43" s="1"/>
  <c r="AH7" i="43"/>
  <c r="AH10" i="43" s="1"/>
  <c r="AE25" i="43"/>
  <c r="AF25" i="43"/>
  <c r="AE26" i="43"/>
  <c r="AF26" i="43"/>
  <c r="AD26" i="43"/>
  <c r="AD25" i="43"/>
  <c r="AD20" i="43"/>
  <c r="AD19" i="43"/>
  <c r="AE8" i="43"/>
  <c r="AF8" i="43"/>
  <c r="AE10" i="43"/>
  <c r="AF10" i="43"/>
  <c r="AF16" i="43" s="1"/>
  <c r="AE11" i="43"/>
  <c r="AE13" i="43"/>
  <c r="AF13" i="43"/>
  <c r="AE16" i="43"/>
  <c r="AE17" i="43" s="1"/>
  <c r="AE22" i="43"/>
  <c r="AE23" i="43"/>
  <c r="AE28" i="43"/>
  <c r="AE29" i="43" s="1"/>
  <c r="AD13" i="43"/>
  <c r="AD8" i="43"/>
  <c r="AD10" i="43" s="1"/>
  <c r="AF7" i="43"/>
  <c r="AE7" i="43"/>
  <c r="AD7" i="43"/>
  <c r="V7" i="48"/>
  <c r="W7" i="48"/>
  <c r="X7" i="48"/>
  <c r="Y7" i="48"/>
  <c r="Z7" i="48"/>
  <c r="Z8" i="48" s="1"/>
  <c r="Z10" i="48" s="1"/>
  <c r="Z16" i="48" s="1"/>
  <c r="AA7" i="48"/>
  <c r="AA8" i="48" s="1"/>
  <c r="AB7" i="48"/>
  <c r="AB8" i="48" s="1"/>
  <c r="AC7" i="48"/>
  <c r="AC8" i="48" s="1"/>
  <c r="AD7" i="48"/>
  <c r="AD8" i="48" s="1"/>
  <c r="AE7" i="48"/>
  <c r="AE8" i="48" s="1"/>
  <c r="AF7" i="48"/>
  <c r="U7" i="48"/>
  <c r="AJ19" i="44"/>
  <c r="AK19" i="44" s="1"/>
  <c r="AL19" i="44" s="1"/>
  <c r="AM19" i="44" s="1"/>
  <c r="AN19" i="44" s="1"/>
  <c r="AO19" i="44" s="1"/>
  <c r="AP19" i="44" s="1"/>
  <c r="AQ19" i="44" s="1"/>
  <c r="AR19" i="44" s="1"/>
  <c r="AS19" i="44" s="1"/>
  <c r="AT19" i="44" s="1"/>
  <c r="AU19" i="44" s="1"/>
  <c r="AI19" i="44"/>
  <c r="AH19" i="44"/>
  <c r="AF19" i="44"/>
  <c r="AE19" i="44"/>
  <c r="AD19" i="44"/>
  <c r="AC19" i="44"/>
  <c r="AB19" i="44"/>
  <c r="AA19" i="44"/>
  <c r="Z19" i="44"/>
  <c r="Y19" i="44"/>
  <c r="X19" i="44"/>
  <c r="W19" i="44"/>
  <c r="V19" i="44"/>
  <c r="U19" i="44"/>
  <c r="AH13" i="44"/>
  <c r="AI13" i="44" s="1"/>
  <c r="AJ13" i="44" s="1"/>
  <c r="AK13" i="44" s="1"/>
  <c r="AL13" i="44" s="1"/>
  <c r="AA13" i="44"/>
  <c r="W13" i="44"/>
  <c r="V13" i="44"/>
  <c r="U13" i="44"/>
  <c r="T10" i="44"/>
  <c r="T11" i="44" s="1"/>
  <c r="S10" i="44"/>
  <c r="S11" i="44" s="1"/>
  <c r="AH8" i="44"/>
  <c r="AI8" i="44" s="1"/>
  <c r="AJ8" i="44" s="1"/>
  <c r="AK8" i="44" s="1"/>
  <c r="AL8" i="44" s="1"/>
  <c r="AM8" i="44" s="1"/>
  <c r="AA8" i="44"/>
  <c r="AA10" i="44" s="1"/>
  <c r="Z8" i="44"/>
  <c r="X8" i="44"/>
  <c r="W8" i="44"/>
  <c r="W10" i="44" s="1"/>
  <c r="V8" i="44"/>
  <c r="V10" i="44" s="1"/>
  <c r="AH7" i="44"/>
  <c r="AI7" i="44" s="1"/>
  <c r="AF7" i="44"/>
  <c r="AF8" i="44" s="1"/>
  <c r="AE7" i="44"/>
  <c r="AE13" i="44" s="1"/>
  <c r="AD7" i="44"/>
  <c r="AC7" i="44"/>
  <c r="AB7" i="44"/>
  <c r="AA7" i="44"/>
  <c r="Z7" i="44"/>
  <c r="Z13" i="44" s="1"/>
  <c r="Y7" i="44"/>
  <c r="Y13" i="44" s="1"/>
  <c r="X7" i="44"/>
  <c r="X10" i="44" s="1"/>
  <c r="W7" i="44"/>
  <c r="V7" i="44"/>
  <c r="U7" i="44"/>
  <c r="U8" i="44" s="1"/>
  <c r="U10" i="44" s="1"/>
  <c r="AH19" i="48"/>
  <c r="AI19" i="48" s="1"/>
  <c r="AJ19" i="48" s="1"/>
  <c r="AK19" i="48" s="1"/>
  <c r="AL19" i="48" s="1"/>
  <c r="AM19" i="48" s="1"/>
  <c r="AN19" i="48" s="1"/>
  <c r="AO19" i="48" s="1"/>
  <c r="AP19" i="48" s="1"/>
  <c r="AQ19" i="48" s="1"/>
  <c r="AR19" i="48" s="1"/>
  <c r="AS19" i="48" s="1"/>
  <c r="AT19" i="48" s="1"/>
  <c r="AU19" i="48" s="1"/>
  <c r="AH13" i="48"/>
  <c r="AI13" i="48" s="1"/>
  <c r="AH8" i="48"/>
  <c r="AI8" i="48" s="1"/>
  <c r="AH7" i="48"/>
  <c r="AH10" i="48" s="1"/>
  <c r="V8" i="48"/>
  <c r="V10" i="48" s="1"/>
  <c r="W8" i="48"/>
  <c r="W10" i="48" s="1"/>
  <c r="X8" i="48"/>
  <c r="X10" i="48" s="1"/>
  <c r="X16" i="48" s="1"/>
  <c r="Y8" i="48"/>
  <c r="Y10" i="48" s="1"/>
  <c r="AF8" i="48"/>
  <c r="U8" i="48"/>
  <c r="U10" i="48" s="1"/>
  <c r="V13" i="48"/>
  <c r="W13" i="48"/>
  <c r="X13" i="48"/>
  <c r="Y13" i="48"/>
  <c r="Z13" i="48"/>
  <c r="AA13" i="48"/>
  <c r="AB13" i="48"/>
  <c r="AC13" i="48"/>
  <c r="AD13" i="48"/>
  <c r="AE13" i="48"/>
  <c r="AF13" i="48"/>
  <c r="U13" i="48"/>
  <c r="T10" i="48"/>
  <c r="AF10" i="48"/>
  <c r="AF11" i="48" s="1"/>
  <c r="T11" i="48"/>
  <c r="T16" i="48"/>
  <c r="T22" i="48" s="1"/>
  <c r="T17" i="48"/>
  <c r="S10" i="48"/>
  <c r="S16" i="48" s="1"/>
  <c r="V19" i="48"/>
  <c r="W19" i="48"/>
  <c r="X19" i="48"/>
  <c r="Y19" i="48"/>
  <c r="Z19" i="48"/>
  <c r="AA19" i="48"/>
  <c r="AB19" i="48"/>
  <c r="AC19" i="48"/>
  <c r="AD19" i="48"/>
  <c r="AE19" i="48"/>
  <c r="AF19" i="48"/>
  <c r="U19" i="48"/>
  <c r="AH19" i="46"/>
  <c r="AI19" i="46" s="1"/>
  <c r="AJ19" i="46" s="1"/>
  <c r="AK19" i="46" s="1"/>
  <c r="AL19" i="46" s="1"/>
  <c r="AM19" i="46" s="1"/>
  <c r="AN19" i="46" s="1"/>
  <c r="AO19" i="46" s="1"/>
  <c r="AP19" i="46" s="1"/>
  <c r="AQ19" i="46" s="1"/>
  <c r="AR19" i="46" s="1"/>
  <c r="AS19" i="46" s="1"/>
  <c r="AT19" i="46" s="1"/>
  <c r="AU19" i="46" s="1"/>
  <c r="AH13" i="46"/>
  <c r="AI13" i="46" s="1"/>
  <c r="AJ13" i="46" s="1"/>
  <c r="AK13" i="46" s="1"/>
  <c r="AL13" i="46" s="1"/>
  <c r="AM13" i="46" s="1"/>
  <c r="AN13" i="46" s="1"/>
  <c r="AO13" i="46" s="1"/>
  <c r="AP13" i="46" s="1"/>
  <c r="AQ13" i="46" s="1"/>
  <c r="AR13" i="46" s="1"/>
  <c r="AS13" i="46" s="1"/>
  <c r="AT13" i="46" s="1"/>
  <c r="AU13" i="46" s="1"/>
  <c r="AH8" i="46"/>
  <c r="AI8" i="46" s="1"/>
  <c r="AJ8" i="46" s="1"/>
  <c r="AK8" i="46" s="1"/>
  <c r="AL8" i="46" s="1"/>
  <c r="AM8" i="46" s="1"/>
  <c r="AN8" i="46" s="1"/>
  <c r="AO8" i="46" s="1"/>
  <c r="AP8" i="46" s="1"/>
  <c r="AQ8" i="46" s="1"/>
  <c r="AR8" i="46" s="1"/>
  <c r="AS8" i="46" s="1"/>
  <c r="AT8" i="46" s="1"/>
  <c r="AU8" i="46" s="1"/>
  <c r="AH7" i="46"/>
  <c r="S28" i="46"/>
  <c r="S29" i="46" s="1"/>
  <c r="T28" i="46"/>
  <c r="T29" i="46" s="1"/>
  <c r="U28" i="46"/>
  <c r="U29" i="46" s="1"/>
  <c r="V28" i="46"/>
  <c r="V29" i="46" s="1"/>
  <c r="W28" i="46"/>
  <c r="W29" i="46" s="1"/>
  <c r="S22" i="46"/>
  <c r="S23" i="46" s="1"/>
  <c r="T22" i="46"/>
  <c r="T23" i="46" s="1"/>
  <c r="U22" i="46"/>
  <c r="V22" i="46"/>
  <c r="W22" i="46"/>
  <c r="U23" i="46"/>
  <c r="V23" i="46"/>
  <c r="W23" i="46"/>
  <c r="S16" i="46"/>
  <c r="S17" i="46" s="1"/>
  <c r="T16" i="46"/>
  <c r="T17" i="46" s="1"/>
  <c r="U16" i="46"/>
  <c r="V16" i="46"/>
  <c r="W16" i="46"/>
  <c r="U17" i="46"/>
  <c r="V17" i="46"/>
  <c r="W17" i="46"/>
  <c r="S10" i="46"/>
  <c r="T10" i="46"/>
  <c r="U10" i="46"/>
  <c r="V10" i="46"/>
  <c r="W10" i="46"/>
  <c r="S11" i="46"/>
  <c r="T11" i="46"/>
  <c r="U11" i="46"/>
  <c r="V11" i="46"/>
  <c r="W11" i="46"/>
  <c r="AF33" i="46"/>
  <c r="AF34" i="46" s="1"/>
  <c r="AE33" i="46"/>
  <c r="AE34" i="46" s="1"/>
  <c r="AD33" i="46"/>
  <c r="AD34" i="46" s="1"/>
  <c r="AC33" i="46"/>
  <c r="AC34" i="46" s="1"/>
  <c r="AB33" i="46"/>
  <c r="AB34" i="46" s="1"/>
  <c r="AA33" i="46"/>
  <c r="AA34" i="46" s="1"/>
  <c r="Z33" i="46"/>
  <c r="Z34" i="46" s="1"/>
  <c r="Y33" i="46"/>
  <c r="Y34" i="46" s="1"/>
  <c r="X33" i="46"/>
  <c r="X34" i="46" s="1"/>
  <c r="AF28" i="46"/>
  <c r="AF29" i="46" s="1"/>
  <c r="AE28" i="46"/>
  <c r="AE29" i="46" s="1"/>
  <c r="AD28" i="46"/>
  <c r="AD29" i="46" s="1"/>
  <c r="AC28" i="46"/>
  <c r="AC29" i="46" s="1"/>
  <c r="AB28" i="46"/>
  <c r="AB29" i="46" s="1"/>
  <c r="AA28" i="46"/>
  <c r="AA29" i="46" s="1"/>
  <c r="Z28" i="46"/>
  <c r="Z29" i="46" s="1"/>
  <c r="Y28" i="46"/>
  <c r="Y29" i="46" s="1"/>
  <c r="X28" i="46"/>
  <c r="X29" i="46" s="1"/>
  <c r="AF22" i="46"/>
  <c r="AF23" i="46" s="1"/>
  <c r="AE22" i="46"/>
  <c r="AE23" i="46" s="1"/>
  <c r="AD22" i="46"/>
  <c r="AD23" i="46" s="1"/>
  <c r="AC22" i="46"/>
  <c r="AC23" i="46" s="1"/>
  <c r="AB22" i="46"/>
  <c r="AB23" i="46" s="1"/>
  <c r="AA22" i="46"/>
  <c r="AA23" i="46" s="1"/>
  <c r="Z22" i="46"/>
  <c r="Z23" i="46" s="1"/>
  <c r="Y22" i="46"/>
  <c r="Y23" i="46" s="1"/>
  <c r="X22" i="46"/>
  <c r="X23" i="46" s="1"/>
  <c r="AF16" i="46"/>
  <c r="AF17" i="46" s="1"/>
  <c r="AE16" i="46"/>
  <c r="AE17" i="46" s="1"/>
  <c r="AD16" i="46"/>
  <c r="AD17" i="46" s="1"/>
  <c r="AC16" i="46"/>
  <c r="AC17" i="46" s="1"/>
  <c r="AB16" i="46"/>
  <c r="AB17" i="46" s="1"/>
  <c r="AA16" i="46"/>
  <c r="AA17" i="46" s="1"/>
  <c r="Z16" i="46"/>
  <c r="Z17" i="46" s="1"/>
  <c r="Y16" i="46"/>
  <c r="Y17" i="46" s="1"/>
  <c r="X16" i="46"/>
  <c r="X17" i="46" s="1"/>
  <c r="AF10" i="46"/>
  <c r="AF11" i="46" s="1"/>
  <c r="AE10" i="46"/>
  <c r="AE11" i="46" s="1"/>
  <c r="AD10" i="46"/>
  <c r="AD11" i="46" s="1"/>
  <c r="AC10" i="46"/>
  <c r="AC11" i="46" s="1"/>
  <c r="AB10" i="46"/>
  <c r="AB11" i="46" s="1"/>
  <c r="AA10" i="46"/>
  <c r="AA11" i="46" s="1"/>
  <c r="Z10" i="46"/>
  <c r="Z11" i="46" s="1"/>
  <c r="Y10" i="46"/>
  <c r="Y11" i="46" s="1"/>
  <c r="X10" i="46"/>
  <c r="X11" i="46" s="1"/>
  <c r="AF25" i="46"/>
  <c r="AE25" i="46"/>
  <c r="AD25" i="46"/>
  <c r="AC25" i="46"/>
  <c r="AB25" i="46"/>
  <c r="AA25" i="46"/>
  <c r="Z25" i="46"/>
  <c r="Y25" i="46"/>
  <c r="X25" i="46"/>
  <c r="X19" i="46"/>
  <c r="Y19" i="46"/>
  <c r="Z19" i="46"/>
  <c r="AA19" i="46"/>
  <c r="AB19" i="46"/>
  <c r="AC19" i="46"/>
  <c r="AD19" i="46"/>
  <c r="AE19" i="46"/>
  <c r="AF19" i="46"/>
  <c r="W19" i="46"/>
  <c r="AF14" i="46"/>
  <c r="AE14" i="46"/>
  <c r="AD14" i="46"/>
  <c r="AC14" i="46"/>
  <c r="AB14" i="46"/>
  <c r="AA14" i="46"/>
  <c r="Z14" i="46"/>
  <c r="Y14" i="46"/>
  <c r="X14" i="46"/>
  <c r="AF13" i="46"/>
  <c r="AE13" i="46"/>
  <c r="AD13" i="46"/>
  <c r="AC13" i="46"/>
  <c r="AB13" i="46"/>
  <c r="AA13" i="46"/>
  <c r="Z13" i="46"/>
  <c r="Y13" i="46"/>
  <c r="X13" i="46"/>
  <c r="Y8" i="46"/>
  <c r="Z8" i="46"/>
  <c r="AA8" i="46"/>
  <c r="AB8" i="46"/>
  <c r="AC8" i="46"/>
  <c r="AD8" i="46"/>
  <c r="AE8" i="46"/>
  <c r="AF8" i="46"/>
  <c r="X8" i="46"/>
  <c r="Y7" i="46"/>
  <c r="Z7" i="46"/>
  <c r="AA7" i="46"/>
  <c r="AB7" i="46"/>
  <c r="AC7" i="46"/>
  <c r="AD7" i="46"/>
  <c r="AE7" i="46"/>
  <c r="AF7" i="46"/>
  <c r="X7" i="46"/>
  <c r="AG15" i="35"/>
  <c r="AH15" i="35" s="1"/>
  <c r="AI15" i="35" s="1"/>
  <c r="AJ15" i="35" s="1"/>
  <c r="AK15" i="35" s="1"/>
  <c r="AL15" i="35" s="1"/>
  <c r="AM15" i="35" s="1"/>
  <c r="AN15" i="35" s="1"/>
  <c r="AO15" i="35" s="1"/>
  <c r="AP15" i="35" s="1"/>
  <c r="AQ15" i="35" s="1"/>
  <c r="AR15" i="35" s="1"/>
  <c r="AS15" i="35" s="1"/>
  <c r="AT15" i="35" s="1"/>
  <c r="AG14" i="35"/>
  <c r="AH14" i="35" s="1"/>
  <c r="AI14" i="35" s="1"/>
  <c r="AJ14" i="35" s="1"/>
  <c r="AK14" i="35" s="1"/>
  <c r="AL14" i="35" s="1"/>
  <c r="AM14" i="35" s="1"/>
  <c r="AN14" i="35" s="1"/>
  <c r="AO14" i="35" s="1"/>
  <c r="AP14" i="35" s="1"/>
  <c r="AQ14" i="35" s="1"/>
  <c r="AR14" i="35" s="1"/>
  <c r="AS14" i="35" s="1"/>
  <c r="AT14" i="35" s="1"/>
  <c r="AG11" i="35"/>
  <c r="AH11" i="35" s="1"/>
  <c r="AI11" i="35" s="1"/>
  <c r="AJ11" i="35" s="1"/>
  <c r="AK11" i="35" s="1"/>
  <c r="AL11" i="35" s="1"/>
  <c r="AM11" i="35" s="1"/>
  <c r="AN11" i="35" s="1"/>
  <c r="AO11" i="35" s="1"/>
  <c r="AP11" i="35" s="1"/>
  <c r="AQ11" i="35" s="1"/>
  <c r="AR11" i="35" s="1"/>
  <c r="AS11" i="35" s="1"/>
  <c r="AT11" i="35" s="1"/>
  <c r="AG10" i="35"/>
  <c r="AH10" i="35" s="1"/>
  <c r="AI10" i="35" s="1"/>
  <c r="AJ10" i="35" s="1"/>
  <c r="AK10" i="35" s="1"/>
  <c r="AL10" i="35" s="1"/>
  <c r="AM10" i="35" s="1"/>
  <c r="AN10" i="35" s="1"/>
  <c r="AO10" i="35" s="1"/>
  <c r="AP10" i="35" s="1"/>
  <c r="AQ10" i="35" s="1"/>
  <c r="AR10" i="35" s="1"/>
  <c r="AS10" i="35" s="1"/>
  <c r="AT10" i="35" s="1"/>
  <c r="AG7" i="35"/>
  <c r="AH7" i="35" s="1"/>
  <c r="AI7" i="35" s="1"/>
  <c r="AJ7" i="35" s="1"/>
  <c r="AK7" i="35" s="1"/>
  <c r="AL7" i="35" s="1"/>
  <c r="AM7" i="35" s="1"/>
  <c r="AN7" i="35" s="1"/>
  <c r="AO7" i="35" s="1"/>
  <c r="AP7" i="35" s="1"/>
  <c r="AQ7" i="35" s="1"/>
  <c r="AR7" i="35" s="1"/>
  <c r="AS7" i="35" s="1"/>
  <c r="AT7" i="35" s="1"/>
  <c r="AG6" i="35"/>
  <c r="AH6" i="35" s="1"/>
  <c r="AI6" i="35" s="1"/>
  <c r="AJ6" i="35" s="1"/>
  <c r="AK6" i="35" s="1"/>
  <c r="AL6" i="35" s="1"/>
  <c r="AM6" i="35" s="1"/>
  <c r="AN6" i="35" s="1"/>
  <c r="AO6" i="35" s="1"/>
  <c r="AP6" i="35" s="1"/>
  <c r="AQ6" i="35" s="1"/>
  <c r="AR6" i="35" s="1"/>
  <c r="AS6" i="35" s="1"/>
  <c r="AT6" i="35" s="1"/>
  <c r="AE15" i="35"/>
  <c r="AD15" i="35"/>
  <c r="AC15" i="35"/>
  <c r="AB15" i="35"/>
  <c r="AA15" i="35"/>
  <c r="Z15" i="35"/>
  <c r="Y15" i="35"/>
  <c r="X15" i="35"/>
  <c r="W15" i="35"/>
  <c r="V15" i="35"/>
  <c r="AE14" i="35"/>
  <c r="AD14" i="35"/>
  <c r="AC14" i="35"/>
  <c r="AB14" i="35"/>
  <c r="AA14" i="35"/>
  <c r="Z14" i="35"/>
  <c r="Y14" i="35"/>
  <c r="X14" i="35"/>
  <c r="W14" i="35"/>
  <c r="V14" i="35"/>
  <c r="AC10" i="35"/>
  <c r="AB10" i="35"/>
  <c r="AA10" i="35"/>
  <c r="Z10" i="35"/>
  <c r="Y10" i="35"/>
  <c r="X10" i="35"/>
  <c r="AE7" i="35"/>
  <c r="AD7" i="35"/>
  <c r="AC7" i="35"/>
  <c r="AB7" i="35"/>
  <c r="AA7" i="35"/>
  <c r="Z7" i="35"/>
  <c r="Y11" i="35" s="1"/>
  <c r="AE6" i="35"/>
  <c r="AD6" i="35"/>
  <c r="AC6" i="35"/>
  <c r="AB6" i="35"/>
  <c r="AA6" i="35"/>
  <c r="Z6" i="35"/>
  <c r="AE10" i="35" s="1"/>
  <c r="V11" i="32"/>
  <c r="W11" i="32"/>
  <c r="X11" i="32"/>
  <c r="Y11" i="32"/>
  <c r="Z11" i="32"/>
  <c r="AA11" i="32"/>
  <c r="AB11" i="32"/>
  <c r="AC11" i="32"/>
  <c r="AD11" i="32"/>
  <c r="AE11" i="32"/>
  <c r="W10" i="32"/>
  <c r="X10" i="32"/>
  <c r="Y10" i="32"/>
  <c r="Z10" i="32"/>
  <c r="AA10" i="32"/>
  <c r="AB10" i="32"/>
  <c r="AC10" i="32"/>
  <c r="AD10" i="32"/>
  <c r="AE10" i="32"/>
  <c r="V10" i="32"/>
  <c r="W14" i="32"/>
  <c r="X14" i="32"/>
  <c r="Y14" i="32"/>
  <c r="Z14" i="32"/>
  <c r="AA14" i="32"/>
  <c r="AB14" i="32"/>
  <c r="AC14" i="32"/>
  <c r="AD14" i="32"/>
  <c r="AE14" i="32"/>
  <c r="W15" i="32"/>
  <c r="X15" i="32"/>
  <c r="Y15" i="32"/>
  <c r="Z15" i="32"/>
  <c r="AA15" i="32"/>
  <c r="AB15" i="32"/>
  <c r="AC15" i="32"/>
  <c r="AD15" i="32"/>
  <c r="AE15" i="32"/>
  <c r="V15" i="32"/>
  <c r="V14" i="32"/>
  <c r="AA7" i="32"/>
  <c r="AB7" i="32"/>
  <c r="AC7" i="32"/>
  <c r="AD7" i="32"/>
  <c r="AE7" i="32"/>
  <c r="Z7" i="32"/>
  <c r="AA6" i="32"/>
  <c r="AB6" i="32"/>
  <c r="AC6" i="32"/>
  <c r="AD6" i="32"/>
  <c r="AE6" i="32"/>
  <c r="Z6" i="32"/>
  <c r="AH19" i="37"/>
  <c r="AH13" i="37"/>
  <c r="AI16" i="37"/>
  <c r="AI17" i="37" s="1"/>
  <c r="AJ16" i="37"/>
  <c r="AJ17" i="37" s="1"/>
  <c r="AK16" i="37"/>
  <c r="AK17" i="37" s="1"/>
  <c r="AL16" i="37"/>
  <c r="AS16" i="37"/>
  <c r="AT16" i="37"/>
  <c r="AU16" i="37"/>
  <c r="AU17" i="37" s="1"/>
  <c r="AS17" i="37"/>
  <c r="AT17" i="37"/>
  <c r="AI10" i="37"/>
  <c r="AJ10" i="37"/>
  <c r="AK10" i="37"/>
  <c r="AL10" i="37"/>
  <c r="AM10" i="37"/>
  <c r="AN10" i="37"/>
  <c r="AO10" i="37"/>
  <c r="AO11" i="37" s="1"/>
  <c r="AP10" i="37"/>
  <c r="AP11" i="37" s="1"/>
  <c r="AQ10" i="37"/>
  <c r="AQ11" i="37" s="1"/>
  <c r="AR10" i="37"/>
  <c r="AR11" i="37" s="1"/>
  <c r="AS10" i="37"/>
  <c r="AS11" i="37" s="1"/>
  <c r="AT10" i="37"/>
  <c r="AT11" i="37" s="1"/>
  <c r="AU10" i="37"/>
  <c r="AU11" i="37" s="1"/>
  <c r="AI11" i="37"/>
  <c r="AJ11" i="37"/>
  <c r="AK11" i="37"/>
  <c r="AL11" i="37"/>
  <c r="AM11" i="37"/>
  <c r="AN11" i="37"/>
  <c r="AH10" i="37"/>
  <c r="AH16" i="37" s="1"/>
  <c r="Z34" i="37"/>
  <c r="T34" i="37"/>
  <c r="S34" i="37"/>
  <c r="AF33" i="37"/>
  <c r="AF34" i="37" s="1"/>
  <c r="AE33" i="37"/>
  <c r="AE34" i="37" s="1"/>
  <c r="AD33" i="37"/>
  <c r="AD34" i="37" s="1"/>
  <c r="AC33" i="37"/>
  <c r="AC34" i="37" s="1"/>
  <c r="AB33" i="37"/>
  <c r="AB34" i="37" s="1"/>
  <c r="AA33" i="37"/>
  <c r="AA34" i="37" s="1"/>
  <c r="Z33" i="37"/>
  <c r="Y33" i="37"/>
  <c r="Y34" i="37" s="1"/>
  <c r="X33" i="37"/>
  <c r="X34" i="37" s="1"/>
  <c r="W33" i="37"/>
  <c r="W34" i="37" s="1"/>
  <c r="V33" i="37"/>
  <c r="V34" i="37" s="1"/>
  <c r="U33" i="37"/>
  <c r="U34" i="37" s="1"/>
  <c r="T33" i="37"/>
  <c r="S33" i="37"/>
  <c r="AD29" i="37"/>
  <c r="Z29" i="37"/>
  <c r="Y29" i="37"/>
  <c r="X29" i="37"/>
  <c r="W29" i="37"/>
  <c r="V29" i="37"/>
  <c r="U29" i="37"/>
  <c r="T29" i="37"/>
  <c r="S29" i="37"/>
  <c r="AF28" i="37"/>
  <c r="AF29" i="37" s="1"/>
  <c r="AE28" i="37"/>
  <c r="AE29" i="37" s="1"/>
  <c r="AD28" i="37"/>
  <c r="AC28" i="37"/>
  <c r="AC29" i="37" s="1"/>
  <c r="AB28" i="37"/>
  <c r="AB29" i="37" s="1"/>
  <c r="AA28" i="37"/>
  <c r="AA29" i="37" s="1"/>
  <c r="Z28" i="37"/>
  <c r="Y28" i="37"/>
  <c r="X28" i="37"/>
  <c r="W28" i="37"/>
  <c r="V28" i="37"/>
  <c r="U28" i="37"/>
  <c r="T28" i="37"/>
  <c r="S28" i="37"/>
  <c r="Z23" i="37"/>
  <c r="Y23" i="37"/>
  <c r="X23" i="37"/>
  <c r="W23" i="37"/>
  <c r="V23" i="37"/>
  <c r="U23" i="37"/>
  <c r="T23" i="37"/>
  <c r="S23" i="37"/>
  <c r="AF22" i="37"/>
  <c r="AF23" i="37" s="1"/>
  <c r="AE22" i="37"/>
  <c r="AE23" i="37" s="1"/>
  <c r="AD22" i="37"/>
  <c r="AD23" i="37" s="1"/>
  <c r="AC22" i="37"/>
  <c r="AC23" i="37" s="1"/>
  <c r="AB22" i="37"/>
  <c r="AB23" i="37" s="1"/>
  <c r="AA22" i="37"/>
  <c r="AA23" i="37" s="1"/>
  <c r="Z22" i="37"/>
  <c r="Y22" i="37"/>
  <c r="X22" i="37"/>
  <c r="W22" i="37"/>
  <c r="V22" i="37"/>
  <c r="U22" i="37"/>
  <c r="T22" i="37"/>
  <c r="S22" i="37"/>
  <c r="AA17" i="37"/>
  <c r="Z17" i="37"/>
  <c r="Y17" i="37"/>
  <c r="X17" i="37"/>
  <c r="W17" i="37"/>
  <c r="V17" i="37"/>
  <c r="U17" i="37"/>
  <c r="T17" i="37"/>
  <c r="S17" i="37"/>
  <c r="AF16" i="37"/>
  <c r="AF17" i="37" s="1"/>
  <c r="AE16" i="37"/>
  <c r="AE17" i="37" s="1"/>
  <c r="AD16" i="37"/>
  <c r="AD17" i="37" s="1"/>
  <c r="AC16" i="37"/>
  <c r="AC17" i="37" s="1"/>
  <c r="AB16" i="37"/>
  <c r="AB17" i="37" s="1"/>
  <c r="AA16" i="37"/>
  <c r="Z16" i="37"/>
  <c r="Y16" i="37"/>
  <c r="X16" i="37"/>
  <c r="W16" i="37"/>
  <c r="V16" i="37"/>
  <c r="U16" i="37"/>
  <c r="T16" i="37"/>
  <c r="S16" i="37"/>
  <c r="T10" i="37"/>
  <c r="U10" i="37"/>
  <c r="V10" i="37"/>
  <c r="W10" i="37"/>
  <c r="X10" i="37"/>
  <c r="Y10" i="37"/>
  <c r="Z10" i="37"/>
  <c r="AA10" i="37"/>
  <c r="AA11" i="37" s="1"/>
  <c r="AB10" i="37"/>
  <c r="AB11" i="37" s="1"/>
  <c r="AC10" i="37"/>
  <c r="AC11" i="37" s="1"/>
  <c r="AD10" i="37"/>
  <c r="AD11" i="37" s="1"/>
  <c r="AE10" i="37"/>
  <c r="AE11" i="37" s="1"/>
  <c r="AF10" i="37"/>
  <c r="AF11" i="37" s="1"/>
  <c r="T11" i="37"/>
  <c r="U11" i="37"/>
  <c r="V11" i="37"/>
  <c r="W11" i="37"/>
  <c r="X11" i="37"/>
  <c r="Y11" i="37"/>
  <c r="Z11" i="37"/>
  <c r="S10" i="37"/>
  <c r="S11" i="37" s="1"/>
  <c r="AI19" i="37"/>
  <c r="AJ19" i="37" s="1"/>
  <c r="AK19" i="37" s="1"/>
  <c r="AL19" i="37" s="1"/>
  <c r="AM19" i="37" s="1"/>
  <c r="AN19" i="37" s="1"/>
  <c r="AO19" i="37" s="1"/>
  <c r="AP19" i="37" s="1"/>
  <c r="AQ19" i="37" s="1"/>
  <c r="AR19" i="37" s="1"/>
  <c r="AS19" i="37" s="1"/>
  <c r="AT19" i="37" s="1"/>
  <c r="AU19" i="37" s="1"/>
  <c r="AI13" i="37"/>
  <c r="AJ13" i="37" s="1"/>
  <c r="AK13" i="37" s="1"/>
  <c r="AL13" i="37" s="1"/>
  <c r="AM13" i="37" s="1"/>
  <c r="AN13" i="37" s="1"/>
  <c r="AO13" i="37" s="1"/>
  <c r="AP13" i="37" s="1"/>
  <c r="AQ13" i="37" s="1"/>
  <c r="AR13" i="37" s="1"/>
  <c r="AS13" i="37" s="1"/>
  <c r="AT13" i="37" s="1"/>
  <c r="AU13" i="37" s="1"/>
  <c r="AJ8" i="37"/>
  <c r="AK8" i="37" s="1"/>
  <c r="AL8" i="37" s="1"/>
  <c r="AM8" i="37" s="1"/>
  <c r="AN8" i="37" s="1"/>
  <c r="AO8" i="37" s="1"/>
  <c r="AP8" i="37" s="1"/>
  <c r="AQ8" i="37" s="1"/>
  <c r="AR8" i="37" s="1"/>
  <c r="AS8" i="37" s="1"/>
  <c r="AT8" i="37" s="1"/>
  <c r="AU8" i="37" s="1"/>
  <c r="AI8" i="37"/>
  <c r="AH8" i="37"/>
  <c r="AJ7" i="37"/>
  <c r="AK7" i="37" s="1"/>
  <c r="AL7" i="37" s="1"/>
  <c r="AM7" i="37" s="1"/>
  <c r="AN7" i="37" s="1"/>
  <c r="AO7" i="37" s="1"/>
  <c r="AP7" i="37" s="1"/>
  <c r="AQ7" i="37" s="1"/>
  <c r="AR7" i="37" s="1"/>
  <c r="AS7" i="37" s="1"/>
  <c r="AT7" i="37" s="1"/>
  <c r="AU7" i="37" s="1"/>
  <c r="AI7" i="37"/>
  <c r="AH7" i="37"/>
  <c r="AB19" i="37"/>
  <c r="X19" i="37"/>
  <c r="AE19" i="37"/>
  <c r="Z13" i="37"/>
  <c r="AA13" i="37"/>
  <c r="AB13" i="37"/>
  <c r="AC13" i="37"/>
  <c r="AD13" i="37"/>
  <c r="AE13" i="37"/>
  <c r="AF13" i="37"/>
  <c r="Y13" i="37"/>
  <c r="Z8" i="37"/>
  <c r="AA8" i="37"/>
  <c r="AB8" i="37"/>
  <c r="AC8" i="37"/>
  <c r="AD8" i="37"/>
  <c r="AE8" i="37"/>
  <c r="AF8" i="37"/>
  <c r="Y8" i="37"/>
  <c r="Z7" i="37"/>
  <c r="AA7" i="37"/>
  <c r="AB7" i="37"/>
  <c r="AC7" i="37"/>
  <c r="AD7" i="37"/>
  <c r="AE7" i="37"/>
  <c r="AF7" i="37"/>
  <c r="Y7" i="37"/>
  <c r="W17" i="43" l="1"/>
  <c r="W22" i="43"/>
  <c r="W28" i="43" s="1"/>
  <c r="T22" i="43"/>
  <c r="T17" i="43"/>
  <c r="V17" i="43"/>
  <c r="V22" i="43"/>
  <c r="V28" i="43" s="1"/>
  <c r="S28" i="43"/>
  <c r="S23" i="43"/>
  <c r="U22" i="43"/>
  <c r="U17" i="43"/>
  <c r="AB22" i="43"/>
  <c r="AB23" i="43" s="1"/>
  <c r="X17" i="43"/>
  <c r="AC22" i="43"/>
  <c r="AC23" i="43" s="1"/>
  <c r="Y17" i="43"/>
  <c r="X28" i="43"/>
  <c r="X23" i="43"/>
  <c r="Y23" i="43"/>
  <c r="Y28" i="43"/>
  <c r="AC28" i="43"/>
  <c r="AC29" i="43" s="1"/>
  <c r="AA22" i="43"/>
  <c r="Z22" i="43"/>
  <c r="W23" i="43"/>
  <c r="W29" i="43"/>
  <c r="W33" i="43"/>
  <c r="W34" i="43" s="1"/>
  <c r="V29" i="43"/>
  <c r="V33" i="43"/>
  <c r="V34" i="43" s="1"/>
  <c r="AH16" i="43"/>
  <c r="AI7" i="43"/>
  <c r="AH11" i="43"/>
  <c r="AE33" i="43"/>
  <c r="AE34" i="43" s="1"/>
  <c r="AF17" i="43"/>
  <c r="AF22" i="43"/>
  <c r="AF11" i="43"/>
  <c r="AD16" i="43"/>
  <c r="AD11" i="43"/>
  <c r="Y11" i="48"/>
  <c r="Y16" i="48"/>
  <c r="Y17" i="48" s="1"/>
  <c r="AE10" i="48"/>
  <c r="AE11" i="48" s="1"/>
  <c r="AD10" i="48"/>
  <c r="AD11" i="48" s="1"/>
  <c r="AC10" i="48"/>
  <c r="AC11" i="48" s="1"/>
  <c r="AB10" i="48"/>
  <c r="AB11" i="48" s="1"/>
  <c r="AA10" i="48"/>
  <c r="AB16" i="48"/>
  <c r="AB22" i="48" s="1"/>
  <c r="AB28" i="48" s="1"/>
  <c r="AB33" i="48" s="1"/>
  <c r="AB34" i="48" s="1"/>
  <c r="AJ8" i="48"/>
  <c r="AK8" i="48" s="1"/>
  <c r="AL8" i="48" s="1"/>
  <c r="AM8" i="48" s="1"/>
  <c r="AN8" i="48" s="1"/>
  <c r="AO8" i="48" s="1"/>
  <c r="AP8" i="48" s="1"/>
  <c r="AQ8" i="48" s="1"/>
  <c r="AR8" i="48" s="1"/>
  <c r="AS8" i="48" s="1"/>
  <c r="AT8" i="48" s="1"/>
  <c r="AU8" i="48" s="1"/>
  <c r="AJ13" i="48"/>
  <c r="AK13" i="48" s="1"/>
  <c r="AL13" i="48" s="1"/>
  <c r="AM13" i="48" s="1"/>
  <c r="AN13" i="48" s="1"/>
  <c r="AO13" i="48" s="1"/>
  <c r="AP13" i="48" s="1"/>
  <c r="AQ13" i="48" s="1"/>
  <c r="AR13" i="48" s="1"/>
  <c r="AS13" i="48" s="1"/>
  <c r="AT13" i="48" s="1"/>
  <c r="AU13" i="48" s="1"/>
  <c r="AA16" i="44"/>
  <c r="AA11" i="44"/>
  <c r="X16" i="44"/>
  <c r="X11" i="44"/>
  <c r="AB10" i="44"/>
  <c r="AJ7" i="44"/>
  <c r="AI10" i="44"/>
  <c r="V11" i="44"/>
  <c r="V16" i="44"/>
  <c r="W16" i="44"/>
  <c r="W11" i="44"/>
  <c r="U11" i="44"/>
  <c r="U16" i="44"/>
  <c r="AF10" i="44"/>
  <c r="AH10" i="44"/>
  <c r="AE8" i="44"/>
  <c r="AE10" i="44" s="1"/>
  <c r="AC13" i="44"/>
  <c r="X13" i="44"/>
  <c r="AM13" i="44" s="1"/>
  <c r="AN13" i="44" s="1"/>
  <c r="AO13" i="44" s="1"/>
  <c r="AP13" i="44" s="1"/>
  <c r="AQ13" i="44" s="1"/>
  <c r="AR13" i="44" s="1"/>
  <c r="AS13" i="44" s="1"/>
  <c r="AT13" i="44" s="1"/>
  <c r="AU13" i="44" s="1"/>
  <c r="AB8" i="44"/>
  <c r="AD13" i="44"/>
  <c r="Z10" i="44"/>
  <c r="AF13" i="44"/>
  <c r="S16" i="44"/>
  <c r="AB13" i="44"/>
  <c r="Y8" i="44"/>
  <c r="Y10" i="44" s="1"/>
  <c r="AC8" i="44"/>
  <c r="AC10" i="44" s="1"/>
  <c r="AD8" i="44"/>
  <c r="AD10" i="44" s="1"/>
  <c r="T16" i="44"/>
  <c r="AH16" i="48"/>
  <c r="AH11" i="48"/>
  <c r="AI7" i="48"/>
  <c r="U16" i="48"/>
  <c r="U11" i="48"/>
  <c r="V16" i="48"/>
  <c r="V17" i="48" s="1"/>
  <c r="V11" i="48"/>
  <c r="W11" i="48"/>
  <c r="W16" i="48"/>
  <c r="W17" i="48" s="1"/>
  <c r="AF16" i="48"/>
  <c r="AF22" i="48" s="1"/>
  <c r="Z11" i="48"/>
  <c r="X11" i="48"/>
  <c r="AE16" i="48"/>
  <c r="AE22" i="48" s="1"/>
  <c r="AE23" i="48" s="1"/>
  <c r="AD16" i="48"/>
  <c r="AD22" i="48" s="1"/>
  <c r="AD28" i="48" s="1"/>
  <c r="Y22" i="48"/>
  <c r="Y23" i="48" s="1"/>
  <c r="W22" i="48"/>
  <c r="W28" i="48" s="1"/>
  <c r="W29" i="48" s="1"/>
  <c r="V22" i="48"/>
  <c r="V28" i="48" s="1"/>
  <c r="V33" i="48" s="1"/>
  <c r="V34" i="48" s="1"/>
  <c r="AF23" i="48"/>
  <c r="AF28" i="48"/>
  <c r="AF33" i="48" s="1"/>
  <c r="AF34" i="48" s="1"/>
  <c r="AD23" i="48"/>
  <c r="T23" i="48"/>
  <c r="T28" i="48"/>
  <c r="Z22" i="48"/>
  <c r="Z17" i="48"/>
  <c r="X22" i="48"/>
  <c r="X17" i="48"/>
  <c r="AF17" i="48"/>
  <c r="AB17" i="48"/>
  <c r="S22" i="48"/>
  <c r="S17" i="48"/>
  <c r="S11" i="48"/>
  <c r="AI7" i="46"/>
  <c r="AH10" i="46"/>
  <c r="W33" i="46"/>
  <c r="W34" i="46" s="1"/>
  <c r="V33" i="46"/>
  <c r="V34" i="46" s="1"/>
  <c r="U33" i="46"/>
  <c r="U34" i="46" s="1"/>
  <c r="T33" i="46"/>
  <c r="T34" i="46" s="1"/>
  <c r="S33" i="46"/>
  <c r="S34" i="46" s="1"/>
  <c r="AA11" i="35"/>
  <c r="AB11" i="35"/>
  <c r="AC11" i="35"/>
  <c r="AD11" i="35"/>
  <c r="AE11" i="35"/>
  <c r="V10" i="35"/>
  <c r="W10" i="35"/>
  <c r="Z11" i="35"/>
  <c r="AD10" i="35"/>
  <c r="V11" i="35"/>
  <c r="W11" i="35"/>
  <c r="X11" i="35"/>
  <c r="AT22" i="37"/>
  <c r="AS22" i="37"/>
  <c r="AL22" i="37"/>
  <c r="AL28" i="37" s="1"/>
  <c r="AS23" i="37"/>
  <c r="AS28" i="37"/>
  <c r="AT23" i="37"/>
  <c r="AT28" i="37"/>
  <c r="AK22" i="37"/>
  <c r="AJ22" i="37"/>
  <c r="AI22" i="37"/>
  <c r="AL17" i="37"/>
  <c r="AO16" i="37"/>
  <c r="AU22" i="37"/>
  <c r="AR16" i="37"/>
  <c r="AQ16" i="37"/>
  <c r="AN16" i="37"/>
  <c r="AP16" i="37"/>
  <c r="AM16" i="37"/>
  <c r="AH17" i="37"/>
  <c r="AH22" i="37"/>
  <c r="AH11" i="37"/>
  <c r="AC33" i="43" l="1"/>
  <c r="AC34" i="43" s="1"/>
  <c r="S33" i="43"/>
  <c r="S34" i="43" s="1"/>
  <c r="S29" i="43"/>
  <c r="T28" i="43"/>
  <c r="T23" i="43"/>
  <c r="U28" i="43"/>
  <c r="U23" i="43"/>
  <c r="V23" i="43"/>
  <c r="AB28" i="43"/>
  <c r="Z23" i="43"/>
  <c r="Z28" i="43"/>
  <c r="AA23" i="43"/>
  <c r="AA28" i="43"/>
  <c r="Y33" i="43"/>
  <c r="Y34" i="43" s="1"/>
  <c r="Y29" i="43"/>
  <c r="X33" i="43"/>
  <c r="X34" i="43" s="1"/>
  <c r="X29" i="43"/>
  <c r="AI10" i="43"/>
  <c r="AJ7" i="43"/>
  <c r="AH22" i="43"/>
  <c r="AH17" i="43"/>
  <c r="AF23" i="43"/>
  <c r="AF28" i="43"/>
  <c r="AD22" i="43"/>
  <c r="AD17" i="43"/>
  <c r="AA11" i="48"/>
  <c r="AA16" i="48"/>
  <c r="AB23" i="48"/>
  <c r="AC16" i="48"/>
  <c r="AC11" i="44"/>
  <c r="AC16" i="44"/>
  <c r="AD11" i="44"/>
  <c r="AD16" i="44"/>
  <c r="Y16" i="44"/>
  <c r="Y11" i="44"/>
  <c r="AH16" i="44"/>
  <c r="AH11" i="44"/>
  <c r="U17" i="44"/>
  <c r="U22" i="44"/>
  <c r="V22" i="44"/>
  <c r="V17" i="44"/>
  <c r="AI11" i="44"/>
  <c r="AI16" i="44"/>
  <c r="S17" i="44"/>
  <c r="S22" i="44"/>
  <c r="AN8" i="44"/>
  <c r="AO8" i="44" s="1"/>
  <c r="AP8" i="44" s="1"/>
  <c r="AQ8" i="44" s="1"/>
  <c r="AR8" i="44" s="1"/>
  <c r="AS8" i="44" s="1"/>
  <c r="AT8" i="44" s="1"/>
  <c r="AU8" i="44" s="1"/>
  <c r="AE11" i="44"/>
  <c r="AE16" i="44"/>
  <c r="W22" i="44"/>
  <c r="W17" i="44"/>
  <c r="AK7" i="44"/>
  <c r="AJ10" i="44"/>
  <c r="X17" i="44"/>
  <c r="X22" i="44"/>
  <c r="AF16" i="44"/>
  <c r="AF11" i="44"/>
  <c r="T17" i="44"/>
  <c r="T22" i="44"/>
  <c r="AB16" i="44"/>
  <c r="AB11" i="44"/>
  <c r="Z11" i="44"/>
  <c r="Z16" i="44"/>
  <c r="AA17" i="44"/>
  <c r="AA22" i="44"/>
  <c r="AI10" i="48"/>
  <c r="AJ7" i="48"/>
  <c r="AH22" i="48"/>
  <c r="AH17" i="48"/>
  <c r="AE17" i="48"/>
  <c r="AB29" i="48"/>
  <c r="V29" i="48"/>
  <c r="AD17" i="48"/>
  <c r="AD33" i="48"/>
  <c r="AD34" i="48" s="1"/>
  <c r="AD29" i="48"/>
  <c r="Y28" i="48"/>
  <c r="Y33" i="48" s="1"/>
  <c r="Y34" i="48" s="1"/>
  <c r="AE28" i="48"/>
  <c r="AE33" i="48" s="1"/>
  <c r="AE34" i="48" s="1"/>
  <c r="AF29" i="48"/>
  <c r="V23" i="48"/>
  <c r="W23" i="48"/>
  <c r="W33" i="48"/>
  <c r="W34" i="48" s="1"/>
  <c r="U17" i="48"/>
  <c r="U22" i="48"/>
  <c r="X28" i="48"/>
  <c r="X23" i="48"/>
  <c r="Z23" i="48"/>
  <c r="Z28" i="48"/>
  <c r="T29" i="48"/>
  <c r="T33" i="48"/>
  <c r="T34" i="48" s="1"/>
  <c r="S28" i="48"/>
  <c r="S23" i="48"/>
  <c r="AH16" i="46"/>
  <c r="AH11" i="46"/>
  <c r="AI10" i="46"/>
  <c r="AJ7" i="46"/>
  <c r="AL23" i="37"/>
  <c r="AN22" i="37"/>
  <c r="AN17" i="37"/>
  <c r="AU23" i="37"/>
  <c r="AU28" i="37"/>
  <c r="AR17" i="37"/>
  <c r="AR22" i="37"/>
  <c r="AI28" i="37"/>
  <c r="AI23" i="37"/>
  <c r="AM17" i="37"/>
  <c r="AM22" i="37"/>
  <c r="AQ17" i="37"/>
  <c r="AQ22" i="37"/>
  <c r="AJ23" i="37"/>
  <c r="AJ28" i="37"/>
  <c r="AK28" i="37"/>
  <c r="AK23" i="37"/>
  <c r="AL33" i="37"/>
  <c r="AL34" i="37" s="1"/>
  <c r="AL29" i="37"/>
  <c r="AT29" i="37"/>
  <c r="AT33" i="37"/>
  <c r="AT34" i="37" s="1"/>
  <c r="AS29" i="37"/>
  <c r="AS33" i="37"/>
  <c r="AS34" i="37" s="1"/>
  <c r="AP17" i="37"/>
  <c r="AP22" i="37"/>
  <c r="AO22" i="37"/>
  <c r="AO17" i="37"/>
  <c r="AH28" i="37"/>
  <c r="AH23" i="37"/>
  <c r="AB29" i="43" l="1"/>
  <c r="AB33" i="43"/>
  <c r="AB34" i="43" s="1"/>
  <c r="U33" i="43"/>
  <c r="U34" i="43" s="1"/>
  <c r="U29" i="43"/>
  <c r="T33" i="43"/>
  <c r="T34" i="43" s="1"/>
  <c r="T29" i="43"/>
  <c r="Z29" i="43"/>
  <c r="Z33" i="43"/>
  <c r="Z34" i="43" s="1"/>
  <c r="AA33" i="43"/>
  <c r="AA34" i="43" s="1"/>
  <c r="AA29" i="43"/>
  <c r="AH28" i="43"/>
  <c r="AH23" i="43"/>
  <c r="AJ10" i="43"/>
  <c r="AK7" i="43"/>
  <c r="AI16" i="43"/>
  <c r="AI11" i="43"/>
  <c r="AF29" i="43"/>
  <c r="AF33" i="43"/>
  <c r="AF34" i="43" s="1"/>
  <c r="AD28" i="43"/>
  <c r="AD23" i="43"/>
  <c r="AA17" i="48"/>
  <c r="AA22" i="48"/>
  <c r="AC17" i="48"/>
  <c r="AC22" i="48"/>
  <c r="Y29" i="48"/>
  <c r="W23" i="44"/>
  <c r="W28" i="44"/>
  <c r="S28" i="44"/>
  <c r="S23" i="44"/>
  <c r="AI17" i="44"/>
  <c r="AI22" i="44"/>
  <c r="AB17" i="44"/>
  <c r="AB22" i="44"/>
  <c r="X28" i="44"/>
  <c r="X23" i="44"/>
  <c r="AE22" i="44"/>
  <c r="AE17" i="44"/>
  <c r="Z22" i="44"/>
  <c r="Z17" i="44"/>
  <c r="U28" i="44"/>
  <c r="U23" i="44"/>
  <c r="AF17" i="44"/>
  <c r="AF22" i="44"/>
  <c r="Y22" i="44"/>
  <c r="Y17" i="44"/>
  <c r="AK10" i="44"/>
  <c r="AL7" i="44"/>
  <c r="AC17" i="44"/>
  <c r="AC22" i="44"/>
  <c r="AA28" i="44"/>
  <c r="AA23" i="44"/>
  <c r="V23" i="44"/>
  <c r="V28" i="44"/>
  <c r="T28" i="44"/>
  <c r="T23" i="44"/>
  <c r="AH22" i="44"/>
  <c r="AH17" i="44"/>
  <c r="AD17" i="44"/>
  <c r="AD22" i="44"/>
  <c r="AJ16" i="44"/>
  <c r="AJ11" i="44"/>
  <c r="AI16" i="48"/>
  <c r="AI11" i="48"/>
  <c r="AH28" i="48"/>
  <c r="AH23" i="48"/>
  <c r="AJ10" i="48"/>
  <c r="AK7" i="48"/>
  <c r="U23" i="48"/>
  <c r="U28" i="48"/>
  <c r="AE29" i="48"/>
  <c r="Z29" i="48"/>
  <c r="Z33" i="48"/>
  <c r="Z34" i="48" s="1"/>
  <c r="X33" i="48"/>
  <c r="X34" i="48" s="1"/>
  <c r="X29" i="48"/>
  <c r="S33" i="48"/>
  <c r="S34" i="48" s="1"/>
  <c r="S29" i="48"/>
  <c r="AJ10" i="46"/>
  <c r="AK7" i="46"/>
  <c r="AI16" i="46"/>
  <c r="AI11" i="46"/>
  <c r="AH22" i="46"/>
  <c r="AH17" i="46"/>
  <c r="AK33" i="37"/>
  <c r="AK34" i="37" s="1"/>
  <c r="AK29" i="37"/>
  <c r="AM28" i="37"/>
  <c r="AM23" i="37"/>
  <c r="AI33" i="37"/>
  <c r="AI34" i="37" s="1"/>
  <c r="AI29" i="37"/>
  <c r="AO28" i="37"/>
  <c r="AO23" i="37"/>
  <c r="AP23" i="37"/>
  <c r="AP28" i="37"/>
  <c r="AJ33" i="37"/>
  <c r="AJ34" i="37" s="1"/>
  <c r="AJ29" i="37"/>
  <c r="AQ23" i="37"/>
  <c r="AQ28" i="37"/>
  <c r="AR23" i="37"/>
  <c r="AR28" i="37"/>
  <c r="AU29" i="37"/>
  <c r="AU33" i="37"/>
  <c r="AU34" i="37" s="1"/>
  <c r="AN28" i="37"/>
  <c r="AN23" i="37"/>
  <c r="AH33" i="37"/>
  <c r="AH34" i="37" s="1"/>
  <c r="AH29" i="37"/>
  <c r="AI22" i="43" l="1"/>
  <c r="AI17" i="43"/>
  <c r="AK10" i="43"/>
  <c r="AL7" i="43"/>
  <c r="AJ16" i="43"/>
  <c r="AJ11" i="43"/>
  <c r="AH29" i="43"/>
  <c r="AH33" i="43"/>
  <c r="AH34" i="43" s="1"/>
  <c r="AD29" i="43"/>
  <c r="AD33" i="43"/>
  <c r="AD34" i="43" s="1"/>
  <c r="AA23" i="48"/>
  <c r="AA28" i="48"/>
  <c r="AC28" i="48"/>
  <c r="AC23" i="48"/>
  <c r="Y23" i="44"/>
  <c r="Y28" i="44"/>
  <c r="AF23" i="44"/>
  <c r="AF28" i="44"/>
  <c r="AJ17" i="44"/>
  <c r="AJ22" i="44"/>
  <c r="U29" i="44"/>
  <c r="U33" i="44"/>
  <c r="U34" i="44" s="1"/>
  <c r="AD28" i="44"/>
  <c r="AD23" i="44"/>
  <c r="Z23" i="44"/>
  <c r="Z28" i="44"/>
  <c r="AH23" i="44"/>
  <c r="AH28" i="44"/>
  <c r="AE23" i="44"/>
  <c r="AE28" i="44"/>
  <c r="T29" i="44"/>
  <c r="T33" i="44"/>
  <c r="T34" i="44" s="1"/>
  <c r="X33" i="44"/>
  <c r="X34" i="44" s="1"/>
  <c r="X29" i="44"/>
  <c r="V29" i="44"/>
  <c r="V33" i="44"/>
  <c r="V34" i="44" s="1"/>
  <c r="AB28" i="44"/>
  <c r="AB23" i="44"/>
  <c r="AI23" i="44"/>
  <c r="AI28" i="44"/>
  <c r="AA29" i="44"/>
  <c r="AA33" i="44"/>
  <c r="AA34" i="44" s="1"/>
  <c r="AC28" i="44"/>
  <c r="AC23" i="44"/>
  <c r="S33" i="44"/>
  <c r="S34" i="44" s="1"/>
  <c r="S29" i="44"/>
  <c r="AL10" i="44"/>
  <c r="AM7" i="44"/>
  <c r="W33" i="44"/>
  <c r="W34" i="44" s="1"/>
  <c r="W29" i="44"/>
  <c r="AK16" i="44"/>
  <c r="AK11" i="44"/>
  <c r="AK10" i="48"/>
  <c r="AL7" i="48"/>
  <c r="AJ16" i="48"/>
  <c r="AJ11" i="48"/>
  <c r="AH29" i="48"/>
  <c r="AH33" i="48"/>
  <c r="AH34" i="48" s="1"/>
  <c r="AI22" i="48"/>
  <c r="AI17" i="48"/>
  <c r="U29" i="48"/>
  <c r="U33" i="48"/>
  <c r="U34" i="48" s="1"/>
  <c r="AH23" i="46"/>
  <c r="AH28" i="46"/>
  <c r="AI17" i="46"/>
  <c r="AI22" i="46"/>
  <c r="AK10" i="46"/>
  <c r="AL7" i="46"/>
  <c r="AJ16" i="46"/>
  <c r="AJ11" i="46"/>
  <c r="AP29" i="37"/>
  <c r="AP33" i="37"/>
  <c r="AP34" i="37" s="1"/>
  <c r="AR29" i="37"/>
  <c r="AR33" i="37"/>
  <c r="AR34" i="37" s="1"/>
  <c r="AM33" i="37"/>
  <c r="AM34" i="37" s="1"/>
  <c r="AM29" i="37"/>
  <c r="AN33" i="37"/>
  <c r="AN34" i="37" s="1"/>
  <c r="AN29" i="37"/>
  <c r="AQ29" i="37"/>
  <c r="AQ33" i="37"/>
  <c r="AQ34" i="37" s="1"/>
  <c r="AO29" i="37"/>
  <c r="AO33" i="37"/>
  <c r="AO34" i="37" s="1"/>
  <c r="AJ22" i="43" l="1"/>
  <c r="AJ17" i="43"/>
  <c r="AL10" i="43"/>
  <c r="AM7" i="43"/>
  <c r="AK16" i="43"/>
  <c r="AK11" i="43"/>
  <c r="AI23" i="43"/>
  <c r="AI28" i="43"/>
  <c r="AA29" i="48"/>
  <c r="AA33" i="48"/>
  <c r="AA34" i="48" s="1"/>
  <c r="AC33" i="48"/>
  <c r="AC34" i="48" s="1"/>
  <c r="AC29" i="48"/>
  <c r="AH33" i="44"/>
  <c r="AH34" i="44" s="1"/>
  <c r="AH29" i="44"/>
  <c r="Z29" i="44"/>
  <c r="Z33" i="44"/>
  <c r="Z34" i="44" s="1"/>
  <c r="AI33" i="44"/>
  <c r="AI34" i="44" s="1"/>
  <c r="AI29" i="44"/>
  <c r="AK22" i="44"/>
  <c r="AK17" i="44"/>
  <c r="AE33" i="44"/>
  <c r="AE34" i="44" s="1"/>
  <c r="AE29" i="44"/>
  <c r="AM10" i="44"/>
  <c r="AN7" i="44"/>
  <c r="AL11" i="44"/>
  <c r="AL16" i="44"/>
  <c r="AC29" i="44"/>
  <c r="AC33" i="44"/>
  <c r="AC34" i="44" s="1"/>
  <c r="AD33" i="44"/>
  <c r="AD34" i="44" s="1"/>
  <c r="AD29" i="44"/>
  <c r="AJ28" i="44"/>
  <c r="AJ23" i="44"/>
  <c r="AF33" i="44"/>
  <c r="AF34" i="44" s="1"/>
  <c r="AF29" i="44"/>
  <c r="AB29" i="44"/>
  <c r="AB33" i="44"/>
  <c r="AB34" i="44" s="1"/>
  <c r="Y33" i="44"/>
  <c r="Y34" i="44" s="1"/>
  <c r="Y29" i="44"/>
  <c r="AI23" i="48"/>
  <c r="AI28" i="48"/>
  <c r="AJ22" i="48"/>
  <c r="AJ17" i="48"/>
  <c r="AL10" i="48"/>
  <c r="AM7" i="48"/>
  <c r="AK16" i="48"/>
  <c r="AK11" i="48"/>
  <c r="AH29" i="46"/>
  <c r="AH33" i="46"/>
  <c r="AH34" i="46" s="1"/>
  <c r="AJ22" i="46"/>
  <c r="AJ17" i="46"/>
  <c r="AL10" i="46"/>
  <c r="AM7" i="46"/>
  <c r="AK16" i="46"/>
  <c r="AK11" i="46"/>
  <c r="AI28" i="46"/>
  <c r="AI23" i="46"/>
  <c r="AI29" i="43" l="1"/>
  <c r="AI33" i="43"/>
  <c r="AI34" i="43" s="1"/>
  <c r="AK22" i="43"/>
  <c r="AK17" i="43"/>
  <c r="AL16" i="43"/>
  <c r="AL11" i="43"/>
  <c r="AM10" i="43"/>
  <c r="AN7" i="43"/>
  <c r="AJ23" i="43"/>
  <c r="AJ28" i="43"/>
  <c r="AJ29" i="44"/>
  <c r="AJ33" i="44"/>
  <c r="AJ34" i="44" s="1"/>
  <c r="AL17" i="44"/>
  <c r="AL22" i="44"/>
  <c r="AM11" i="44"/>
  <c r="AM16" i="44"/>
  <c r="AK23" i="44"/>
  <c r="AK28" i="44"/>
  <c r="AN10" i="44"/>
  <c r="AO7" i="44"/>
  <c r="AK22" i="48"/>
  <c r="AK17" i="48"/>
  <c r="AM10" i="48"/>
  <c r="AN7" i="48"/>
  <c r="AJ23" i="48"/>
  <c r="AJ28" i="48"/>
  <c r="AI29" i="48"/>
  <c r="AI33" i="48"/>
  <c r="AI34" i="48" s="1"/>
  <c r="AL16" i="48"/>
  <c r="AL11" i="48"/>
  <c r="AI29" i="46"/>
  <c r="AI33" i="46"/>
  <c r="AI34" i="46" s="1"/>
  <c r="AJ28" i="46"/>
  <c r="AJ23" i="46"/>
  <c r="AK22" i="46"/>
  <c r="AK17" i="46"/>
  <c r="AM10" i="46"/>
  <c r="AN7" i="46"/>
  <c r="AL11" i="46"/>
  <c r="AL16" i="46"/>
  <c r="AJ33" i="43" l="1"/>
  <c r="AJ34" i="43" s="1"/>
  <c r="AJ29" i="43"/>
  <c r="AN10" i="43"/>
  <c r="AO7" i="43"/>
  <c r="AM16" i="43"/>
  <c r="AM11" i="43"/>
  <c r="AL17" i="43"/>
  <c r="AL22" i="43"/>
  <c r="AK23" i="43"/>
  <c r="AK28" i="43"/>
  <c r="AN11" i="44"/>
  <c r="AN16" i="44"/>
  <c r="AP7" i="44"/>
  <c r="AO10" i="44"/>
  <c r="AK29" i="44"/>
  <c r="AK33" i="44"/>
  <c r="AK34" i="44" s="1"/>
  <c r="AM17" i="44"/>
  <c r="AM22" i="44"/>
  <c r="AL23" i="44"/>
  <c r="AL28" i="44"/>
  <c r="AL17" i="48"/>
  <c r="AL22" i="48"/>
  <c r="AJ33" i="48"/>
  <c r="AJ34" i="48" s="1"/>
  <c r="AJ29" i="48"/>
  <c r="AN10" i="48"/>
  <c r="AO7" i="48"/>
  <c r="AM16" i="48"/>
  <c r="AM11" i="48"/>
  <c r="AK23" i="48"/>
  <c r="AK28" i="48"/>
  <c r="AL17" i="46"/>
  <c r="AL22" i="46"/>
  <c r="AN10" i="46"/>
  <c r="AO7" i="46"/>
  <c r="AM16" i="46"/>
  <c r="AM11" i="46"/>
  <c r="AK23" i="46"/>
  <c r="AK28" i="46"/>
  <c r="AJ33" i="46"/>
  <c r="AJ34" i="46" s="1"/>
  <c r="AJ29" i="46"/>
  <c r="AK33" i="43" l="1"/>
  <c r="AK34" i="43" s="1"/>
  <c r="AK29" i="43"/>
  <c r="AL23" i="43"/>
  <c r="AL28" i="43"/>
  <c r="AM17" i="43"/>
  <c r="AM22" i="43"/>
  <c r="AO10" i="43"/>
  <c r="AP7" i="43"/>
  <c r="AN11" i="43"/>
  <c r="AN16" i="43"/>
  <c r="AL29" i="44"/>
  <c r="AL33" i="44"/>
  <c r="AL34" i="44" s="1"/>
  <c r="AQ7" i="44"/>
  <c r="AP10" i="44"/>
  <c r="AN17" i="44"/>
  <c r="AN22" i="44"/>
  <c r="AM23" i="44"/>
  <c r="AM28" i="44"/>
  <c r="AO11" i="44"/>
  <c r="AO16" i="44"/>
  <c r="AK33" i="48"/>
  <c r="AK34" i="48" s="1"/>
  <c r="AK29" i="48"/>
  <c r="AM17" i="48"/>
  <c r="AM22" i="48"/>
  <c r="AO10" i="48"/>
  <c r="AP7" i="48"/>
  <c r="AL23" i="48"/>
  <c r="AL28" i="48"/>
  <c r="AN11" i="48"/>
  <c r="AN16" i="48"/>
  <c r="AK33" i="46"/>
  <c r="AK34" i="46" s="1"/>
  <c r="AK29" i="46"/>
  <c r="AN11" i="46"/>
  <c r="AN16" i="46"/>
  <c r="AL23" i="46"/>
  <c r="AL28" i="46"/>
  <c r="AM17" i="46"/>
  <c r="AM22" i="46"/>
  <c r="AO10" i="46"/>
  <c r="AP7" i="46"/>
  <c r="AN17" i="43" l="1"/>
  <c r="AN22" i="43"/>
  <c r="AQ7" i="43"/>
  <c r="AP10" i="43"/>
  <c r="AO11" i="43"/>
  <c r="AO16" i="43"/>
  <c r="AM23" i="43"/>
  <c r="AM28" i="43"/>
  <c r="AL33" i="43"/>
  <c r="AL34" i="43" s="1"/>
  <c r="AL29" i="43"/>
  <c r="AM33" i="44"/>
  <c r="AM34" i="44" s="1"/>
  <c r="AM29" i="44"/>
  <c r="AP11" i="44"/>
  <c r="AP16" i="44"/>
  <c r="AN28" i="44"/>
  <c r="AN23" i="44"/>
  <c r="AR7" i="44"/>
  <c r="AQ10" i="44"/>
  <c r="AO17" i="44"/>
  <c r="AO22" i="44"/>
  <c r="AN17" i="48"/>
  <c r="AN22" i="48"/>
  <c r="AM23" i="48"/>
  <c r="AM28" i="48"/>
  <c r="AL33" i="48"/>
  <c r="AL34" i="48" s="1"/>
  <c r="AL29" i="48"/>
  <c r="AO11" i="48"/>
  <c r="AO16" i="48"/>
  <c r="AQ7" i="48"/>
  <c r="AP10" i="48"/>
  <c r="AQ7" i="46"/>
  <c r="AP10" i="46"/>
  <c r="AO11" i="46"/>
  <c r="AO16" i="46"/>
  <c r="AM23" i="46"/>
  <c r="AM28" i="46"/>
  <c r="AN17" i="46"/>
  <c r="AN22" i="46"/>
  <c r="AL33" i="46"/>
  <c r="AL34" i="46" s="1"/>
  <c r="AL29" i="46"/>
  <c r="AM33" i="43" l="1"/>
  <c r="AM34" i="43" s="1"/>
  <c r="AM29" i="43"/>
  <c r="AO17" i="43"/>
  <c r="AO22" i="43"/>
  <c r="AP11" i="43"/>
  <c r="AP16" i="43"/>
  <c r="AR7" i="43"/>
  <c r="AQ10" i="43"/>
  <c r="AN23" i="43"/>
  <c r="AN28" i="43"/>
  <c r="AQ11" i="44"/>
  <c r="AQ16" i="44"/>
  <c r="AP17" i="44"/>
  <c r="AP22" i="44"/>
  <c r="AN29" i="44"/>
  <c r="AN33" i="44"/>
  <c r="AN34" i="44" s="1"/>
  <c r="AO28" i="44"/>
  <c r="AO23" i="44"/>
  <c r="AS7" i="44"/>
  <c r="AR10" i="44"/>
  <c r="AP11" i="48"/>
  <c r="AP16" i="48"/>
  <c r="AM33" i="48"/>
  <c r="AM34" i="48" s="1"/>
  <c r="AM29" i="48"/>
  <c r="AO17" i="48"/>
  <c r="AO22" i="48"/>
  <c r="AN23" i="48"/>
  <c r="AN28" i="48"/>
  <c r="AR7" i="48"/>
  <c r="AQ10" i="48"/>
  <c r="AN23" i="46"/>
  <c r="AN28" i="46"/>
  <c r="AM33" i="46"/>
  <c r="AM34" i="46" s="1"/>
  <c r="AM29" i="46"/>
  <c r="AO17" i="46"/>
  <c r="AO22" i="46"/>
  <c r="AP11" i="46"/>
  <c r="AP16" i="46"/>
  <c r="AR7" i="46"/>
  <c r="AQ10" i="46"/>
  <c r="AN33" i="43" l="1"/>
  <c r="AN34" i="43" s="1"/>
  <c r="AN29" i="43"/>
  <c r="AQ11" i="43"/>
  <c r="AQ16" i="43"/>
  <c r="AS7" i="43"/>
  <c r="AR10" i="43"/>
  <c r="AP17" i="43"/>
  <c r="AP22" i="43"/>
  <c r="AO23" i="43"/>
  <c r="AO28" i="43"/>
  <c r="AR11" i="44"/>
  <c r="AR16" i="44"/>
  <c r="AO29" i="44"/>
  <c r="AO33" i="44"/>
  <c r="AO34" i="44" s="1"/>
  <c r="AS10" i="44"/>
  <c r="AT7" i="44"/>
  <c r="AP28" i="44"/>
  <c r="AP23" i="44"/>
  <c r="AQ22" i="44"/>
  <c r="AQ17" i="44"/>
  <c r="AN33" i="48"/>
  <c r="AN34" i="48" s="1"/>
  <c r="AN29" i="48"/>
  <c r="AQ11" i="48"/>
  <c r="AQ16" i="48"/>
  <c r="AS7" i="48"/>
  <c r="AR10" i="48"/>
  <c r="AO23" i="48"/>
  <c r="AO28" i="48"/>
  <c r="AP17" i="48"/>
  <c r="AP22" i="48"/>
  <c r="AQ11" i="46"/>
  <c r="AQ16" i="46"/>
  <c r="AS7" i="46"/>
  <c r="AR10" i="46"/>
  <c r="AP17" i="46"/>
  <c r="AP22" i="46"/>
  <c r="AO23" i="46"/>
  <c r="AO28" i="46"/>
  <c r="AN29" i="46"/>
  <c r="AN33" i="46"/>
  <c r="AN34" i="46" s="1"/>
  <c r="AO33" i="43" l="1"/>
  <c r="AO34" i="43" s="1"/>
  <c r="AO29" i="43"/>
  <c r="AP23" i="43"/>
  <c r="AP28" i="43"/>
  <c r="AR11" i="43"/>
  <c r="AR16" i="43"/>
  <c r="AT7" i="43"/>
  <c r="AS10" i="43"/>
  <c r="AQ17" i="43"/>
  <c r="AQ22" i="43"/>
  <c r="AP29" i="44"/>
  <c r="AP33" i="44"/>
  <c r="AP34" i="44" s="1"/>
  <c r="AQ28" i="44"/>
  <c r="AQ23" i="44"/>
  <c r="AS16" i="44"/>
  <c r="AS11" i="44"/>
  <c r="AR22" i="44"/>
  <c r="AR17" i="44"/>
  <c r="AT10" i="44"/>
  <c r="AU7" i="44"/>
  <c r="AU10" i="44" s="1"/>
  <c r="AT7" i="48"/>
  <c r="AS10" i="48"/>
  <c r="AP23" i="48"/>
  <c r="AP28" i="48"/>
  <c r="AO33" i="48"/>
  <c r="AO34" i="48" s="1"/>
  <c r="AO29" i="48"/>
  <c r="AR11" i="48"/>
  <c r="AR16" i="48"/>
  <c r="AQ17" i="48"/>
  <c r="AQ22" i="48"/>
  <c r="AO33" i="46"/>
  <c r="AO34" i="46" s="1"/>
  <c r="AO29" i="46"/>
  <c r="AR16" i="46"/>
  <c r="AR11" i="46"/>
  <c r="AQ22" i="46"/>
  <c r="AQ17" i="46"/>
  <c r="AP23" i="46"/>
  <c r="AP28" i="46"/>
  <c r="AT7" i="46"/>
  <c r="AS10" i="46"/>
  <c r="AQ23" i="43" l="1"/>
  <c r="AQ28" i="43"/>
  <c r="AS11" i="43"/>
  <c r="AS16" i="43"/>
  <c r="AU7" i="43"/>
  <c r="AU10" i="43" s="1"/>
  <c r="AT10" i="43"/>
  <c r="AR17" i="43"/>
  <c r="AR22" i="43"/>
  <c r="AP33" i="43"/>
  <c r="AP34" i="43" s="1"/>
  <c r="AP29" i="43"/>
  <c r="AU11" i="44"/>
  <c r="AU16" i="44"/>
  <c r="AT16" i="44"/>
  <c r="AT11" i="44"/>
  <c r="AS17" i="44"/>
  <c r="AS22" i="44"/>
  <c r="AR23" i="44"/>
  <c r="AR28" i="44"/>
  <c r="AQ29" i="44"/>
  <c r="AQ33" i="44"/>
  <c r="AQ34" i="44" s="1"/>
  <c r="AR17" i="48"/>
  <c r="AR22" i="48"/>
  <c r="AP29" i="48"/>
  <c r="AP33" i="48"/>
  <c r="AP34" i="48" s="1"/>
  <c r="AQ23" i="48"/>
  <c r="AQ28" i="48"/>
  <c r="AS11" i="48"/>
  <c r="AS16" i="48"/>
  <c r="AU7" i="48"/>
  <c r="AU10" i="48" s="1"/>
  <c r="AT10" i="48"/>
  <c r="AP29" i="46"/>
  <c r="AP33" i="46"/>
  <c r="AP34" i="46" s="1"/>
  <c r="AQ23" i="46"/>
  <c r="AQ28" i="46"/>
  <c r="AU7" i="46"/>
  <c r="AU10" i="46" s="1"/>
  <c r="AT10" i="46"/>
  <c r="AR17" i="46"/>
  <c r="AR22" i="46"/>
  <c r="AS11" i="46"/>
  <c r="AS16" i="46"/>
  <c r="AR28" i="43" l="1"/>
  <c r="AR23" i="43"/>
  <c r="AT11" i="43"/>
  <c r="AT16" i="43"/>
  <c r="AU11" i="43"/>
  <c r="AU16" i="43"/>
  <c r="AS17" i="43"/>
  <c r="AS22" i="43"/>
  <c r="AQ33" i="43"/>
  <c r="AQ34" i="43" s="1"/>
  <c r="AQ29" i="43"/>
  <c r="AS28" i="44"/>
  <c r="AS23" i="44"/>
  <c r="AR33" i="44"/>
  <c r="AR34" i="44" s="1"/>
  <c r="AR29" i="44"/>
  <c r="AU22" i="44"/>
  <c r="AU17" i="44"/>
  <c r="AT22" i="44"/>
  <c r="AT17" i="44"/>
  <c r="AU11" i="48"/>
  <c r="AU16" i="48"/>
  <c r="AT11" i="48"/>
  <c r="AT16" i="48"/>
  <c r="AQ33" i="48"/>
  <c r="AQ34" i="48" s="1"/>
  <c r="AQ29" i="48"/>
  <c r="AS17" i="48"/>
  <c r="AS22" i="48"/>
  <c r="AR28" i="48"/>
  <c r="AR23" i="48"/>
  <c r="AS17" i="46"/>
  <c r="AS22" i="46"/>
  <c r="AR28" i="46"/>
  <c r="AR23" i="46"/>
  <c r="AT16" i="46"/>
  <c r="AT11" i="46"/>
  <c r="AU11" i="46"/>
  <c r="AU16" i="46"/>
  <c r="AQ29" i="46"/>
  <c r="AQ33" i="46"/>
  <c r="AQ34" i="46" s="1"/>
  <c r="AS28" i="43" l="1"/>
  <c r="AS23" i="43"/>
  <c r="AU17" i="43"/>
  <c r="AU22" i="43"/>
  <c r="AT22" i="43"/>
  <c r="AT17" i="43"/>
  <c r="AR33" i="43"/>
  <c r="AR34" i="43" s="1"/>
  <c r="AR29" i="43"/>
  <c r="AT23" i="44"/>
  <c r="AT28" i="44"/>
  <c r="AU23" i="44"/>
  <c r="AU28" i="44"/>
  <c r="AS33" i="44"/>
  <c r="AS34" i="44" s="1"/>
  <c r="AS29" i="44"/>
  <c r="AR33" i="48"/>
  <c r="AR34" i="48" s="1"/>
  <c r="AR29" i="48"/>
  <c r="AS28" i="48"/>
  <c r="AS23" i="48"/>
  <c r="AT17" i="48"/>
  <c r="AT22" i="48"/>
  <c r="AU17" i="48"/>
  <c r="AU22" i="48"/>
  <c r="AS28" i="46"/>
  <c r="AS23" i="46"/>
  <c r="AU22" i="46"/>
  <c r="AU17" i="46"/>
  <c r="AT22" i="46"/>
  <c r="AT17" i="46"/>
  <c r="AR29" i="46"/>
  <c r="AR33" i="46"/>
  <c r="AR34" i="46" s="1"/>
  <c r="AT28" i="43" l="1"/>
  <c r="AT23" i="43"/>
  <c r="AU28" i="43"/>
  <c r="AU23" i="43"/>
  <c r="AS33" i="43"/>
  <c r="AS34" i="43" s="1"/>
  <c r="AS29" i="43"/>
  <c r="AU33" i="44"/>
  <c r="AU34" i="44" s="1"/>
  <c r="AU29" i="44"/>
  <c r="AT33" i="44"/>
  <c r="AT34" i="44" s="1"/>
  <c r="AT29" i="44"/>
  <c r="AU28" i="48"/>
  <c r="AU23" i="48"/>
  <c r="AT28" i="48"/>
  <c r="AT23" i="48"/>
  <c r="AS29" i="48"/>
  <c r="AS33" i="48"/>
  <c r="AS34" i="48" s="1"/>
  <c r="AT28" i="46"/>
  <c r="AT23" i="46"/>
  <c r="AU28" i="46"/>
  <c r="AU23" i="46"/>
  <c r="AS29" i="46"/>
  <c r="AS33" i="46"/>
  <c r="AS34" i="46" s="1"/>
  <c r="AU29" i="43" l="1"/>
  <c r="AU33" i="43"/>
  <c r="AU34" i="43" s="1"/>
  <c r="AT33" i="43"/>
  <c r="AT34" i="43" s="1"/>
  <c r="AT29" i="43"/>
  <c r="AT29" i="48"/>
  <c r="AT33" i="48"/>
  <c r="AT34" i="48" s="1"/>
  <c r="AU29" i="48"/>
  <c r="AU33" i="48"/>
  <c r="AU34" i="48" s="1"/>
  <c r="AU33" i="46"/>
  <c r="AU34" i="46" s="1"/>
  <c r="AU29" i="46"/>
  <c r="AT29" i="46"/>
  <c r="AT33" i="46"/>
  <c r="AT34" i="46" s="1"/>
  <c r="E42" i="4" l="1"/>
  <c r="E10" i="4"/>
  <c r="E14" i="4"/>
  <c r="E18" i="4"/>
  <c r="E27" i="4"/>
  <c r="E35" i="4"/>
  <c r="E29" i="4" l="1"/>
  <c r="C1" i="54" l="1"/>
  <c r="AG11" i="32"/>
  <c r="AH11" i="32" s="1"/>
  <c r="AI11" i="32" s="1"/>
  <c r="AJ11" i="32" s="1"/>
  <c r="AK11" i="32" s="1"/>
  <c r="AL11" i="32" s="1"/>
  <c r="AM11" i="32" s="1"/>
  <c r="AN11" i="32" s="1"/>
  <c r="AO11" i="32" s="1"/>
  <c r="AP11" i="32" s="1"/>
  <c r="AQ11" i="32" s="1"/>
  <c r="AR11" i="32" s="1"/>
  <c r="AS11" i="32" s="1"/>
  <c r="AT11" i="32" s="1"/>
  <c r="AG10" i="32"/>
  <c r="AH10" i="32" s="1"/>
  <c r="AI10" i="32" s="1"/>
  <c r="AJ10" i="32" s="1"/>
  <c r="AK10" i="32" s="1"/>
  <c r="AL10" i="32" s="1"/>
  <c r="AM10" i="32" s="1"/>
  <c r="AN10" i="32" s="1"/>
  <c r="AO10" i="32" s="1"/>
  <c r="AP10" i="32" s="1"/>
  <c r="AQ10" i="32" s="1"/>
  <c r="AR10" i="32" s="1"/>
  <c r="AS10" i="32" s="1"/>
  <c r="AT10" i="32" s="1"/>
  <c r="AG7" i="32"/>
  <c r="AH7" i="32" s="1"/>
  <c r="AI7" i="32" s="1"/>
  <c r="AJ7" i="32" s="1"/>
  <c r="AK7" i="32" s="1"/>
  <c r="AL7" i="32" s="1"/>
  <c r="AM7" i="32" s="1"/>
  <c r="AN7" i="32" s="1"/>
  <c r="AO7" i="32" s="1"/>
  <c r="AP7" i="32" s="1"/>
  <c r="AQ7" i="32" s="1"/>
  <c r="AR7" i="32" s="1"/>
  <c r="AS7" i="32" s="1"/>
  <c r="AT7" i="32" s="1"/>
  <c r="AG6" i="32"/>
  <c r="AH6" i="32" s="1"/>
  <c r="AI6" i="32" s="1"/>
  <c r="AJ6" i="32" s="1"/>
  <c r="AK6" i="32" s="1"/>
  <c r="AL6" i="32" s="1"/>
  <c r="AM6" i="32" s="1"/>
  <c r="AN6" i="32" s="1"/>
  <c r="AO6" i="32" s="1"/>
  <c r="AP6" i="32" s="1"/>
  <c r="AQ6" i="32" s="1"/>
  <c r="AR6" i="32" s="1"/>
  <c r="AS6" i="32" s="1"/>
  <c r="AT6" i="32" s="1"/>
  <c r="N31" i="54"/>
  <c r="H31" i="54"/>
  <c r="I31" i="54"/>
  <c r="J31" i="54"/>
  <c r="K31" i="54"/>
  <c r="L31" i="54"/>
  <c r="M31" i="54"/>
  <c r="G31" i="54"/>
  <c r="N17" i="49"/>
  <c r="M17" i="49"/>
  <c r="M16" i="49"/>
  <c r="L17" i="49"/>
  <c r="K17" i="49"/>
  <c r="K16" i="49"/>
  <c r="J17" i="49"/>
  <c r="J16" i="49"/>
  <c r="I17" i="49"/>
  <c r="H17" i="49"/>
  <c r="H16" i="49"/>
  <c r="G17" i="49"/>
  <c r="G16" i="49"/>
  <c r="Q73" i="27"/>
  <c r="Q74" i="27"/>
  <c r="Q68" i="27"/>
  <c r="Q69" i="27" s="1"/>
  <c r="Q62" i="27"/>
  <c r="Q63" i="27" s="1"/>
  <c r="Q56" i="27"/>
  <c r="Q57" i="27" s="1"/>
  <c r="Q50" i="27"/>
  <c r="Q51" i="27"/>
  <c r="Q77" i="27"/>
  <c r="Q71" i="27"/>
  <c r="Q66" i="27"/>
  <c r="Q65" i="27"/>
  <c r="Q60" i="27"/>
  <c r="Q59" i="27"/>
  <c r="Q54" i="27"/>
  <c r="Q53" i="27"/>
  <c r="Q48" i="27"/>
  <c r="Q47" i="27"/>
  <c r="Q26" i="27"/>
  <c r="Q28" i="27" s="1"/>
  <c r="Q30" i="27" s="1"/>
  <c r="Q43" i="27"/>
  <c r="Q36" i="27"/>
  <c r="AK73" i="27"/>
  <c r="AK74" i="27" s="1"/>
  <c r="AK68" i="27"/>
  <c r="AK69" i="27"/>
  <c r="AK62" i="27"/>
  <c r="AK63" i="27" s="1"/>
  <c r="AK56" i="27"/>
  <c r="AK57" i="27" s="1"/>
  <c r="AK71" i="27"/>
  <c r="AK66" i="27"/>
  <c r="AK65" i="27"/>
  <c r="AK60" i="27"/>
  <c r="AK59" i="27"/>
  <c r="AK54" i="27"/>
  <c r="AK53" i="27"/>
  <c r="AK48" i="27"/>
  <c r="AK50" i="27"/>
  <c r="AK51" i="27" s="1"/>
  <c r="AK47" i="27"/>
  <c r="AK26" i="27"/>
  <c r="AK43" i="27"/>
  <c r="AK45" i="27"/>
  <c r="AK28" i="27"/>
  <c r="AK30" i="27"/>
  <c r="AK36" i="27"/>
  <c r="BE73" i="27"/>
  <c r="BE74" i="27"/>
  <c r="BE68" i="27"/>
  <c r="BE69" i="27" s="1"/>
  <c r="BE62" i="27"/>
  <c r="BE63" i="27" s="1"/>
  <c r="BE50" i="27"/>
  <c r="BE51" i="27"/>
  <c r="BE56" i="27"/>
  <c r="BE57" i="27"/>
  <c r="BE71" i="27"/>
  <c r="BE66" i="27"/>
  <c r="BE65" i="27"/>
  <c r="BE60" i="27"/>
  <c r="BE59" i="27"/>
  <c r="BE54" i="27"/>
  <c r="BE53" i="27"/>
  <c r="BE48" i="27"/>
  <c r="BE47" i="27"/>
  <c r="BE26" i="27"/>
  <c r="BE28" i="27" s="1"/>
  <c r="BE15" i="27"/>
  <c r="BE19" i="27"/>
  <c r="BE36" i="27"/>
  <c r="BE43" i="27"/>
  <c r="K37" i="59"/>
  <c r="D8" i="59"/>
  <c r="E8" i="59"/>
  <c r="C8" i="59"/>
  <c r="E31" i="59"/>
  <c r="C31" i="59"/>
  <c r="R29" i="59"/>
  <c r="E26" i="59"/>
  <c r="M26" i="59" s="1"/>
  <c r="D26" i="59"/>
  <c r="L26" i="59" s="1"/>
  <c r="C26" i="59"/>
  <c r="K26" i="59" s="1"/>
  <c r="M25" i="59"/>
  <c r="L25" i="59"/>
  <c r="K25" i="59"/>
  <c r="E20" i="59"/>
  <c r="M20" i="59" s="1"/>
  <c r="D20" i="59"/>
  <c r="L20" i="59" s="1"/>
  <c r="C20" i="59"/>
  <c r="K20" i="59" s="1"/>
  <c r="E19" i="59"/>
  <c r="M19" i="59" s="1"/>
  <c r="D19" i="59"/>
  <c r="L19" i="59" s="1"/>
  <c r="C19" i="59"/>
  <c r="K19" i="59" s="1"/>
  <c r="E7" i="59"/>
  <c r="E13" i="59" s="1"/>
  <c r="D7" i="59"/>
  <c r="C7" i="59"/>
  <c r="AU4" i="59"/>
  <c r="AT4" i="59"/>
  <c r="AS4" i="59"/>
  <c r="AR4" i="59"/>
  <c r="AQ4" i="59"/>
  <c r="AP4" i="59"/>
  <c r="AO4" i="59"/>
  <c r="AN4" i="59"/>
  <c r="AM4" i="59"/>
  <c r="AL4" i="59"/>
  <c r="AK4" i="59"/>
  <c r="AJ4" i="59"/>
  <c r="AI4" i="59"/>
  <c r="AH4" i="59"/>
  <c r="AF4" i="59"/>
  <c r="AE4" i="59"/>
  <c r="AD4" i="59"/>
  <c r="AC4" i="59"/>
  <c r="AB4" i="59"/>
  <c r="AA4" i="59"/>
  <c r="Z4" i="59"/>
  <c r="Y4" i="59"/>
  <c r="X4" i="59"/>
  <c r="W4" i="59"/>
  <c r="V4" i="59"/>
  <c r="U4" i="59"/>
  <c r="T4" i="59"/>
  <c r="S4" i="59"/>
  <c r="T20" i="34"/>
  <c r="S20" i="34"/>
  <c r="AH20" i="34" s="1"/>
  <c r="AI20" i="34" s="1"/>
  <c r="AH17" i="34"/>
  <c r="AI17" i="34" s="1"/>
  <c r="AH16" i="34"/>
  <c r="AI16" i="34" s="1"/>
  <c r="AH15" i="34"/>
  <c r="AI15" i="34" s="1"/>
  <c r="AH14" i="34"/>
  <c r="AI14" i="34" s="1"/>
  <c r="AH13" i="34"/>
  <c r="AI13" i="34" s="1"/>
  <c r="AH10" i="34"/>
  <c r="AI10" i="34" s="1"/>
  <c r="AH9" i="34"/>
  <c r="AI9" i="34" s="1"/>
  <c r="AH8" i="34"/>
  <c r="AI8" i="34" s="1"/>
  <c r="AH7" i="34"/>
  <c r="AI7" i="34" s="1"/>
  <c r="AH6" i="34"/>
  <c r="AI6" i="34" s="1"/>
  <c r="AF27" i="34"/>
  <c r="AE27" i="34"/>
  <c r="AD27" i="34"/>
  <c r="AC27" i="34"/>
  <c r="AB27" i="34"/>
  <c r="AA27" i="34"/>
  <c r="Z27" i="34"/>
  <c r="Y27" i="34"/>
  <c r="X27" i="34"/>
  <c r="W27" i="34"/>
  <c r="Q45" i="27" l="1"/>
  <c r="BE30" i="27"/>
  <c r="BE45" i="27" s="1"/>
  <c r="D31" i="59"/>
  <c r="M8" i="59"/>
  <c r="K8" i="59"/>
  <c r="C10" i="59"/>
  <c r="D10" i="59"/>
  <c r="L8" i="59"/>
  <c r="K7" i="59"/>
  <c r="L7" i="59"/>
  <c r="C13" i="59"/>
  <c r="E10" i="59"/>
  <c r="M7" i="59"/>
  <c r="D13" i="59"/>
  <c r="M31" i="59" l="1"/>
  <c r="M13" i="59"/>
  <c r="M10" i="59"/>
  <c r="E11" i="59"/>
  <c r="E16" i="59"/>
  <c r="L10" i="59"/>
  <c r="L31" i="59"/>
  <c r="L13" i="59"/>
  <c r="K13" i="59"/>
  <c r="K10" i="59"/>
  <c r="K31" i="59"/>
  <c r="D11" i="59"/>
  <c r="D16" i="59"/>
  <c r="C11" i="59"/>
  <c r="C16" i="59"/>
  <c r="C22" i="59" l="1"/>
  <c r="C17" i="59"/>
  <c r="K11" i="59"/>
  <c r="K16" i="59"/>
  <c r="E22" i="59"/>
  <c r="E17" i="59"/>
  <c r="D22" i="59"/>
  <c r="D17" i="59"/>
  <c r="L11" i="59"/>
  <c r="L16" i="59"/>
  <c r="M16" i="59"/>
  <c r="M11" i="59"/>
  <c r="M17" i="59" l="1"/>
  <c r="M22" i="59"/>
  <c r="L17" i="59"/>
  <c r="L22" i="59"/>
  <c r="E23" i="59"/>
  <c r="E28" i="59"/>
  <c r="D23" i="59"/>
  <c r="D28" i="59"/>
  <c r="K22" i="59"/>
  <c r="K17" i="59"/>
  <c r="C23" i="59"/>
  <c r="C28" i="59"/>
  <c r="K28" i="59" l="1"/>
  <c r="K23" i="59"/>
  <c r="C29" i="59"/>
  <c r="C33" i="59"/>
  <c r="C34" i="59" s="1"/>
  <c r="D33" i="59"/>
  <c r="D34" i="59" s="1"/>
  <c r="D29" i="59"/>
  <c r="E29" i="59"/>
  <c r="E33" i="59"/>
  <c r="E34" i="59" s="1"/>
  <c r="L28" i="59"/>
  <c r="L23" i="59"/>
  <c r="M23" i="59"/>
  <c r="M28" i="59"/>
  <c r="M29" i="59" l="1"/>
  <c r="M33" i="59"/>
  <c r="M34" i="59" s="1"/>
  <c r="L29" i="59"/>
  <c r="L33" i="59"/>
  <c r="L34" i="59" s="1"/>
  <c r="K29" i="59"/>
  <c r="K33" i="59"/>
  <c r="K34" i="59" s="1"/>
  <c r="AH21" i="33" l="1"/>
  <c r="AI21" i="33" s="1"/>
  <c r="AH19" i="33"/>
  <c r="AI19" i="33" s="1"/>
  <c r="AH18" i="33"/>
  <c r="AI18" i="33" s="1"/>
  <c r="AH17" i="33"/>
  <c r="AI17" i="33" s="1"/>
  <c r="AH16" i="33"/>
  <c r="AI16" i="33" s="1"/>
  <c r="AH15" i="33"/>
  <c r="AI15" i="33" s="1"/>
  <c r="AH14" i="33"/>
  <c r="AI14" i="33" s="1"/>
  <c r="AH7" i="33"/>
  <c r="AI7" i="33"/>
  <c r="AH8" i="33"/>
  <c r="AI8" i="33"/>
  <c r="AH9" i="33"/>
  <c r="AI9" i="33"/>
  <c r="AH10" i="33"/>
  <c r="AI10" i="33" s="1"/>
  <c r="AH11" i="33"/>
  <c r="AI11" i="33"/>
  <c r="AI6" i="33"/>
  <c r="AH6" i="33"/>
  <c r="AF32" i="33"/>
  <c r="AE32" i="33"/>
  <c r="AD32" i="33"/>
  <c r="AC32" i="33"/>
  <c r="AB32" i="33"/>
  <c r="AA32" i="33"/>
  <c r="Z32" i="33"/>
  <c r="Y32" i="33"/>
  <c r="X32" i="33"/>
  <c r="W32" i="33"/>
  <c r="N15" i="19"/>
  <c r="O15" i="19"/>
  <c r="P15" i="19" s="1"/>
  <c r="Q15" i="19" s="1"/>
  <c r="R15" i="19" s="1"/>
  <c r="S15" i="19" s="1"/>
  <c r="T15" i="19" s="1"/>
  <c r="U15" i="19" s="1"/>
  <c r="V15" i="19" s="1"/>
  <c r="M15" i="19"/>
  <c r="L15" i="19"/>
  <c r="L10" i="19"/>
  <c r="U19" i="20"/>
  <c r="U23" i="20" s="1"/>
  <c r="T19" i="20"/>
  <c r="R19" i="20"/>
  <c r="Q19" i="20"/>
  <c r="O19" i="20"/>
  <c r="N19" i="20"/>
  <c r="K19" i="20"/>
  <c r="L19" i="20"/>
  <c r="F19" i="20"/>
  <c r="G19" i="20"/>
  <c r="E19" i="20"/>
  <c r="V18" i="20"/>
  <c r="V23" i="20"/>
  <c r="T23" i="20"/>
  <c r="S23" i="20"/>
  <c r="R23" i="20"/>
  <c r="Q23" i="20"/>
  <c r="P23" i="20"/>
  <c r="O23" i="20"/>
  <c r="N23" i="20"/>
  <c r="M23" i="20"/>
  <c r="L23" i="20"/>
  <c r="K2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O20" i="11"/>
  <c r="O21" i="11"/>
  <c r="Y21" i="11" s="1"/>
  <c r="O22" i="11"/>
  <c r="AD22" i="11" s="1"/>
  <c r="O23" i="11"/>
  <c r="U23" i="11" s="1"/>
  <c r="O19" i="11"/>
  <c r="M21" i="19"/>
  <c r="N21" i="19" s="1"/>
  <c r="O21" i="19" s="1"/>
  <c r="P21" i="19" s="1"/>
  <c r="Q21" i="19" s="1"/>
  <c r="R21" i="19" s="1"/>
  <c r="S21" i="19" s="1"/>
  <c r="T21" i="19" s="1"/>
  <c r="U21" i="19" s="1"/>
  <c r="L21" i="19"/>
  <c r="K21" i="19"/>
  <c r="V21" i="19"/>
  <c r="K22" i="19"/>
  <c r="M16" i="19"/>
  <c r="N16" i="19"/>
  <c r="O16" i="19" s="1"/>
  <c r="P16" i="19" s="1"/>
  <c r="Q16" i="19" s="1"/>
  <c r="R16" i="19" s="1"/>
  <c r="S16" i="19" s="1"/>
  <c r="T16" i="19" s="1"/>
  <c r="U16" i="19" s="1"/>
  <c r="V16" i="19" s="1"/>
  <c r="L16" i="19"/>
  <c r="K16" i="19"/>
  <c r="K15" i="19"/>
  <c r="M10" i="19"/>
  <c r="N10" i="19"/>
  <c r="O10" i="19" s="1"/>
  <c r="P10" i="19" s="1"/>
  <c r="Q10" i="19" s="1"/>
  <c r="R10" i="19" s="1"/>
  <c r="S10" i="19" s="1"/>
  <c r="T10" i="19" s="1"/>
  <c r="U10" i="19" s="1"/>
  <c r="V10" i="19" s="1"/>
  <c r="K10" i="19"/>
  <c r="V6" i="19"/>
  <c r="U6" i="19"/>
  <c r="T6" i="19"/>
  <c r="S6" i="19"/>
  <c r="R6" i="19"/>
  <c r="Q6" i="19"/>
  <c r="P6" i="19"/>
  <c r="O6" i="19"/>
  <c r="N6" i="19"/>
  <c r="M6" i="19"/>
  <c r="L6" i="19"/>
  <c r="K6" i="19"/>
  <c r="M5" i="19"/>
  <c r="N5" i="19" s="1"/>
  <c r="O5" i="19" s="1"/>
  <c r="P5" i="19" s="1"/>
  <c r="Q5" i="19" s="1"/>
  <c r="R5" i="19" s="1"/>
  <c r="S5" i="19" s="1"/>
  <c r="T5" i="19" s="1"/>
  <c r="U5" i="19" s="1"/>
  <c r="V5" i="19" s="1"/>
  <c r="L5" i="19"/>
  <c r="K5" i="19"/>
  <c r="L11" i="20"/>
  <c r="M11" i="20"/>
  <c r="N11" i="20"/>
  <c r="O11" i="20"/>
  <c r="P11" i="20"/>
  <c r="Q11" i="20"/>
  <c r="R11" i="20"/>
  <c r="S11" i="20"/>
  <c r="T11" i="20"/>
  <c r="U11" i="20"/>
  <c r="V11" i="20"/>
  <c r="K11" i="20"/>
  <c r="M4" i="19"/>
  <c r="N4" i="19" s="1"/>
  <c r="O4" i="19" s="1"/>
  <c r="P4" i="19" s="1"/>
  <c r="Q4" i="19" s="1"/>
  <c r="R4" i="19" s="1"/>
  <c r="S4" i="19" s="1"/>
  <c r="T4" i="19" s="1"/>
  <c r="U4" i="19" s="1"/>
  <c r="V4" i="19" s="1"/>
  <c r="L4" i="19"/>
  <c r="K4" i="19"/>
  <c r="X20" i="11"/>
  <c r="U20" i="11"/>
  <c r="AD23" i="11"/>
  <c r="AC23" i="11"/>
  <c r="AB23" i="11"/>
  <c r="AA23" i="11"/>
  <c r="Z23" i="11"/>
  <c r="Y23" i="11"/>
  <c r="X23" i="11"/>
  <c r="W23" i="11"/>
  <c r="V23" i="11"/>
  <c r="AB22" i="11"/>
  <c r="AA22" i="11"/>
  <c r="S22" i="11"/>
  <c r="T19" i="11"/>
  <c r="U19" i="11"/>
  <c r="V19" i="11"/>
  <c r="W19" i="11"/>
  <c r="X19" i="11"/>
  <c r="Y19" i="11"/>
  <c r="Z19" i="11"/>
  <c r="AA19" i="11"/>
  <c r="AB19" i="11"/>
  <c r="AC19" i="11"/>
  <c r="AD19" i="11"/>
  <c r="S19" i="11"/>
  <c r="O66" i="17"/>
  <c r="P66" i="17"/>
  <c r="Q66" i="17"/>
  <c r="R66" i="17"/>
  <c r="S66" i="17"/>
  <c r="T66" i="17"/>
  <c r="U66" i="17"/>
  <c r="V66" i="17"/>
  <c r="W66" i="17"/>
  <c r="N66" i="17"/>
  <c r="M66" i="17"/>
  <c r="O60" i="17"/>
  <c r="N60" i="17"/>
  <c r="P60" i="17"/>
  <c r="Q60" i="17"/>
  <c r="R60" i="17"/>
  <c r="S60" i="17"/>
  <c r="T60" i="17"/>
  <c r="U60" i="17"/>
  <c r="V60" i="17"/>
  <c r="W60" i="17"/>
  <c r="X60" i="17"/>
  <c r="M60" i="17"/>
  <c r="N59" i="17"/>
  <c r="Q59" i="17"/>
  <c r="R59" i="17"/>
  <c r="S59" i="17"/>
  <c r="T59" i="17"/>
  <c r="U59" i="17"/>
  <c r="V59" i="17"/>
  <c r="W59" i="17"/>
  <c r="X59" i="17"/>
  <c r="M59" i="17"/>
  <c r="O7" i="11"/>
  <c r="O8" i="11"/>
  <c r="O9" i="11"/>
  <c r="T9" i="11" s="1"/>
  <c r="O10" i="11"/>
  <c r="U10" i="11" s="1"/>
  <c r="O11" i="11"/>
  <c r="O12" i="11"/>
  <c r="Y12" i="11" s="1"/>
  <c r="O13" i="11"/>
  <c r="AC13" i="11" s="1"/>
  <c r="O14" i="11"/>
  <c r="O6" i="11"/>
  <c r="O5" i="11"/>
  <c r="AA8" i="11"/>
  <c r="T13" i="11"/>
  <c r="U13" i="11"/>
  <c r="V13" i="11"/>
  <c r="W13" i="11"/>
  <c r="X13" i="11"/>
  <c r="Y13" i="11"/>
  <c r="Z13" i="11"/>
  <c r="AA13" i="11"/>
  <c r="AB13" i="11"/>
  <c r="X14" i="11"/>
  <c r="Y14" i="11"/>
  <c r="Z14" i="11"/>
  <c r="AA14" i="11"/>
  <c r="AB14" i="11"/>
  <c r="AC14" i="11"/>
  <c r="AD14" i="11"/>
  <c r="S14" i="11"/>
  <c r="AD12" i="11"/>
  <c r="AC12" i="11"/>
  <c r="AB12" i="11"/>
  <c r="AA12" i="11"/>
  <c r="Z12" i="11"/>
  <c r="T12" i="11"/>
  <c r="S12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X10" i="11"/>
  <c r="U9" i="11"/>
  <c r="V9" i="11"/>
  <c r="W9" i="11"/>
  <c r="X9" i="11"/>
  <c r="Y9" i="11"/>
  <c r="Z9" i="11"/>
  <c r="AA9" i="11"/>
  <c r="AB9" i="11"/>
  <c r="AC9" i="11"/>
  <c r="AD9" i="11"/>
  <c r="S9" i="11"/>
  <c r="V7" i="11"/>
  <c r="W7" i="11"/>
  <c r="X7" i="11"/>
  <c r="Y7" i="11"/>
  <c r="Z7" i="11"/>
  <c r="AA7" i="11"/>
  <c r="AB7" i="11"/>
  <c r="AC7" i="11"/>
  <c r="U7" i="11"/>
  <c r="T6" i="11"/>
  <c r="U6" i="11"/>
  <c r="V6" i="11"/>
  <c r="W6" i="11"/>
  <c r="X6" i="11"/>
  <c r="Y6" i="11"/>
  <c r="Z6" i="11"/>
  <c r="AA6" i="11"/>
  <c r="AB6" i="11"/>
  <c r="AC6" i="11"/>
  <c r="AD6" i="11"/>
  <c r="S6" i="11"/>
  <c r="T22" i="11" l="1"/>
  <c r="T18" i="11" s="1"/>
  <c r="N71" i="17" s="1"/>
  <c r="U22" i="11"/>
  <c r="V22" i="11"/>
  <c r="W22" i="11"/>
  <c r="X22" i="11"/>
  <c r="X18" i="11" s="1"/>
  <c r="R71" i="17" s="1"/>
  <c r="Y22" i="11"/>
  <c r="Y18" i="11" s="1"/>
  <c r="S71" i="17" s="1"/>
  <c r="W21" i="11"/>
  <c r="Z22" i="11"/>
  <c r="W18" i="11"/>
  <c r="Q71" i="17" s="1"/>
  <c r="V18" i="11"/>
  <c r="P71" i="17" s="1"/>
  <c r="U18" i="11"/>
  <c r="O71" i="17" s="1"/>
  <c r="AD18" i="11"/>
  <c r="X71" i="17" s="1"/>
  <c r="AC22" i="11"/>
  <c r="AC18" i="11" s="1"/>
  <c r="W71" i="17" s="1"/>
  <c r="AB18" i="11"/>
  <c r="V71" i="17" s="1"/>
  <c r="AA18" i="11"/>
  <c r="U71" i="17" s="1"/>
  <c r="S23" i="11"/>
  <c r="S18" i="11" s="1"/>
  <c r="M71" i="17" s="1"/>
  <c r="Z18" i="11"/>
  <c r="T71" i="17" s="1"/>
  <c r="T23" i="11"/>
  <c r="L22" i="19"/>
  <c r="M22" i="19"/>
  <c r="X66" i="17"/>
  <c r="T14" i="11"/>
  <c r="AC5" i="11"/>
  <c r="AB5" i="11"/>
  <c r="AA5" i="11"/>
  <c r="Y5" i="11"/>
  <c r="W14" i="11"/>
  <c r="U12" i="11"/>
  <c r="V12" i="11"/>
  <c r="W12" i="11"/>
  <c r="W5" i="11" s="1"/>
  <c r="S13" i="11"/>
  <c r="S5" i="11" s="1"/>
  <c r="X12" i="11"/>
  <c r="X5" i="11" s="1"/>
  <c r="AD13" i="11"/>
  <c r="AD5" i="11" s="1"/>
  <c r="T5" i="11"/>
  <c r="Z5" i="11"/>
  <c r="N22" i="19" l="1"/>
  <c r="O22" i="19" l="1"/>
  <c r="P22" i="19" l="1"/>
  <c r="Q22" i="19" l="1"/>
  <c r="R22" i="19" l="1"/>
  <c r="S22" i="19" l="1"/>
  <c r="T22" i="19" l="1"/>
  <c r="V22" i="19" l="1"/>
  <c r="U22" i="19"/>
  <c r="AI11" i="36" l="1"/>
  <c r="AJ11" i="36" s="1"/>
  <c r="AK11" i="36" s="1"/>
  <c r="AL11" i="36" s="1"/>
  <c r="AM11" i="36" s="1"/>
  <c r="AG11" i="36"/>
  <c r="AF11" i="36"/>
  <c r="AE11" i="36"/>
  <c r="AD11" i="36"/>
  <c r="AC11" i="36"/>
  <c r="AB11" i="36"/>
  <c r="AI9" i="36"/>
  <c r="AJ9" i="36" s="1"/>
  <c r="AK9" i="36" s="1"/>
  <c r="AL9" i="36" s="1"/>
  <c r="AM9" i="36" s="1"/>
  <c r="AG9" i="36"/>
  <c r="AF9" i="36"/>
  <c r="AE9" i="36"/>
  <c r="AI7" i="36"/>
  <c r="AJ7" i="36" s="1"/>
  <c r="AK7" i="36" s="1"/>
  <c r="AL7" i="36" s="1"/>
  <c r="AM7" i="36" s="1"/>
  <c r="AN7" i="36" s="1"/>
  <c r="AO7" i="36" s="1"/>
  <c r="AP7" i="36" s="1"/>
  <c r="AQ7" i="36" s="1"/>
  <c r="AR7" i="36" s="1"/>
  <c r="AS7" i="36" s="1"/>
  <c r="AT7" i="36" s="1"/>
  <c r="AU7" i="36" s="1"/>
  <c r="AV7" i="36" s="1"/>
  <c r="AG7" i="36"/>
  <c r="AF7" i="36"/>
  <c r="AE7" i="36"/>
  <c r="AD7" i="36"/>
  <c r="AD9" i="36" s="1"/>
  <c r="AC7" i="36"/>
  <c r="AC9" i="36" s="1"/>
  <c r="AB7" i="36"/>
  <c r="AB9" i="36" s="1"/>
  <c r="AA7" i="36"/>
  <c r="AA11" i="36" s="1"/>
  <c r="Z7" i="36"/>
  <c r="Z11" i="36" s="1"/>
  <c r="Y7" i="36"/>
  <c r="Y11" i="36" s="1"/>
  <c r="X7" i="36"/>
  <c r="X9" i="36" s="1"/>
  <c r="W7" i="36"/>
  <c r="W9" i="36" s="1"/>
  <c r="V7" i="36"/>
  <c r="V9" i="36" s="1"/>
  <c r="AV4" i="36"/>
  <c r="AU4" i="36"/>
  <c r="AT4" i="36"/>
  <c r="AS4" i="36"/>
  <c r="AR4" i="36"/>
  <c r="AQ4" i="36"/>
  <c r="AP4" i="36"/>
  <c r="AO4" i="36"/>
  <c r="AN4" i="36"/>
  <c r="AM4" i="36"/>
  <c r="AL4" i="36"/>
  <c r="AK4" i="36"/>
  <c r="AJ4" i="36"/>
  <c r="AI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AJ7" i="22"/>
  <c r="AK7" i="22" s="1"/>
  <c r="AL7" i="22" s="1"/>
  <c r="AM7" i="22" s="1"/>
  <c r="AN7" i="22" s="1"/>
  <c r="AO7" i="22" s="1"/>
  <c r="AP7" i="22" s="1"/>
  <c r="AQ7" i="22" s="1"/>
  <c r="AR7" i="22" s="1"/>
  <c r="AS7" i="22" s="1"/>
  <c r="AT7" i="22" s="1"/>
  <c r="AU7" i="22" s="1"/>
  <c r="AJ9" i="22"/>
  <c r="AK9" i="22"/>
  <c r="AL9" i="22"/>
  <c r="AM9" i="22"/>
  <c r="AN9" i="22"/>
  <c r="AO9" i="22"/>
  <c r="AP9" i="22"/>
  <c r="AQ9" i="22" s="1"/>
  <c r="AR9" i="22" s="1"/>
  <c r="AS9" i="22" s="1"/>
  <c r="AT9" i="22" s="1"/>
  <c r="AU9" i="22" s="1"/>
  <c r="AJ11" i="22"/>
  <c r="AK11" i="22"/>
  <c r="AL11" i="22"/>
  <c r="AM11" i="22"/>
  <c r="AN11" i="22" s="1"/>
  <c r="AO11" i="22" s="1"/>
  <c r="AP11" i="22" s="1"/>
  <c r="AQ11" i="22" s="1"/>
  <c r="AR11" i="22" s="1"/>
  <c r="AS11" i="22" s="1"/>
  <c r="AT11" i="22" s="1"/>
  <c r="AU11" i="22" s="1"/>
  <c r="AI11" i="22"/>
  <c r="AH11" i="22"/>
  <c r="AH9" i="22"/>
  <c r="AI9" i="22" s="1"/>
  <c r="AI7" i="22"/>
  <c r="AH7" i="22"/>
  <c r="Y11" i="22"/>
  <c r="Z11" i="22"/>
  <c r="AA11" i="22"/>
  <c r="AB11" i="22"/>
  <c r="AC11" i="22"/>
  <c r="AD11" i="22"/>
  <c r="AE11" i="22"/>
  <c r="AF11" i="22"/>
  <c r="X11" i="22"/>
  <c r="AC9" i="22"/>
  <c r="AD9" i="22"/>
  <c r="AE9" i="22"/>
  <c r="AF9" i="22"/>
  <c r="U9" i="22"/>
  <c r="V7" i="22"/>
  <c r="V9" i="22" s="1"/>
  <c r="W7" i="22"/>
  <c r="W9" i="22" s="1"/>
  <c r="X7" i="22"/>
  <c r="Y7" i="22"/>
  <c r="Y9" i="22" s="1"/>
  <c r="Z7" i="22"/>
  <c r="AA7" i="22"/>
  <c r="AA9" i="22" s="1"/>
  <c r="AB7" i="22"/>
  <c r="AC7" i="22"/>
  <c r="AD7" i="22"/>
  <c r="AE7" i="22"/>
  <c r="AF7" i="22"/>
  <c r="U7" i="22"/>
  <c r="AN9" i="36" l="1"/>
  <c r="AN11" i="36"/>
  <c r="AO11" i="36" s="1"/>
  <c r="AP11" i="36" s="1"/>
  <c r="AQ11" i="36" s="1"/>
  <c r="AR11" i="36" s="1"/>
  <c r="AS11" i="36" s="1"/>
  <c r="AT11" i="36" s="1"/>
  <c r="AU11" i="36" s="1"/>
  <c r="AV11" i="36" s="1"/>
  <c r="Y9" i="36"/>
  <c r="Z9" i="36"/>
  <c r="AA9" i="36"/>
  <c r="Z9" i="22"/>
  <c r="AB9" i="22"/>
  <c r="X9" i="22"/>
  <c r="AO9" i="36" l="1"/>
  <c r="AP9" i="36" s="1"/>
  <c r="AQ9" i="36" s="1"/>
  <c r="AR9" i="36" s="1"/>
  <c r="AS9" i="36" s="1"/>
  <c r="AT9" i="36" s="1"/>
  <c r="AU9" i="36" s="1"/>
  <c r="AV9" i="36" s="1"/>
  <c r="C65" i="17" l="1"/>
  <c r="C6" i="58" l="1"/>
  <c r="C3" i="58" s="1"/>
  <c r="F3" i="58" s="1"/>
  <c r="E3" i="58" l="1"/>
  <c r="P3" i="58"/>
  <c r="O3" i="58"/>
  <c r="N3" i="58"/>
  <c r="M3" i="58"/>
  <c r="L3" i="58"/>
  <c r="K3" i="58"/>
  <c r="J3" i="58"/>
  <c r="I3" i="58"/>
  <c r="H3" i="58"/>
  <c r="G3" i="58"/>
  <c r="E16" i="56" l="1"/>
  <c r="E17" i="56"/>
  <c r="D16" i="56"/>
  <c r="D17" i="56"/>
  <c r="E15" i="56"/>
  <c r="F15" i="56"/>
  <c r="D15" i="56"/>
  <c r="F17" i="56"/>
  <c r="D12" i="56"/>
  <c r="E12" i="56"/>
  <c r="F12" i="56" s="1"/>
  <c r="F11" i="56"/>
  <c r="D11" i="56"/>
  <c r="E11" i="56"/>
  <c r="E10" i="56"/>
  <c r="F10" i="56" s="1"/>
  <c r="D10" i="56"/>
  <c r="E7" i="56"/>
  <c r="F7" i="56" s="1"/>
  <c r="D7" i="56"/>
  <c r="E5" i="56"/>
  <c r="F5" i="56" s="1"/>
  <c r="D5" i="56"/>
  <c r="E4" i="56"/>
  <c r="F4" i="56" s="1"/>
  <c r="D4" i="56"/>
  <c r="C1" i="56"/>
  <c r="F16" i="56"/>
  <c r="D13" i="56" l="1"/>
  <c r="E13" i="56"/>
  <c r="D1" i="56"/>
  <c r="AP42" i="7" l="1"/>
  <c r="AO42" i="7"/>
  <c r="AN42" i="7"/>
  <c r="AM42" i="7"/>
  <c r="AT42" i="7"/>
  <c r="AS42" i="7"/>
  <c r="AR42" i="7"/>
  <c r="AQ42" i="7"/>
  <c r="AL42" i="7"/>
  <c r="AK42" i="7"/>
  <c r="AJ42" i="7"/>
  <c r="AJ44" i="7" s="1"/>
  <c r="AI42" i="7"/>
  <c r="AI44" i="7" s="1"/>
  <c r="AT35" i="7"/>
  <c r="AS35" i="7"/>
  <c r="AR35" i="7"/>
  <c r="AQ35" i="7"/>
  <c r="AP35" i="7"/>
  <c r="AO35" i="7"/>
  <c r="AO44" i="7" s="1"/>
  <c r="AN35" i="7"/>
  <c r="AN44" i="7" s="1"/>
  <c r="AM35" i="7"/>
  <c r="AM44" i="7" s="1"/>
  <c r="AL35" i="7"/>
  <c r="AK35" i="7"/>
  <c r="AJ35" i="7"/>
  <c r="AI35" i="7"/>
  <c r="AT29" i="7"/>
  <c r="AR29" i="7"/>
  <c r="AO29" i="7"/>
  <c r="AN29" i="7"/>
  <c r="AM29" i="7"/>
  <c r="AJ29" i="7"/>
  <c r="AI29" i="7"/>
  <c r="AT10" i="7"/>
  <c r="AR10" i="7"/>
  <c r="AO10" i="7"/>
  <c r="AN10" i="7"/>
  <c r="AM10" i="7"/>
  <c r="AJ10" i="7"/>
  <c r="AI10" i="7"/>
  <c r="AI5" i="7"/>
  <c r="AJ5" i="7"/>
  <c r="AM5" i="7"/>
  <c r="AN5" i="7"/>
  <c r="AO5" i="7"/>
  <c r="AR5" i="7"/>
  <c r="AT5" i="7"/>
  <c r="AI6" i="7"/>
  <c r="AJ6" i="7"/>
  <c r="AM6" i="7"/>
  <c r="AN6" i="7"/>
  <c r="AO6" i="7"/>
  <c r="AR6" i="7"/>
  <c r="AT6" i="7"/>
  <c r="AI7" i="7"/>
  <c r="AJ7" i="7"/>
  <c r="AM7" i="7"/>
  <c r="AN7" i="7"/>
  <c r="AO7" i="7"/>
  <c r="AR7" i="7"/>
  <c r="AT7" i="7"/>
  <c r="AI8" i="7"/>
  <c r="AJ8" i="7"/>
  <c r="AM8" i="7"/>
  <c r="AN8" i="7"/>
  <c r="AO8" i="7"/>
  <c r="AR8" i="7"/>
  <c r="AT8" i="7"/>
  <c r="AI9" i="7"/>
  <c r="AJ9" i="7"/>
  <c r="AM9" i="7"/>
  <c r="AN9" i="7"/>
  <c r="AO9" i="7"/>
  <c r="AR9" i="7"/>
  <c r="AT9" i="7"/>
  <c r="AJ4" i="7"/>
  <c r="AM4" i="7"/>
  <c r="AN4" i="7"/>
  <c r="AO4" i="7"/>
  <c r="AR4" i="7"/>
  <c r="AT4" i="7"/>
  <c r="AI4" i="7"/>
  <c r="V4" i="7"/>
  <c r="V10" i="7" s="1"/>
  <c r="M20" i="4"/>
  <c r="N20" i="4"/>
  <c r="O20" i="4"/>
  <c r="P20" i="4"/>
  <c r="Q20" i="4"/>
  <c r="AA20" i="7" s="1"/>
  <c r="R20" i="4"/>
  <c r="S20" i="4"/>
  <c r="T20" i="4"/>
  <c r="AD20" i="7" s="1"/>
  <c r="U20" i="4"/>
  <c r="AE20" i="7" s="1"/>
  <c r="V20" i="4"/>
  <c r="W20" i="4"/>
  <c r="X21" i="17" s="1"/>
  <c r="M21" i="4"/>
  <c r="N21" i="4"/>
  <c r="O21" i="4"/>
  <c r="P21" i="4"/>
  <c r="Q21" i="4"/>
  <c r="R21" i="4"/>
  <c r="S21" i="4"/>
  <c r="T21" i="4"/>
  <c r="U21" i="4"/>
  <c r="V22" i="17" s="1"/>
  <c r="V21" i="4"/>
  <c r="W21" i="4"/>
  <c r="L21" i="4"/>
  <c r="L20" i="4"/>
  <c r="AF14" i="7"/>
  <c r="AC14" i="7"/>
  <c r="Z14" i="7"/>
  <c r="Y14" i="7"/>
  <c r="X14" i="7"/>
  <c r="W14" i="7"/>
  <c r="V14" i="7"/>
  <c r="AG35" i="7"/>
  <c r="AF35" i="7"/>
  <c r="AE35" i="7"/>
  <c r="AD35" i="7"/>
  <c r="AC35" i="7"/>
  <c r="AB35" i="7"/>
  <c r="AA35" i="7"/>
  <c r="Z35" i="7"/>
  <c r="Y35" i="7"/>
  <c r="X35" i="7"/>
  <c r="W35" i="7"/>
  <c r="V35" i="7"/>
  <c r="AG39" i="7"/>
  <c r="AF39" i="7"/>
  <c r="AE39" i="7"/>
  <c r="AD39" i="7"/>
  <c r="AC39" i="7"/>
  <c r="AB39" i="7"/>
  <c r="AA39" i="7"/>
  <c r="Z39" i="7"/>
  <c r="Y39" i="7"/>
  <c r="X39" i="7"/>
  <c r="W39" i="7"/>
  <c r="V39" i="7"/>
  <c r="AG38" i="7"/>
  <c r="AF38" i="7"/>
  <c r="AE38" i="7"/>
  <c r="AD38" i="7"/>
  <c r="AC38" i="7"/>
  <c r="AB38" i="7"/>
  <c r="AA38" i="7"/>
  <c r="Z38" i="7"/>
  <c r="Y38" i="7"/>
  <c r="X38" i="7"/>
  <c r="W38" i="7"/>
  <c r="V38" i="7"/>
  <c r="AG37" i="7"/>
  <c r="AF37" i="7"/>
  <c r="AE37" i="7"/>
  <c r="AD37" i="7"/>
  <c r="AC37" i="7"/>
  <c r="AB37" i="7"/>
  <c r="AA37" i="7"/>
  <c r="Z37" i="7"/>
  <c r="Y37" i="7"/>
  <c r="X37" i="7"/>
  <c r="W37" i="7"/>
  <c r="V37" i="7"/>
  <c r="AG33" i="7"/>
  <c r="AF33" i="7"/>
  <c r="AE33" i="7"/>
  <c r="AD33" i="7"/>
  <c r="AC33" i="7"/>
  <c r="AB33" i="7"/>
  <c r="AA33" i="7"/>
  <c r="Z33" i="7"/>
  <c r="Y33" i="7"/>
  <c r="X33" i="7"/>
  <c r="W33" i="7"/>
  <c r="V33" i="7"/>
  <c r="AG32" i="7"/>
  <c r="AF32" i="7"/>
  <c r="AE32" i="7"/>
  <c r="AD32" i="7"/>
  <c r="AC32" i="7"/>
  <c r="AB32" i="7"/>
  <c r="AA32" i="7"/>
  <c r="Z32" i="7"/>
  <c r="Y32" i="7"/>
  <c r="X32" i="7"/>
  <c r="W32" i="7"/>
  <c r="V32" i="7"/>
  <c r="AG31" i="7"/>
  <c r="AF31" i="7"/>
  <c r="AE31" i="7"/>
  <c r="AD31" i="7"/>
  <c r="AC31" i="7"/>
  <c r="AB31" i="7"/>
  <c r="AA31" i="7"/>
  <c r="Z31" i="7"/>
  <c r="Y31" i="7"/>
  <c r="X31" i="7"/>
  <c r="W31" i="7"/>
  <c r="V31" i="7"/>
  <c r="AF26" i="7"/>
  <c r="AC26" i="7"/>
  <c r="Z26" i="7"/>
  <c r="Y26" i="7"/>
  <c r="X26" i="7"/>
  <c r="W26" i="7"/>
  <c r="V26" i="7"/>
  <c r="AG25" i="7"/>
  <c r="AF25" i="7"/>
  <c r="AE25" i="7"/>
  <c r="AD25" i="7"/>
  <c r="AC25" i="7"/>
  <c r="AB25" i="7"/>
  <c r="AA25" i="7"/>
  <c r="Z25" i="7"/>
  <c r="Y25" i="7"/>
  <c r="X25" i="7"/>
  <c r="W25" i="7"/>
  <c r="V25" i="7"/>
  <c r="AG24" i="7"/>
  <c r="AF24" i="7"/>
  <c r="AE24" i="7"/>
  <c r="AD24" i="7"/>
  <c r="AC24" i="7"/>
  <c r="AB24" i="7"/>
  <c r="AA24" i="7"/>
  <c r="Z24" i="7"/>
  <c r="Y24" i="7"/>
  <c r="X24" i="7"/>
  <c r="W24" i="7"/>
  <c r="V24" i="7"/>
  <c r="AG23" i="7"/>
  <c r="AF23" i="7"/>
  <c r="AE23" i="7"/>
  <c r="AD23" i="7"/>
  <c r="AC23" i="7"/>
  <c r="AB23" i="7"/>
  <c r="AA23" i="7"/>
  <c r="Z23" i="7"/>
  <c r="Y23" i="7"/>
  <c r="X23" i="7"/>
  <c r="W23" i="7"/>
  <c r="V23" i="7"/>
  <c r="AG22" i="7"/>
  <c r="AF22" i="7"/>
  <c r="AE22" i="7"/>
  <c r="AD22" i="7"/>
  <c r="AC22" i="7"/>
  <c r="AB22" i="7"/>
  <c r="AA22" i="7"/>
  <c r="Z22" i="7"/>
  <c r="Y22" i="7"/>
  <c r="X22" i="7"/>
  <c r="W22" i="7"/>
  <c r="V22" i="7"/>
  <c r="W21" i="7"/>
  <c r="AG20" i="7"/>
  <c r="AF20" i="7"/>
  <c r="AG17" i="7"/>
  <c r="AF17" i="7"/>
  <c r="AE17" i="7"/>
  <c r="AD17" i="7"/>
  <c r="AC17" i="7"/>
  <c r="AB17" i="7"/>
  <c r="AA17" i="7"/>
  <c r="Z17" i="7"/>
  <c r="Y17" i="7"/>
  <c r="X17" i="7"/>
  <c r="W17" i="7"/>
  <c r="V17" i="7"/>
  <c r="AF13" i="7"/>
  <c r="AC13" i="7"/>
  <c r="Z13" i="7"/>
  <c r="Y13" i="7"/>
  <c r="X13" i="7"/>
  <c r="W13" i="7"/>
  <c r="V13" i="7"/>
  <c r="AF12" i="7"/>
  <c r="AC12" i="7"/>
  <c r="Z12" i="7"/>
  <c r="Y12" i="7"/>
  <c r="X12" i="7"/>
  <c r="W12" i="7"/>
  <c r="V12" i="7"/>
  <c r="AG10" i="7"/>
  <c r="AE10" i="7"/>
  <c r="AB10" i="7"/>
  <c r="AA10" i="7"/>
  <c r="Z10" i="7"/>
  <c r="W10" i="7"/>
  <c r="V5" i="7"/>
  <c r="W5" i="7"/>
  <c r="Z5" i="7"/>
  <c r="AA5" i="7"/>
  <c r="AB5" i="7"/>
  <c r="AE5" i="7"/>
  <c r="AG5" i="7"/>
  <c r="V6" i="7"/>
  <c r="W6" i="7"/>
  <c r="Z6" i="7"/>
  <c r="AA6" i="7"/>
  <c r="AB6" i="7"/>
  <c r="AE6" i="7"/>
  <c r="AG6" i="7"/>
  <c r="V7" i="7"/>
  <c r="W7" i="7"/>
  <c r="Z7" i="7"/>
  <c r="AA7" i="7"/>
  <c r="AB7" i="7"/>
  <c r="AE7" i="7"/>
  <c r="AG7" i="7"/>
  <c r="V8" i="7"/>
  <c r="W8" i="7"/>
  <c r="Z8" i="7"/>
  <c r="AA8" i="7"/>
  <c r="AB8" i="7"/>
  <c r="AE8" i="7"/>
  <c r="AG8" i="7"/>
  <c r="V9" i="7"/>
  <c r="W9" i="7"/>
  <c r="Z9" i="7"/>
  <c r="AA9" i="7"/>
  <c r="AB9" i="7"/>
  <c r="AE9" i="7"/>
  <c r="AG9" i="7"/>
  <c r="W4" i="7"/>
  <c r="Z4" i="7"/>
  <c r="AA4" i="7"/>
  <c r="AB4" i="7"/>
  <c r="AE4" i="7"/>
  <c r="AG4" i="7"/>
  <c r="Y34" i="6"/>
  <c r="X34" i="6"/>
  <c r="W34" i="6"/>
  <c r="V34" i="6"/>
  <c r="U34" i="6"/>
  <c r="T34" i="6"/>
  <c r="S34" i="6"/>
  <c r="R34" i="6"/>
  <c r="Q34" i="6"/>
  <c r="P34" i="6"/>
  <c r="O34" i="6"/>
  <c r="N34" i="6"/>
  <c r="X13" i="6"/>
  <c r="U13" i="6"/>
  <c r="R13" i="6"/>
  <c r="Q13" i="6"/>
  <c r="P13" i="6"/>
  <c r="O13" i="6"/>
  <c r="N13" i="6"/>
  <c r="Y9" i="6"/>
  <c r="W9" i="6"/>
  <c r="T9" i="6"/>
  <c r="S9" i="6"/>
  <c r="R9" i="6"/>
  <c r="O9" i="6"/>
  <c r="N9" i="6"/>
  <c r="Y38" i="6"/>
  <c r="X38" i="6"/>
  <c r="W38" i="6"/>
  <c r="V38" i="6"/>
  <c r="U38" i="6"/>
  <c r="T38" i="6"/>
  <c r="S38" i="6"/>
  <c r="R38" i="6"/>
  <c r="Q38" i="6"/>
  <c r="P38" i="6"/>
  <c r="O38" i="6"/>
  <c r="N38" i="6"/>
  <c r="Y37" i="6"/>
  <c r="X37" i="6"/>
  <c r="W37" i="6"/>
  <c r="V37" i="6"/>
  <c r="U37" i="6"/>
  <c r="T37" i="6"/>
  <c r="S37" i="6"/>
  <c r="R37" i="6"/>
  <c r="Q37" i="6"/>
  <c r="P37" i="6"/>
  <c r="O37" i="6"/>
  <c r="N37" i="6"/>
  <c r="Y36" i="6"/>
  <c r="X36" i="6"/>
  <c r="W36" i="6"/>
  <c r="V36" i="6"/>
  <c r="U36" i="6"/>
  <c r="T36" i="6"/>
  <c r="S36" i="6"/>
  <c r="R36" i="6"/>
  <c r="Q36" i="6"/>
  <c r="P36" i="6"/>
  <c r="O36" i="6"/>
  <c r="N36" i="6"/>
  <c r="Y32" i="6"/>
  <c r="X32" i="6"/>
  <c r="W32" i="6"/>
  <c r="V32" i="6"/>
  <c r="U32" i="6"/>
  <c r="T32" i="6"/>
  <c r="S32" i="6"/>
  <c r="R32" i="6"/>
  <c r="Q32" i="6"/>
  <c r="P32" i="6"/>
  <c r="O32" i="6"/>
  <c r="N32" i="6"/>
  <c r="Y31" i="6"/>
  <c r="X31" i="6"/>
  <c r="W31" i="6"/>
  <c r="V31" i="6"/>
  <c r="U31" i="6"/>
  <c r="T31" i="6"/>
  <c r="S31" i="6"/>
  <c r="R31" i="6"/>
  <c r="Q31" i="6"/>
  <c r="P31" i="6"/>
  <c r="O31" i="6"/>
  <c r="N31" i="6"/>
  <c r="Y30" i="6"/>
  <c r="X30" i="6"/>
  <c r="W30" i="6"/>
  <c r="V30" i="6"/>
  <c r="U30" i="6"/>
  <c r="T30" i="6"/>
  <c r="S30" i="6"/>
  <c r="R30" i="6"/>
  <c r="Q30" i="6"/>
  <c r="P30" i="6"/>
  <c r="O30" i="6"/>
  <c r="N30" i="6"/>
  <c r="X25" i="6"/>
  <c r="U25" i="6"/>
  <c r="R25" i="6"/>
  <c r="Q25" i="6"/>
  <c r="P25" i="6"/>
  <c r="O25" i="6"/>
  <c r="N25" i="6"/>
  <c r="Y24" i="6"/>
  <c r="X24" i="6"/>
  <c r="W24" i="6"/>
  <c r="V24" i="6"/>
  <c r="U24" i="6"/>
  <c r="T24" i="6"/>
  <c r="S24" i="6"/>
  <c r="R24" i="6"/>
  <c r="Q24" i="6"/>
  <c r="P24" i="6"/>
  <c r="O24" i="6"/>
  <c r="N24" i="6"/>
  <c r="Y23" i="6"/>
  <c r="X23" i="6"/>
  <c r="W23" i="6"/>
  <c r="V23" i="6"/>
  <c r="U23" i="6"/>
  <c r="T23" i="6"/>
  <c r="S23" i="6"/>
  <c r="R23" i="6"/>
  <c r="Q23" i="6"/>
  <c r="P23" i="6"/>
  <c r="O23" i="6"/>
  <c r="N23" i="6"/>
  <c r="Y22" i="6"/>
  <c r="X22" i="6"/>
  <c r="W22" i="6"/>
  <c r="V22" i="6"/>
  <c r="U22" i="6"/>
  <c r="T22" i="6"/>
  <c r="S22" i="6"/>
  <c r="R22" i="6"/>
  <c r="Q22" i="6"/>
  <c r="P22" i="6"/>
  <c r="O22" i="6"/>
  <c r="N22" i="6"/>
  <c r="Y21" i="6"/>
  <c r="X21" i="6"/>
  <c r="W21" i="6"/>
  <c r="V21" i="6"/>
  <c r="U21" i="6"/>
  <c r="T21" i="6"/>
  <c r="S21" i="6"/>
  <c r="R21" i="6"/>
  <c r="Q21" i="6"/>
  <c r="P21" i="6"/>
  <c r="O21" i="6"/>
  <c r="N21" i="6"/>
  <c r="Y20" i="6"/>
  <c r="X20" i="6"/>
  <c r="W19" i="6"/>
  <c r="V19" i="6"/>
  <c r="U19" i="6"/>
  <c r="T19" i="6"/>
  <c r="Y16" i="6"/>
  <c r="X16" i="6"/>
  <c r="W16" i="6"/>
  <c r="V16" i="6"/>
  <c r="U16" i="6"/>
  <c r="T16" i="6"/>
  <c r="S16" i="6"/>
  <c r="R16" i="6"/>
  <c r="Q16" i="6"/>
  <c r="P16" i="6"/>
  <c r="O16" i="6"/>
  <c r="N16" i="6"/>
  <c r="X12" i="6"/>
  <c r="U12" i="6"/>
  <c r="R12" i="6"/>
  <c r="Q12" i="6"/>
  <c r="P12" i="6"/>
  <c r="O12" i="6"/>
  <c r="N12" i="6"/>
  <c r="X11" i="6"/>
  <c r="U11" i="6"/>
  <c r="R11" i="6"/>
  <c r="Q11" i="6"/>
  <c r="P11" i="6"/>
  <c r="O11" i="6"/>
  <c r="N11" i="6"/>
  <c r="N4" i="6"/>
  <c r="O4" i="6"/>
  <c r="R4" i="6"/>
  <c r="S4" i="6"/>
  <c r="T4" i="6"/>
  <c r="W4" i="6"/>
  <c r="Y4" i="6"/>
  <c r="N5" i="6"/>
  <c r="O5" i="6"/>
  <c r="R5" i="6"/>
  <c r="S5" i="6"/>
  <c r="T5" i="6"/>
  <c r="W5" i="6"/>
  <c r="Y5" i="6"/>
  <c r="N6" i="6"/>
  <c r="O6" i="6"/>
  <c r="R6" i="6"/>
  <c r="S6" i="6"/>
  <c r="T6" i="6"/>
  <c r="W6" i="6"/>
  <c r="Y6" i="6"/>
  <c r="N7" i="6"/>
  <c r="O7" i="6"/>
  <c r="R7" i="6"/>
  <c r="S7" i="6"/>
  <c r="T7" i="6"/>
  <c r="W7" i="6"/>
  <c r="Y7" i="6"/>
  <c r="N8" i="6"/>
  <c r="O8" i="6"/>
  <c r="R8" i="6"/>
  <c r="S8" i="6"/>
  <c r="T8" i="6"/>
  <c r="W8" i="6"/>
  <c r="Y8" i="6"/>
  <c r="O3" i="6"/>
  <c r="R3" i="6"/>
  <c r="S3" i="6"/>
  <c r="T3" i="6"/>
  <c r="W3" i="6"/>
  <c r="Y3" i="6"/>
  <c r="N3" i="6"/>
  <c r="N13" i="17"/>
  <c r="O13" i="17"/>
  <c r="O15" i="17" s="1"/>
  <c r="P13" i="17"/>
  <c r="P15" i="17" s="1"/>
  <c r="Q13" i="17"/>
  <c r="T13" i="17"/>
  <c r="W13" i="17"/>
  <c r="N14" i="17"/>
  <c r="N15" i="17" s="1"/>
  <c r="O14" i="17"/>
  <c r="P14" i="17"/>
  <c r="Q14" i="17"/>
  <c r="Q15" i="17" s="1"/>
  <c r="T14" i="17"/>
  <c r="T15" i="17" s="1"/>
  <c r="W14" i="17"/>
  <c r="W15" i="17"/>
  <c r="N18" i="17"/>
  <c r="O18" i="17"/>
  <c r="P18" i="17"/>
  <c r="Q18" i="17"/>
  <c r="R18" i="17"/>
  <c r="S18" i="17"/>
  <c r="T18" i="17"/>
  <c r="U18" i="17"/>
  <c r="V18" i="17"/>
  <c r="W18" i="17"/>
  <c r="X18" i="17"/>
  <c r="R21" i="17"/>
  <c r="S21" i="17"/>
  <c r="T21" i="17"/>
  <c r="U21" i="17"/>
  <c r="V21" i="17"/>
  <c r="W21" i="17"/>
  <c r="X22" i="17"/>
  <c r="N23" i="17"/>
  <c r="O23" i="17"/>
  <c r="P23" i="17"/>
  <c r="Q23" i="17"/>
  <c r="R23" i="17"/>
  <c r="S23" i="17"/>
  <c r="T23" i="17"/>
  <c r="U23" i="17"/>
  <c r="V23" i="17"/>
  <c r="W23" i="17"/>
  <c r="X23" i="17"/>
  <c r="N24" i="17"/>
  <c r="O24" i="17"/>
  <c r="P24" i="17"/>
  <c r="Q24" i="17"/>
  <c r="R24" i="17"/>
  <c r="S24" i="17"/>
  <c r="T24" i="17"/>
  <c r="U24" i="17"/>
  <c r="V24" i="17"/>
  <c r="W24" i="17"/>
  <c r="X24" i="17"/>
  <c r="N25" i="17"/>
  <c r="O25" i="17"/>
  <c r="P25" i="17"/>
  <c r="Q25" i="17"/>
  <c r="R25" i="17"/>
  <c r="S25" i="17"/>
  <c r="T25" i="17"/>
  <c r="U25" i="17"/>
  <c r="V25" i="17"/>
  <c r="W25" i="17"/>
  <c r="X25" i="17"/>
  <c r="N26" i="17"/>
  <c r="O26" i="17"/>
  <c r="P26" i="17"/>
  <c r="Q26" i="17"/>
  <c r="R26" i="17"/>
  <c r="S26" i="17"/>
  <c r="T26" i="17"/>
  <c r="U26" i="17"/>
  <c r="V26" i="17"/>
  <c r="W26" i="17"/>
  <c r="X26" i="17"/>
  <c r="N27" i="17"/>
  <c r="O27" i="17"/>
  <c r="P27" i="17"/>
  <c r="Q27" i="17"/>
  <c r="T27" i="17"/>
  <c r="W27" i="17"/>
  <c r="N32" i="17"/>
  <c r="O32" i="17"/>
  <c r="P32" i="17"/>
  <c r="Q32" i="17"/>
  <c r="R32" i="17"/>
  <c r="R36" i="17" s="1"/>
  <c r="S32" i="17"/>
  <c r="T32" i="17"/>
  <c r="U32" i="17"/>
  <c r="U36" i="17" s="1"/>
  <c r="V32" i="17"/>
  <c r="V36" i="17" s="1"/>
  <c r="W32" i="17"/>
  <c r="W36" i="17" s="1"/>
  <c r="X32" i="17"/>
  <c r="X36" i="17" s="1"/>
  <c r="N33" i="17"/>
  <c r="O33" i="17"/>
  <c r="P33" i="17"/>
  <c r="Q33" i="17"/>
  <c r="Q36" i="17" s="1"/>
  <c r="R33" i="17"/>
  <c r="S33" i="17"/>
  <c r="S36" i="17" s="1"/>
  <c r="T33" i="17"/>
  <c r="T36" i="17" s="1"/>
  <c r="U33" i="17"/>
  <c r="V33" i="17"/>
  <c r="W33" i="17"/>
  <c r="X33" i="17"/>
  <c r="N34" i="17"/>
  <c r="O34" i="17"/>
  <c r="P34" i="17"/>
  <c r="Q34" i="17"/>
  <c r="R34" i="17"/>
  <c r="S34" i="17"/>
  <c r="T34" i="17"/>
  <c r="U34" i="17"/>
  <c r="V34" i="17"/>
  <c r="W34" i="17"/>
  <c r="X34" i="17"/>
  <c r="N36" i="17"/>
  <c r="O36" i="17"/>
  <c r="P36" i="17"/>
  <c r="N38" i="17"/>
  <c r="O38" i="17"/>
  <c r="P38" i="17"/>
  <c r="Q38" i="17"/>
  <c r="R38" i="17"/>
  <c r="S38" i="17"/>
  <c r="T38" i="17"/>
  <c r="U38" i="17"/>
  <c r="V38" i="17"/>
  <c r="W38" i="17"/>
  <c r="X38" i="17"/>
  <c r="N39" i="17"/>
  <c r="O39" i="17"/>
  <c r="P39" i="17"/>
  <c r="Q39" i="17"/>
  <c r="R39" i="17"/>
  <c r="S39" i="17"/>
  <c r="T39" i="17"/>
  <c r="U39" i="17"/>
  <c r="V39" i="17"/>
  <c r="W39" i="17"/>
  <c r="X39" i="17"/>
  <c r="N40" i="17"/>
  <c r="O40" i="17"/>
  <c r="P40" i="17"/>
  <c r="Q40" i="17"/>
  <c r="R40" i="17"/>
  <c r="S40" i="17"/>
  <c r="T40" i="17"/>
  <c r="U40" i="17"/>
  <c r="V40" i="17"/>
  <c r="W40" i="17"/>
  <c r="X40" i="17"/>
  <c r="M40" i="17"/>
  <c r="M39" i="17"/>
  <c r="M38" i="17"/>
  <c r="M34" i="17"/>
  <c r="M33" i="17"/>
  <c r="M32" i="17"/>
  <c r="M27" i="17"/>
  <c r="M26" i="17"/>
  <c r="M25" i="17"/>
  <c r="M24" i="17"/>
  <c r="M23" i="17"/>
  <c r="M18" i="17"/>
  <c r="M14" i="17"/>
  <c r="M13" i="17"/>
  <c r="N5" i="17"/>
  <c r="N11" i="17" s="1"/>
  <c r="Q5" i="17"/>
  <c r="R5" i="17"/>
  <c r="S5" i="17"/>
  <c r="V5" i="17"/>
  <c r="X5" i="17"/>
  <c r="N6" i="17"/>
  <c r="Q6" i="17"/>
  <c r="Q11" i="17" s="1"/>
  <c r="R6" i="17"/>
  <c r="R11" i="17" s="1"/>
  <c r="S6" i="17"/>
  <c r="S11" i="17" s="1"/>
  <c r="V6" i="17"/>
  <c r="V11" i="17" s="1"/>
  <c r="X6" i="17"/>
  <c r="N7" i="17"/>
  <c r="Q7" i="17"/>
  <c r="R7" i="17"/>
  <c r="S7" i="17"/>
  <c r="V7" i="17"/>
  <c r="X7" i="17"/>
  <c r="N8" i="17"/>
  <c r="Q8" i="17"/>
  <c r="R8" i="17"/>
  <c r="S8" i="17"/>
  <c r="V8" i="17"/>
  <c r="X8" i="17"/>
  <c r="N9" i="17"/>
  <c r="Q9" i="17"/>
  <c r="R9" i="17"/>
  <c r="S9" i="17"/>
  <c r="V9" i="17"/>
  <c r="X9" i="17"/>
  <c r="N10" i="17"/>
  <c r="Q10" i="17"/>
  <c r="R10" i="17"/>
  <c r="S10" i="17"/>
  <c r="V10" i="17"/>
  <c r="X10" i="17"/>
  <c r="X11" i="17"/>
  <c r="M6" i="17"/>
  <c r="M7" i="17"/>
  <c r="M8" i="17"/>
  <c r="M10" i="17"/>
  <c r="M5" i="17"/>
  <c r="M39" i="4"/>
  <c r="N39" i="4"/>
  <c r="O39" i="4"/>
  <c r="P39" i="4"/>
  <c r="Q39" i="4"/>
  <c r="R39" i="4"/>
  <c r="S39" i="4"/>
  <c r="T39" i="4"/>
  <c r="U39" i="4"/>
  <c r="V39" i="4"/>
  <c r="W39" i="4"/>
  <c r="L39" i="4"/>
  <c r="M38" i="4"/>
  <c r="N38" i="4"/>
  <c r="O38" i="4"/>
  <c r="P38" i="4"/>
  <c r="Q38" i="4"/>
  <c r="R38" i="4"/>
  <c r="S38" i="4"/>
  <c r="T38" i="4"/>
  <c r="U38" i="4"/>
  <c r="V38" i="4"/>
  <c r="W38" i="4"/>
  <c r="L38" i="4"/>
  <c r="M37" i="4"/>
  <c r="N37" i="4"/>
  <c r="O37" i="4"/>
  <c r="P37" i="4"/>
  <c r="Q37" i="4"/>
  <c r="R37" i="4"/>
  <c r="S37" i="4"/>
  <c r="T37" i="4"/>
  <c r="U37" i="4"/>
  <c r="V37" i="4"/>
  <c r="W37" i="4"/>
  <c r="L37" i="4"/>
  <c r="W35" i="4"/>
  <c r="V35" i="4"/>
  <c r="U35" i="4"/>
  <c r="T35" i="4"/>
  <c r="S35" i="4"/>
  <c r="R35" i="4"/>
  <c r="Q35" i="4"/>
  <c r="P35" i="4"/>
  <c r="O35" i="4"/>
  <c r="N35" i="4"/>
  <c r="M35" i="4"/>
  <c r="L35" i="4"/>
  <c r="L32" i="4"/>
  <c r="M32" i="4"/>
  <c r="N32" i="4"/>
  <c r="O32" i="4"/>
  <c r="P32" i="4"/>
  <c r="Q32" i="4"/>
  <c r="R32" i="4"/>
  <c r="S32" i="4"/>
  <c r="T32" i="4"/>
  <c r="U32" i="4"/>
  <c r="V32" i="4"/>
  <c r="W32" i="4"/>
  <c r="L33" i="4"/>
  <c r="M33" i="4"/>
  <c r="N33" i="4"/>
  <c r="O33" i="4"/>
  <c r="P33" i="4"/>
  <c r="Q33" i="4"/>
  <c r="R33" i="4"/>
  <c r="S33" i="4"/>
  <c r="T33" i="4"/>
  <c r="U33" i="4"/>
  <c r="V33" i="4"/>
  <c r="W33" i="4"/>
  <c r="M31" i="4"/>
  <c r="N31" i="4"/>
  <c r="O31" i="4"/>
  <c r="P31" i="4"/>
  <c r="Q31" i="4"/>
  <c r="R31" i="4"/>
  <c r="S31" i="4"/>
  <c r="T31" i="4"/>
  <c r="U31" i="4"/>
  <c r="V31" i="4"/>
  <c r="W31" i="4"/>
  <c r="L31" i="4"/>
  <c r="V27" i="4"/>
  <c r="AG21" i="7"/>
  <c r="L22" i="4"/>
  <c r="M22" i="4"/>
  <c r="N22" i="4"/>
  <c r="O22" i="4"/>
  <c r="P22" i="4"/>
  <c r="Q22" i="4"/>
  <c r="R22" i="4"/>
  <c r="S22" i="4"/>
  <c r="T22" i="4"/>
  <c r="U22" i="4"/>
  <c r="V22" i="4"/>
  <c r="W22" i="4"/>
  <c r="L23" i="4"/>
  <c r="M23" i="4"/>
  <c r="N23" i="4"/>
  <c r="O23" i="4"/>
  <c r="P23" i="4"/>
  <c r="Q23" i="4"/>
  <c r="R23" i="4"/>
  <c r="S23" i="4"/>
  <c r="T23" i="4"/>
  <c r="U23" i="4"/>
  <c r="V23" i="4"/>
  <c r="W23" i="4"/>
  <c r="L24" i="4"/>
  <c r="M24" i="4"/>
  <c r="N24" i="4"/>
  <c r="O24" i="4"/>
  <c r="P24" i="4"/>
  <c r="Q24" i="4"/>
  <c r="R24" i="4"/>
  <c r="S24" i="4"/>
  <c r="T24" i="4"/>
  <c r="U24" i="4"/>
  <c r="V24" i="4"/>
  <c r="W24" i="4"/>
  <c r="L25" i="4"/>
  <c r="M25" i="4"/>
  <c r="N25" i="4"/>
  <c r="O25" i="4"/>
  <c r="P25" i="4"/>
  <c r="Q25" i="4"/>
  <c r="R25" i="4"/>
  <c r="S25" i="4"/>
  <c r="T25" i="4"/>
  <c r="U25" i="4"/>
  <c r="V25" i="4"/>
  <c r="W25" i="4"/>
  <c r="L26" i="4"/>
  <c r="M26" i="4"/>
  <c r="N26" i="4"/>
  <c r="O26" i="4"/>
  <c r="P26" i="4"/>
  <c r="S26" i="4"/>
  <c r="V26" i="4"/>
  <c r="AB20" i="7"/>
  <c r="AC20" i="7"/>
  <c r="X19" i="6"/>
  <c r="Y19" i="6"/>
  <c r="AF15" i="2"/>
  <c r="AG15" i="2"/>
  <c r="AH15" i="2"/>
  <c r="AI15" i="2"/>
  <c r="AJ15" i="2"/>
  <c r="AK15" i="2"/>
  <c r="AL15" i="2"/>
  <c r="AM15" i="2"/>
  <c r="AN15" i="2"/>
  <c r="AO15" i="2"/>
  <c r="AP15" i="2"/>
  <c r="AE15" i="2"/>
  <c r="AO10" i="2"/>
  <c r="AE4" i="2"/>
  <c r="AF4" i="2"/>
  <c r="AG4" i="2"/>
  <c r="AH4" i="2"/>
  <c r="AI4" i="2"/>
  <c r="AJ4" i="2"/>
  <c r="AK4" i="2"/>
  <c r="AL4" i="2"/>
  <c r="AL10" i="2" s="1"/>
  <c r="AM4" i="2"/>
  <c r="AN4" i="2"/>
  <c r="AO4" i="2"/>
  <c r="AP4" i="2"/>
  <c r="AE5" i="2"/>
  <c r="AF5" i="2"/>
  <c r="AG5" i="2"/>
  <c r="AH5" i="2"/>
  <c r="AI5" i="2"/>
  <c r="AJ5" i="2"/>
  <c r="AK5" i="2"/>
  <c r="AL5" i="2"/>
  <c r="AM5" i="2"/>
  <c r="AN5" i="2"/>
  <c r="AO5" i="2"/>
  <c r="AP5" i="2"/>
  <c r="AE6" i="2"/>
  <c r="AF6" i="2"/>
  <c r="AG6" i="2"/>
  <c r="AH6" i="2"/>
  <c r="AI6" i="2"/>
  <c r="AJ6" i="2"/>
  <c r="AK6" i="2"/>
  <c r="AL6" i="2"/>
  <c r="AM6" i="2"/>
  <c r="AN6" i="2"/>
  <c r="AO6" i="2"/>
  <c r="AP6" i="2"/>
  <c r="AE7" i="2"/>
  <c r="AF7" i="2"/>
  <c r="AG7" i="2"/>
  <c r="AH7" i="2"/>
  <c r="AI7" i="2"/>
  <c r="AJ7" i="2"/>
  <c r="AK7" i="2"/>
  <c r="AL7" i="2"/>
  <c r="AM7" i="2"/>
  <c r="AN7" i="2"/>
  <c r="AO7" i="2"/>
  <c r="AP7" i="2"/>
  <c r="AE8" i="2"/>
  <c r="AF8" i="2"/>
  <c r="AG8" i="2"/>
  <c r="AH8" i="2"/>
  <c r="AI8" i="2"/>
  <c r="AJ8" i="2"/>
  <c r="AK8" i="2"/>
  <c r="AL8" i="2"/>
  <c r="AM8" i="2"/>
  <c r="AN8" i="2"/>
  <c r="AO8" i="2"/>
  <c r="AP8" i="2"/>
  <c r="AE9" i="2"/>
  <c r="AF9" i="2"/>
  <c r="AG9" i="2"/>
  <c r="AH9" i="2"/>
  <c r="AI9" i="2"/>
  <c r="AL9" i="2"/>
  <c r="AO9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F3" i="2"/>
  <c r="AG3" i="2"/>
  <c r="AH3" i="2"/>
  <c r="AI3" i="2"/>
  <c r="AJ3" i="2"/>
  <c r="AK3" i="2"/>
  <c r="AL3" i="2"/>
  <c r="AM3" i="2"/>
  <c r="AN3" i="2"/>
  <c r="AO3" i="2"/>
  <c r="AP3" i="2"/>
  <c r="AE3" i="2"/>
  <c r="AR44" i="7" l="1"/>
  <c r="AT44" i="7"/>
  <c r="S19" i="6"/>
  <c r="Z20" i="7"/>
  <c r="Q21" i="17"/>
  <c r="R19" i="6"/>
  <c r="Y20" i="7"/>
  <c r="P21" i="17"/>
  <c r="Q19" i="6"/>
  <c r="X20" i="7"/>
  <c r="O21" i="17"/>
  <c r="P19" i="6"/>
  <c r="W20" i="7"/>
  <c r="W27" i="7" s="1"/>
  <c r="N21" i="17"/>
  <c r="O19" i="6"/>
  <c r="V20" i="7"/>
  <c r="N19" i="6"/>
  <c r="N26" i="6" s="1"/>
  <c r="AI10" i="2"/>
  <c r="X26" i="6"/>
  <c r="AF10" i="2"/>
  <c r="AG10" i="2"/>
  <c r="M27" i="4"/>
  <c r="O20" i="6"/>
  <c r="V21" i="7"/>
  <c r="M22" i="17"/>
  <c r="L27" i="4"/>
  <c r="N20" i="6"/>
  <c r="AE10" i="2"/>
  <c r="W20" i="6"/>
  <c r="AH10" i="2"/>
  <c r="AE21" i="7"/>
  <c r="N22" i="17"/>
  <c r="AF21" i="7"/>
  <c r="AF27" i="7" s="1"/>
  <c r="W22" i="17"/>
  <c r="W28" i="17" s="1"/>
  <c r="M21" i="17"/>
  <c r="V27" i="7" l="1"/>
  <c r="O26" i="6"/>
  <c r="N28" i="17"/>
  <c r="U22" i="17"/>
  <c r="AD21" i="7"/>
  <c r="V20" i="6"/>
  <c r="O27" i="4"/>
  <c r="P22" i="17"/>
  <c r="P28" i="17" s="1"/>
  <c r="Q20" i="6"/>
  <c r="Q26" i="6" s="1"/>
  <c r="Y21" i="7"/>
  <c r="Y27" i="7" s="1"/>
  <c r="Q22" i="17"/>
  <c r="Q28" i="17" s="1"/>
  <c r="R20" i="6"/>
  <c r="R26" i="6" s="1"/>
  <c r="P27" i="4"/>
  <c r="Z21" i="7"/>
  <c r="Z27" i="7" s="1"/>
  <c r="S20" i="6"/>
  <c r="R22" i="17"/>
  <c r="AA21" i="7"/>
  <c r="O22" i="17"/>
  <c r="O28" i="17" s="1"/>
  <c r="N27" i="4"/>
  <c r="P20" i="6"/>
  <c r="P26" i="6" s="1"/>
  <c r="X21" i="7"/>
  <c r="X27" i="7" s="1"/>
  <c r="T20" i="6"/>
  <c r="S22" i="17"/>
  <c r="AB21" i="7"/>
  <c r="U20" i="6"/>
  <c r="U26" i="6" s="1"/>
  <c r="T22" i="17"/>
  <c r="T28" i="17" s="1"/>
  <c r="AC21" i="7"/>
  <c r="AC27" i="7" s="1"/>
  <c r="S27" i="4"/>
  <c r="R9" i="2" l="1"/>
  <c r="S9" i="2"/>
  <c r="T9" i="2"/>
  <c r="U9" i="2"/>
  <c r="V9" i="2"/>
  <c r="AJ9" i="2" s="1"/>
  <c r="W9" i="2"/>
  <c r="AK9" i="2" s="1"/>
  <c r="X9" i="2"/>
  <c r="Y9" i="2"/>
  <c r="AM9" i="2" s="1"/>
  <c r="Z9" i="2"/>
  <c r="AN9" i="2" s="1"/>
  <c r="AA9" i="2"/>
  <c r="AB9" i="2"/>
  <c r="AP9" i="2" s="1"/>
  <c r="Q9" i="2"/>
  <c r="M17" i="4"/>
  <c r="N17" i="4"/>
  <c r="O17" i="4"/>
  <c r="P17" i="4"/>
  <c r="Q17" i="4"/>
  <c r="R17" i="4"/>
  <c r="S17" i="4"/>
  <c r="T17" i="4"/>
  <c r="U17" i="4"/>
  <c r="V17" i="4"/>
  <c r="W17" i="4"/>
  <c r="L17" i="4"/>
  <c r="V14" i="4"/>
  <c r="S14" i="4"/>
  <c r="P14" i="4"/>
  <c r="O14" i="4"/>
  <c r="N14" i="4"/>
  <c r="M14" i="4"/>
  <c r="L14" i="4"/>
  <c r="M13" i="4"/>
  <c r="N13" i="4"/>
  <c r="O13" i="4"/>
  <c r="P13" i="4"/>
  <c r="S13" i="4"/>
  <c r="T13" i="4"/>
  <c r="U13" i="4"/>
  <c r="V13" i="4"/>
  <c r="L13" i="4"/>
  <c r="M12" i="4"/>
  <c r="N12" i="4"/>
  <c r="O12" i="4"/>
  <c r="P12" i="4"/>
  <c r="Q12" i="4"/>
  <c r="S12" i="4"/>
  <c r="U12" i="4"/>
  <c r="V12" i="4"/>
  <c r="W12" i="4"/>
  <c r="L12" i="4"/>
  <c r="W10" i="4"/>
  <c r="U10" i="4"/>
  <c r="R10" i="4"/>
  <c r="Q10" i="4"/>
  <c r="P10" i="4"/>
  <c r="M10" i="4"/>
  <c r="L10" i="4"/>
  <c r="M7" i="4"/>
  <c r="P7" i="4"/>
  <c r="Q7" i="4"/>
  <c r="R7" i="4"/>
  <c r="U7" i="4"/>
  <c r="W7" i="4"/>
  <c r="M8" i="4"/>
  <c r="P8" i="4"/>
  <c r="Q8" i="4"/>
  <c r="R8" i="4"/>
  <c r="U8" i="4"/>
  <c r="W8" i="4"/>
  <c r="M9" i="4"/>
  <c r="P9" i="4"/>
  <c r="Q9" i="4"/>
  <c r="R9" i="4"/>
  <c r="U9" i="4"/>
  <c r="W9" i="4"/>
  <c r="L9" i="4"/>
  <c r="L8" i="4"/>
  <c r="L7" i="4"/>
  <c r="M6" i="4"/>
  <c r="P6" i="4"/>
  <c r="Q6" i="4"/>
  <c r="R6" i="4"/>
  <c r="U6" i="4"/>
  <c r="W6" i="4"/>
  <c r="L6" i="4"/>
  <c r="M5" i="4"/>
  <c r="P5" i="4"/>
  <c r="Q5" i="4"/>
  <c r="R5" i="4"/>
  <c r="U5" i="4"/>
  <c r="W5" i="4"/>
  <c r="L5" i="4"/>
  <c r="M4" i="4"/>
  <c r="P4" i="4"/>
  <c r="Q4" i="4"/>
  <c r="R4" i="4"/>
  <c r="U4" i="4"/>
  <c r="W4" i="4"/>
  <c r="L4" i="4"/>
  <c r="Z69" i="1"/>
  <c r="AA69" i="1"/>
  <c r="AB69" i="1"/>
  <c r="AC69" i="1"/>
  <c r="AD69" i="1"/>
  <c r="AE69" i="1"/>
  <c r="AF69" i="1"/>
  <c r="AG69" i="1"/>
  <c r="AH69" i="1"/>
  <c r="AI69" i="1"/>
  <c r="AJ69" i="1"/>
  <c r="Y69" i="1"/>
  <c r="Z54" i="1"/>
  <c r="AA54" i="1"/>
  <c r="AB54" i="1"/>
  <c r="AC54" i="1"/>
  <c r="AD54" i="1"/>
  <c r="Q13" i="4" s="1"/>
  <c r="AE54" i="1"/>
  <c r="R13" i="4" s="1"/>
  <c r="AF54" i="1"/>
  <c r="AG54" i="1"/>
  <c r="AH54" i="1"/>
  <c r="AI54" i="1"/>
  <c r="AJ54" i="1"/>
  <c r="W13" i="4" s="1"/>
  <c r="Y54" i="1"/>
  <c r="Z51" i="1"/>
  <c r="AA51" i="1"/>
  <c r="AB51" i="1"/>
  <c r="AC51" i="1"/>
  <c r="AD51" i="1"/>
  <c r="AE51" i="1"/>
  <c r="R12" i="4" s="1"/>
  <c r="AF51" i="1"/>
  <c r="AG51" i="1"/>
  <c r="T12" i="4" s="1"/>
  <c r="AH51" i="1"/>
  <c r="AI51" i="1"/>
  <c r="AJ51" i="1"/>
  <c r="Y51" i="1"/>
  <c r="AJ43" i="1"/>
  <c r="AH43" i="1"/>
  <c r="AE43" i="1"/>
  <c r="AD43" i="1"/>
  <c r="AC43" i="1"/>
  <c r="Z43" i="1"/>
  <c r="Y43" i="1"/>
  <c r="Y40" i="1"/>
  <c r="Z40" i="1"/>
  <c r="AB40" i="1"/>
  <c r="AC40" i="1"/>
  <c r="AD40" i="1"/>
  <c r="AE40" i="1"/>
  <c r="AF40" i="1"/>
  <c r="AG40" i="1"/>
  <c r="AH40" i="1"/>
  <c r="AJ40" i="1"/>
  <c r="Y41" i="1"/>
  <c r="Z41" i="1"/>
  <c r="AC41" i="1"/>
  <c r="AD41" i="1"/>
  <c r="AE41" i="1"/>
  <c r="AH41" i="1"/>
  <c r="AJ41" i="1"/>
  <c r="Y42" i="1"/>
  <c r="Z42" i="1"/>
  <c r="AB42" i="1"/>
  <c r="O9" i="4" s="1"/>
  <c r="AC42" i="1"/>
  <c r="AD42" i="1"/>
  <c r="AE42" i="1"/>
  <c r="AG42" i="1"/>
  <c r="T9" i="4" s="1"/>
  <c r="AH42" i="1"/>
  <c r="AJ42" i="1"/>
  <c r="Z39" i="1"/>
  <c r="AC39" i="1"/>
  <c r="AD39" i="1"/>
  <c r="AE39" i="1"/>
  <c r="AH39" i="1"/>
  <c r="AI39" i="1"/>
  <c r="V7" i="4" s="1"/>
  <c r="AJ39" i="1"/>
  <c r="Y39" i="1"/>
  <c r="Y29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AJ36" i="1"/>
  <c r="AI36" i="1"/>
  <c r="AI41" i="1" s="1"/>
  <c r="AH36" i="1"/>
  <c r="AG36" i="1"/>
  <c r="AG41" i="1" s="1"/>
  <c r="AF36" i="1"/>
  <c r="AF41" i="1" s="1"/>
  <c r="S8" i="4" s="1"/>
  <c r="AE36" i="1"/>
  <c r="AD36" i="1"/>
  <c r="AC36" i="1"/>
  <c r="AB36" i="1"/>
  <c r="AB39" i="1" s="1"/>
  <c r="AA36" i="1"/>
  <c r="AA42" i="1" s="1"/>
  <c r="N9" i="4" s="1"/>
  <c r="Z36" i="1"/>
  <c r="Y36" i="1"/>
  <c r="AJ32" i="1"/>
  <c r="AH32" i="1"/>
  <c r="AE32" i="1"/>
  <c r="AD32" i="1"/>
  <c r="AC32" i="1"/>
  <c r="Z32" i="1"/>
  <c r="Y32" i="1"/>
  <c r="Y30" i="1"/>
  <c r="Z30" i="1"/>
  <c r="AB30" i="1"/>
  <c r="AC30" i="1"/>
  <c r="AD30" i="1"/>
  <c r="AE30" i="1"/>
  <c r="AH30" i="1"/>
  <c r="AJ30" i="1"/>
  <c r="Y31" i="1"/>
  <c r="Z31" i="1"/>
  <c r="AB31" i="1"/>
  <c r="AC31" i="1"/>
  <c r="AD31" i="1"/>
  <c r="AE31" i="1"/>
  <c r="AF31" i="1"/>
  <c r="AH31" i="1"/>
  <c r="AI31" i="1"/>
  <c r="AJ31" i="1"/>
  <c r="Z29" i="1"/>
  <c r="AB29" i="1"/>
  <c r="AB32" i="1" s="1"/>
  <c r="O6" i="4" s="1"/>
  <c r="AC29" i="1"/>
  <c r="AD29" i="1"/>
  <c r="AE29" i="1"/>
  <c r="AH29" i="1"/>
  <c r="AJ29" i="1"/>
  <c r="Y21" i="1"/>
  <c r="Z21" i="1"/>
  <c r="Z22" i="1" s="1"/>
  <c r="AB21" i="1"/>
  <c r="AB22" i="1" s="1"/>
  <c r="O5" i="4" s="1"/>
  <c r="AC21" i="1"/>
  <c r="AD21" i="1"/>
  <c r="AE21" i="1"/>
  <c r="AG21" i="1"/>
  <c r="AH21" i="1"/>
  <c r="AI21" i="1"/>
  <c r="AJ21" i="1"/>
  <c r="AJ22" i="1"/>
  <c r="AH22" i="1"/>
  <c r="AE22" i="1"/>
  <c r="AD22" i="1"/>
  <c r="AC22" i="1"/>
  <c r="Y22" i="1"/>
  <c r="Y20" i="1"/>
  <c r="Z20" i="1"/>
  <c r="AB20" i="1"/>
  <c r="AC20" i="1"/>
  <c r="AD20" i="1"/>
  <c r="AE20" i="1"/>
  <c r="AH20" i="1"/>
  <c r="AJ20" i="1"/>
  <c r="Z19" i="1"/>
  <c r="AB19" i="1"/>
  <c r="AC19" i="1"/>
  <c r="AD19" i="1"/>
  <c r="AE19" i="1"/>
  <c r="AG19" i="1"/>
  <c r="AG22" i="1" s="1"/>
  <c r="T5" i="4" s="1"/>
  <c r="AH19" i="1"/>
  <c r="AI19" i="1"/>
  <c r="AJ19" i="1"/>
  <c r="Y19" i="1"/>
  <c r="AJ12" i="1"/>
  <c r="AH12" i="1"/>
  <c r="AG12" i="1"/>
  <c r="T4" i="4" s="1"/>
  <c r="AF12" i="1"/>
  <c r="S4" i="4" s="1"/>
  <c r="AE12" i="1"/>
  <c r="AD12" i="1"/>
  <c r="AC12" i="1"/>
  <c r="Z12" i="1"/>
  <c r="Y12" i="1"/>
  <c r="Y6" i="1"/>
  <c r="Z6" i="1"/>
  <c r="AA6" i="1"/>
  <c r="AB6" i="1"/>
  <c r="AC6" i="1"/>
  <c r="AD6" i="1"/>
  <c r="AE6" i="1"/>
  <c r="AF6" i="1"/>
  <c r="AG6" i="1"/>
  <c r="AH6" i="1"/>
  <c r="AI6" i="1"/>
  <c r="AJ6" i="1"/>
  <c r="Y7" i="1"/>
  <c r="Z7" i="1"/>
  <c r="AA7" i="1"/>
  <c r="AB7" i="1"/>
  <c r="AC7" i="1"/>
  <c r="AD7" i="1"/>
  <c r="AE7" i="1"/>
  <c r="AF7" i="1"/>
  <c r="AG7" i="1"/>
  <c r="AH7" i="1"/>
  <c r="AI7" i="1"/>
  <c r="AJ7" i="1"/>
  <c r="Y8" i="1"/>
  <c r="Z8" i="1"/>
  <c r="AA8" i="1"/>
  <c r="AB8" i="1"/>
  <c r="AC8" i="1"/>
  <c r="AD8" i="1"/>
  <c r="AE8" i="1"/>
  <c r="AF8" i="1"/>
  <c r="AG8" i="1"/>
  <c r="AH8" i="1"/>
  <c r="AI8" i="1"/>
  <c r="AJ8" i="1"/>
  <c r="Y9" i="1"/>
  <c r="Z9" i="1"/>
  <c r="AA9" i="1"/>
  <c r="AB9" i="1"/>
  <c r="AC9" i="1"/>
  <c r="AD9" i="1"/>
  <c r="AE9" i="1"/>
  <c r="AF9" i="1"/>
  <c r="AG9" i="1"/>
  <c r="AH9" i="1"/>
  <c r="AI9" i="1"/>
  <c r="AJ9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Z5" i="1"/>
  <c r="AA5" i="1"/>
  <c r="AB5" i="1"/>
  <c r="AB12" i="1" s="1"/>
  <c r="O4" i="4" s="1"/>
  <c r="AC5" i="1"/>
  <c r="AD5" i="1"/>
  <c r="AE5" i="1"/>
  <c r="AF5" i="1"/>
  <c r="AG5" i="1"/>
  <c r="AH5" i="1"/>
  <c r="AI5" i="1"/>
  <c r="AI12" i="1" s="1"/>
  <c r="V4" i="4" s="1"/>
  <c r="AJ5" i="1"/>
  <c r="Y5" i="1"/>
  <c r="Z26" i="1"/>
  <c r="AA26" i="1"/>
  <c r="AA31" i="1" s="1"/>
  <c r="AB26" i="1"/>
  <c r="AC26" i="1"/>
  <c r="AD26" i="1"/>
  <c r="AE26" i="1"/>
  <c r="AF26" i="1"/>
  <c r="AF30" i="1" s="1"/>
  <c r="AG26" i="1"/>
  <c r="AG30" i="1" s="1"/>
  <c r="AH26" i="1"/>
  <c r="AI26" i="1"/>
  <c r="AI29" i="1" s="1"/>
  <c r="AJ26" i="1"/>
  <c r="Z27" i="1"/>
  <c r="AA27" i="1"/>
  <c r="AB27" i="1"/>
  <c r="AC27" i="1"/>
  <c r="AD27" i="1"/>
  <c r="AE27" i="1"/>
  <c r="AF27" i="1"/>
  <c r="AG27" i="1"/>
  <c r="AH27" i="1"/>
  <c r="AI27" i="1"/>
  <c r="AJ27" i="1"/>
  <c r="Y27" i="1"/>
  <c r="Y26" i="1"/>
  <c r="Z16" i="1"/>
  <c r="AA16" i="1"/>
  <c r="AA19" i="1" s="1"/>
  <c r="AB16" i="1"/>
  <c r="AC16" i="1"/>
  <c r="AD16" i="1"/>
  <c r="AE16" i="1"/>
  <c r="AF16" i="1"/>
  <c r="AF19" i="1" s="1"/>
  <c r="AG16" i="1"/>
  <c r="AG20" i="1" s="1"/>
  <c r="AH16" i="1"/>
  <c r="AI16" i="1"/>
  <c r="AI20" i="1" s="1"/>
  <c r="AJ16" i="1"/>
  <c r="Z17" i="1"/>
  <c r="AA17" i="1"/>
  <c r="AB17" i="1"/>
  <c r="AC17" i="1"/>
  <c r="AD17" i="1"/>
  <c r="AE17" i="1"/>
  <c r="AF17" i="1"/>
  <c r="AG17" i="1"/>
  <c r="AH17" i="1"/>
  <c r="AI17" i="1"/>
  <c r="AJ17" i="1"/>
  <c r="Y17" i="1"/>
  <c r="Y16" i="1"/>
  <c r="X14" i="17" l="1"/>
  <c r="AG13" i="7"/>
  <c r="Y12" i="6"/>
  <c r="AP10" i="2"/>
  <c r="W26" i="4"/>
  <c r="Y11" i="6"/>
  <c r="Y13" i="6" s="1"/>
  <c r="AG12" i="7"/>
  <c r="AG14" i="7" s="1"/>
  <c r="X13" i="17"/>
  <c r="X15" i="17" s="1"/>
  <c r="W14" i="4"/>
  <c r="Q14" i="4"/>
  <c r="S12" i="6"/>
  <c r="AA13" i="7"/>
  <c r="R14" i="17"/>
  <c r="Q26" i="4"/>
  <c r="AJ10" i="2"/>
  <c r="R13" i="17"/>
  <c r="R15" i="17" s="1"/>
  <c r="AA12" i="7"/>
  <c r="AA14" i="7" s="1"/>
  <c r="S11" i="6"/>
  <c r="S13" i="6" s="1"/>
  <c r="U26" i="4"/>
  <c r="AN10" i="2"/>
  <c r="V13" i="17"/>
  <c r="AE12" i="7"/>
  <c r="W11" i="6"/>
  <c r="AE13" i="7"/>
  <c r="V14" i="17"/>
  <c r="W12" i="6"/>
  <c r="U14" i="4"/>
  <c r="U13" i="17"/>
  <c r="V11" i="6"/>
  <c r="AD12" i="7"/>
  <c r="T14" i="4"/>
  <c r="V12" i="6"/>
  <c r="AD13" i="7"/>
  <c r="U14" i="17"/>
  <c r="T26" i="4"/>
  <c r="AM10" i="2"/>
  <c r="S14" i="17"/>
  <c r="AB13" i="7"/>
  <c r="T12" i="6"/>
  <c r="AB12" i="7"/>
  <c r="AB14" i="7" s="1"/>
  <c r="T11" i="6"/>
  <c r="T13" i="6" s="1"/>
  <c r="S13" i="17"/>
  <c r="R14" i="4"/>
  <c r="R26" i="4"/>
  <c r="AK10" i="2"/>
  <c r="Q5" i="6"/>
  <c r="P7" i="17"/>
  <c r="AL6" i="7"/>
  <c r="Y6" i="7"/>
  <c r="O8" i="4"/>
  <c r="AL4" i="7"/>
  <c r="Y4" i="7"/>
  <c r="P5" i="17"/>
  <c r="Q3" i="6"/>
  <c r="Y9" i="7"/>
  <c r="Q8" i="6"/>
  <c r="P10" i="17"/>
  <c r="AL9" i="7"/>
  <c r="O7" i="4"/>
  <c r="AB43" i="1"/>
  <c r="AL5" i="7"/>
  <c r="Y5" i="7"/>
  <c r="Q4" i="6"/>
  <c r="P6" i="17"/>
  <c r="AB41" i="1"/>
  <c r="AF4" i="7"/>
  <c r="W5" i="17"/>
  <c r="AS4" i="7"/>
  <c r="X3" i="6"/>
  <c r="X6" i="6"/>
  <c r="W8" i="17"/>
  <c r="AF7" i="7"/>
  <c r="AS7" i="7"/>
  <c r="AI22" i="1"/>
  <c r="V5" i="4" s="1"/>
  <c r="AI40" i="1"/>
  <c r="AI42" i="1"/>
  <c r="V9" i="4" s="1"/>
  <c r="AI30" i="1"/>
  <c r="AI32" i="1" s="1"/>
  <c r="V6" i="4" s="1"/>
  <c r="AD5" i="7"/>
  <c r="AQ5" i="7"/>
  <c r="U6" i="17"/>
  <c r="V4" i="6"/>
  <c r="AD9" i="7"/>
  <c r="AQ9" i="7"/>
  <c r="U10" i="17"/>
  <c r="V8" i="6"/>
  <c r="T8" i="4"/>
  <c r="V3" i="6"/>
  <c r="AQ4" i="7"/>
  <c r="U5" i="17"/>
  <c r="AD4" i="7"/>
  <c r="AG29" i="1"/>
  <c r="AG31" i="1"/>
  <c r="AG39" i="1"/>
  <c r="AF21" i="1"/>
  <c r="AF20" i="1"/>
  <c r="AF22" i="1" s="1"/>
  <c r="S5" i="4" s="1"/>
  <c r="AF42" i="1"/>
  <c r="S9" i="4" s="1"/>
  <c r="U8" i="6" s="1"/>
  <c r="AF39" i="1"/>
  <c r="S7" i="4" s="1"/>
  <c r="AP7" i="7" s="1"/>
  <c r="AA12" i="1"/>
  <c r="N4" i="4" s="1"/>
  <c r="X4" i="7" s="1"/>
  <c r="AA30" i="1"/>
  <c r="AA29" i="1"/>
  <c r="AC9" i="7"/>
  <c r="AP8" i="7"/>
  <c r="AC8" i="7"/>
  <c r="U7" i="6"/>
  <c r="T9" i="17"/>
  <c r="T8" i="17"/>
  <c r="AC7" i="7"/>
  <c r="U6" i="6"/>
  <c r="AC4" i="7"/>
  <c r="AP4" i="7"/>
  <c r="U3" i="6"/>
  <c r="T5" i="17"/>
  <c r="AF29" i="1"/>
  <c r="AF32" i="1" s="1"/>
  <c r="S6" i="4" s="1"/>
  <c r="O5" i="17"/>
  <c r="AA32" i="1"/>
  <c r="N6" i="4" s="1"/>
  <c r="AK9" i="7"/>
  <c r="P8" i="6"/>
  <c r="X9" i="7"/>
  <c r="O10" i="17"/>
  <c r="AA21" i="1"/>
  <c r="AA20" i="1"/>
  <c r="AA39" i="1"/>
  <c r="AA40" i="1"/>
  <c r="AA41" i="1"/>
  <c r="M36" i="17"/>
  <c r="M28" i="17"/>
  <c r="M15" i="17"/>
  <c r="M11" i="17"/>
  <c r="AU4" i="46"/>
  <c r="AT4" i="46"/>
  <c r="AS4" i="46"/>
  <c r="AR4" i="46"/>
  <c r="AQ4" i="46"/>
  <c r="AP4" i="46"/>
  <c r="AO4" i="46"/>
  <c r="AN4" i="46"/>
  <c r="AM4" i="46"/>
  <c r="AL4" i="46"/>
  <c r="AK4" i="46"/>
  <c r="AJ4" i="46"/>
  <c r="AI4" i="46"/>
  <c r="AH4" i="46"/>
  <c r="AF4" i="46"/>
  <c r="AE4" i="46"/>
  <c r="AD4" i="46"/>
  <c r="AC4" i="46"/>
  <c r="AB4" i="46"/>
  <c r="AA4" i="46"/>
  <c r="Z4" i="46"/>
  <c r="Y4" i="46"/>
  <c r="X4" i="46"/>
  <c r="W4" i="46"/>
  <c r="V4" i="46"/>
  <c r="U4" i="46"/>
  <c r="T4" i="46"/>
  <c r="S4" i="46"/>
  <c r="AU4" i="43"/>
  <c r="AT4" i="43"/>
  <c r="AS4" i="43"/>
  <c r="AR4" i="43"/>
  <c r="AQ4" i="43"/>
  <c r="AP4" i="43"/>
  <c r="AO4" i="43"/>
  <c r="AN4" i="43"/>
  <c r="AM4" i="43"/>
  <c r="AL4" i="43"/>
  <c r="AK4" i="43"/>
  <c r="AJ4" i="43"/>
  <c r="AI4" i="43"/>
  <c r="AH4" i="43"/>
  <c r="AF4" i="43"/>
  <c r="AE4" i="43"/>
  <c r="AD4" i="43"/>
  <c r="AC4" i="43"/>
  <c r="AB4" i="43"/>
  <c r="AA4" i="43"/>
  <c r="Z4" i="43"/>
  <c r="Y4" i="43"/>
  <c r="X4" i="43"/>
  <c r="W4" i="43"/>
  <c r="V4" i="43"/>
  <c r="U4" i="43"/>
  <c r="T4" i="43"/>
  <c r="S4" i="43"/>
  <c r="AU4" i="48"/>
  <c r="AT4" i="48"/>
  <c r="AS4" i="48"/>
  <c r="AR4" i="48"/>
  <c r="AQ4" i="48"/>
  <c r="AP4" i="48"/>
  <c r="AO4" i="48"/>
  <c r="AN4" i="48"/>
  <c r="AM4" i="48"/>
  <c r="AL4" i="48"/>
  <c r="AK4" i="48"/>
  <c r="AJ4" i="48"/>
  <c r="AI4" i="48"/>
  <c r="AH4" i="48"/>
  <c r="AF4" i="48"/>
  <c r="AE4" i="48"/>
  <c r="AD4" i="48"/>
  <c r="AC4" i="48"/>
  <c r="AB4" i="48"/>
  <c r="AA4" i="48"/>
  <c r="Z4" i="48"/>
  <c r="Y4" i="48"/>
  <c r="X4" i="48"/>
  <c r="W4" i="48"/>
  <c r="V4" i="48"/>
  <c r="U4" i="48"/>
  <c r="T4" i="48"/>
  <c r="S4" i="48"/>
  <c r="AU4" i="44"/>
  <c r="AT4" i="44"/>
  <c r="AS4" i="44"/>
  <c r="AR4" i="44"/>
  <c r="AQ4" i="44"/>
  <c r="AP4" i="44"/>
  <c r="AO4" i="44"/>
  <c r="AN4" i="44"/>
  <c r="AM4" i="44"/>
  <c r="AL4" i="44"/>
  <c r="AK4" i="44"/>
  <c r="AJ4" i="44"/>
  <c r="AI4" i="44"/>
  <c r="AH4" i="44"/>
  <c r="AF4" i="44"/>
  <c r="AE4" i="44"/>
  <c r="AD4" i="44"/>
  <c r="AC4" i="44"/>
  <c r="AB4" i="44"/>
  <c r="AA4" i="44"/>
  <c r="Z4" i="44"/>
  <c r="Y4" i="44"/>
  <c r="X4" i="44"/>
  <c r="W4" i="44"/>
  <c r="V4" i="44"/>
  <c r="U4" i="44"/>
  <c r="T4" i="44"/>
  <c r="S4" i="44"/>
  <c r="AU4" i="47"/>
  <c r="AT4" i="47"/>
  <c r="AS4" i="47"/>
  <c r="AR4" i="47"/>
  <c r="AQ4" i="47"/>
  <c r="AP4" i="47"/>
  <c r="AO4" i="47"/>
  <c r="AN4" i="47"/>
  <c r="AM4" i="47"/>
  <c r="AL4" i="47"/>
  <c r="AK4" i="47"/>
  <c r="AJ4" i="47"/>
  <c r="AI4" i="47"/>
  <c r="AH4" i="47"/>
  <c r="AF4" i="47"/>
  <c r="AE4" i="47"/>
  <c r="AD4" i="47"/>
  <c r="AC4" i="47"/>
  <c r="AB4" i="47"/>
  <c r="AA4" i="47"/>
  <c r="Z4" i="47"/>
  <c r="Y4" i="47"/>
  <c r="X4" i="47"/>
  <c r="W4" i="47"/>
  <c r="V4" i="47"/>
  <c r="U4" i="47"/>
  <c r="T4" i="47"/>
  <c r="S4" i="47"/>
  <c r="AU4" i="45"/>
  <c r="AT4" i="45"/>
  <c r="AS4" i="45"/>
  <c r="AR4" i="45"/>
  <c r="AQ4" i="45"/>
  <c r="AP4" i="45"/>
  <c r="AO4" i="45"/>
  <c r="AN4" i="45"/>
  <c r="AM4" i="45"/>
  <c r="AL4" i="45"/>
  <c r="AK4" i="45"/>
  <c r="AJ4" i="45"/>
  <c r="AI4" i="45"/>
  <c r="AH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AU4" i="42"/>
  <c r="AT4" i="42"/>
  <c r="AS4" i="42"/>
  <c r="AR4" i="42"/>
  <c r="AQ4" i="42"/>
  <c r="AP4" i="42"/>
  <c r="AO4" i="42"/>
  <c r="AN4" i="42"/>
  <c r="AM4" i="42"/>
  <c r="AL4" i="42"/>
  <c r="AK4" i="42"/>
  <c r="AJ4" i="42"/>
  <c r="AI4" i="42"/>
  <c r="AH4" i="42"/>
  <c r="AF4" i="42"/>
  <c r="AE4" i="42"/>
  <c r="AD4" i="42"/>
  <c r="AC4" i="42"/>
  <c r="AB4" i="42"/>
  <c r="AA4" i="42"/>
  <c r="Z4" i="42"/>
  <c r="Y4" i="42"/>
  <c r="X4" i="42"/>
  <c r="W4" i="42"/>
  <c r="V4" i="42"/>
  <c r="U4" i="42"/>
  <c r="T4" i="42"/>
  <c r="S4" i="42"/>
  <c r="AU4" i="41"/>
  <c r="AT4" i="41"/>
  <c r="AS4" i="41"/>
  <c r="AR4" i="41"/>
  <c r="AQ4" i="41"/>
  <c r="AP4" i="41"/>
  <c r="AO4" i="41"/>
  <c r="AN4" i="41"/>
  <c r="AM4" i="41"/>
  <c r="AL4" i="41"/>
  <c r="AK4" i="41"/>
  <c r="AJ4" i="41"/>
  <c r="AI4" i="41"/>
  <c r="AH4" i="41"/>
  <c r="AF4" i="41"/>
  <c r="AE4" i="41"/>
  <c r="AD4" i="41"/>
  <c r="AC4" i="41"/>
  <c r="AB4" i="41"/>
  <c r="AA4" i="41"/>
  <c r="Z4" i="41"/>
  <c r="Y4" i="41"/>
  <c r="X4" i="41"/>
  <c r="W4" i="41"/>
  <c r="V4" i="41"/>
  <c r="U4" i="41"/>
  <c r="T4" i="41"/>
  <c r="S4" i="41"/>
  <c r="AU4" i="40"/>
  <c r="AT4" i="40"/>
  <c r="AS4" i="40"/>
  <c r="AR4" i="40"/>
  <c r="AQ4" i="40"/>
  <c r="AP4" i="40"/>
  <c r="AO4" i="40"/>
  <c r="AN4" i="40"/>
  <c r="AM4" i="40"/>
  <c r="AL4" i="40"/>
  <c r="AK4" i="40"/>
  <c r="AJ4" i="40"/>
  <c r="AI4" i="40"/>
  <c r="AH4" i="40"/>
  <c r="AF4" i="40"/>
  <c r="AE4" i="40"/>
  <c r="AD4" i="40"/>
  <c r="AC4" i="40"/>
  <c r="AB4" i="40"/>
  <c r="AA4" i="40"/>
  <c r="Z4" i="40"/>
  <c r="Y4" i="40"/>
  <c r="X4" i="40"/>
  <c r="W4" i="40"/>
  <c r="V4" i="40"/>
  <c r="U4" i="40"/>
  <c r="T4" i="40"/>
  <c r="S4" i="40"/>
  <c r="AU4" i="38"/>
  <c r="AT4" i="38"/>
  <c r="AS4" i="38"/>
  <c r="AR4" i="38"/>
  <c r="AQ4" i="38"/>
  <c r="AP4" i="38"/>
  <c r="AO4" i="38"/>
  <c r="AN4" i="38"/>
  <c r="AM4" i="38"/>
  <c r="AL4" i="38"/>
  <c r="AK4" i="38"/>
  <c r="AJ4" i="38"/>
  <c r="AI4" i="38"/>
  <c r="AH4" i="38"/>
  <c r="AF4" i="38"/>
  <c r="AE4" i="38"/>
  <c r="AD4" i="38"/>
  <c r="AC4" i="38"/>
  <c r="AB4" i="38"/>
  <c r="AA4" i="38"/>
  <c r="Z4" i="38"/>
  <c r="Y4" i="38"/>
  <c r="X4" i="38"/>
  <c r="W4" i="38"/>
  <c r="V4" i="38"/>
  <c r="U4" i="38"/>
  <c r="T4" i="38"/>
  <c r="S4" i="38"/>
  <c r="AU4" i="39"/>
  <c r="AT4" i="39"/>
  <c r="AS4" i="39"/>
  <c r="AR4" i="39"/>
  <c r="AQ4" i="39"/>
  <c r="AP4" i="39"/>
  <c r="AO4" i="39"/>
  <c r="AN4" i="39"/>
  <c r="AM4" i="39"/>
  <c r="AL4" i="39"/>
  <c r="AK4" i="39"/>
  <c r="AJ4" i="39"/>
  <c r="AI4" i="39"/>
  <c r="AH4" i="39"/>
  <c r="AF4" i="39"/>
  <c r="AE4" i="39"/>
  <c r="AD4" i="39"/>
  <c r="AC4" i="39"/>
  <c r="AB4" i="39"/>
  <c r="AA4" i="39"/>
  <c r="Z4" i="39"/>
  <c r="Y4" i="39"/>
  <c r="X4" i="39"/>
  <c r="W4" i="39"/>
  <c r="V4" i="39"/>
  <c r="U4" i="39"/>
  <c r="T4" i="39"/>
  <c r="S4" i="39"/>
  <c r="AU4" i="37"/>
  <c r="AT4" i="37"/>
  <c r="AS4" i="37"/>
  <c r="AR4" i="37"/>
  <c r="AQ4" i="37"/>
  <c r="AP4" i="37"/>
  <c r="AO4" i="37"/>
  <c r="AN4" i="37"/>
  <c r="AM4" i="37"/>
  <c r="AL4" i="37"/>
  <c r="AK4" i="37"/>
  <c r="AJ4" i="37"/>
  <c r="AI4" i="37"/>
  <c r="AH4" i="37"/>
  <c r="AF4" i="37"/>
  <c r="AE4" i="37"/>
  <c r="AD4" i="37"/>
  <c r="AC4" i="37"/>
  <c r="AB4" i="37"/>
  <c r="AA4" i="37"/>
  <c r="Z4" i="37"/>
  <c r="Y4" i="37"/>
  <c r="X4" i="37"/>
  <c r="W4" i="37"/>
  <c r="V4" i="37"/>
  <c r="U4" i="37"/>
  <c r="T4" i="37"/>
  <c r="S4" i="37"/>
  <c r="AT4" i="35"/>
  <c r="AS4" i="35"/>
  <c r="AR4" i="35"/>
  <c r="AQ4" i="35"/>
  <c r="AP4" i="35"/>
  <c r="AO4" i="35"/>
  <c r="AN4" i="35"/>
  <c r="AM4" i="35"/>
  <c r="AL4" i="35"/>
  <c r="AK4" i="35"/>
  <c r="AJ4" i="35"/>
  <c r="AI4" i="35"/>
  <c r="AH4" i="35"/>
  <c r="AG4" i="35"/>
  <c r="AE4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AU4" i="34"/>
  <c r="AT4" i="34"/>
  <c r="AS4" i="34"/>
  <c r="AR4" i="34"/>
  <c r="AQ4" i="34"/>
  <c r="AP4" i="34"/>
  <c r="AO4" i="34"/>
  <c r="AN4" i="34"/>
  <c r="AM4" i="34"/>
  <c r="AL4" i="34"/>
  <c r="AK4" i="34"/>
  <c r="AJ4" i="34"/>
  <c r="AI4" i="34"/>
  <c r="AH4" i="34"/>
  <c r="AF4" i="34"/>
  <c r="AE4" i="34"/>
  <c r="AD4" i="34"/>
  <c r="AC4" i="34"/>
  <c r="AB4" i="34"/>
  <c r="AA4" i="34"/>
  <c r="Z4" i="34"/>
  <c r="Y4" i="34"/>
  <c r="X4" i="34"/>
  <c r="W4" i="34"/>
  <c r="V4" i="34"/>
  <c r="U4" i="34"/>
  <c r="T4" i="34"/>
  <c r="S4" i="34"/>
  <c r="AU4" i="33"/>
  <c r="AT4" i="33"/>
  <c r="AS4" i="33"/>
  <c r="AR4" i="33"/>
  <c r="AQ4" i="33"/>
  <c r="AP4" i="33"/>
  <c r="AO4" i="33"/>
  <c r="AN4" i="33"/>
  <c r="AM4" i="33"/>
  <c r="AL4" i="33"/>
  <c r="AK4" i="33"/>
  <c r="AJ4" i="33"/>
  <c r="AI4" i="33"/>
  <c r="AH4" i="33"/>
  <c r="AF4" i="33"/>
  <c r="AE4" i="33"/>
  <c r="AD4" i="33"/>
  <c r="AC4" i="33"/>
  <c r="AB4" i="33"/>
  <c r="AA4" i="33"/>
  <c r="Z4" i="33"/>
  <c r="Y4" i="33"/>
  <c r="X4" i="33"/>
  <c r="W4" i="33"/>
  <c r="V4" i="33"/>
  <c r="U4" i="33"/>
  <c r="T4" i="33"/>
  <c r="S4" i="33"/>
  <c r="AT4" i="32"/>
  <c r="AS4" i="32"/>
  <c r="AR4" i="32"/>
  <c r="AQ4" i="32"/>
  <c r="AP4" i="32"/>
  <c r="AO4" i="32"/>
  <c r="AN4" i="32"/>
  <c r="AM4" i="32"/>
  <c r="AL4" i="32"/>
  <c r="AK4" i="32"/>
  <c r="AJ4" i="32"/>
  <c r="AI4" i="32"/>
  <c r="AH4" i="32"/>
  <c r="AG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AU4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D1" i="54"/>
  <c r="I26" i="54"/>
  <c r="I27" i="54" s="1"/>
  <c r="H26" i="54"/>
  <c r="K26" i="54" s="1"/>
  <c r="G26" i="54"/>
  <c r="J26" i="54" s="1"/>
  <c r="D8" i="42"/>
  <c r="E8" i="42"/>
  <c r="C8" i="42"/>
  <c r="D7" i="42"/>
  <c r="E7" i="42"/>
  <c r="C7" i="42"/>
  <c r="H8" i="54"/>
  <c r="H11" i="54"/>
  <c r="I10" i="54"/>
  <c r="H10" i="54"/>
  <c r="G10" i="54"/>
  <c r="G8" i="54"/>
  <c r="I9" i="54"/>
  <c r="H9" i="54"/>
  <c r="G9" i="54"/>
  <c r="I11" i="54"/>
  <c r="G11" i="54"/>
  <c r="I8" i="54"/>
  <c r="I7" i="54"/>
  <c r="H7" i="54"/>
  <c r="G7" i="54"/>
  <c r="I14" i="54"/>
  <c r="I15" i="54"/>
  <c r="I16" i="54"/>
  <c r="I13" i="54"/>
  <c r="H13" i="54"/>
  <c r="G16" i="54"/>
  <c r="H16" i="54"/>
  <c r="H15" i="54"/>
  <c r="H14" i="54"/>
  <c r="G15" i="54"/>
  <c r="G14" i="54"/>
  <c r="G13" i="54"/>
  <c r="S5" i="54"/>
  <c r="L33" i="54"/>
  <c r="I33" i="54"/>
  <c r="L32" i="54"/>
  <c r="I32" i="54"/>
  <c r="L30" i="54"/>
  <c r="I30" i="54"/>
  <c r="L29" i="54"/>
  <c r="I29" i="54"/>
  <c r="L25" i="54"/>
  <c r="I25" i="54"/>
  <c r="L24" i="54"/>
  <c r="I24" i="54"/>
  <c r="L23" i="54"/>
  <c r="I23" i="54"/>
  <c r="L22" i="54"/>
  <c r="I22" i="54"/>
  <c r="L21" i="54"/>
  <c r="I21" i="54"/>
  <c r="S20" i="54"/>
  <c r="L20" i="54"/>
  <c r="I20" i="54"/>
  <c r="S18" i="54"/>
  <c r="S6" i="54"/>
  <c r="L6" i="54"/>
  <c r="I6" i="54"/>
  <c r="S4" i="54"/>
  <c r="N62" i="52"/>
  <c r="N61" i="52"/>
  <c r="N60" i="52"/>
  <c r="N59" i="52"/>
  <c r="N58" i="52"/>
  <c r="N57" i="52"/>
  <c r="N56" i="52"/>
  <c r="L50" i="52"/>
  <c r="AG26" i="7" l="1"/>
  <c r="AG27" i="7" s="1"/>
  <c r="X27" i="17"/>
  <c r="X28" i="17" s="1"/>
  <c r="Y25" i="6"/>
  <c r="Y26" i="6" s="1"/>
  <c r="W27" i="4"/>
  <c r="S25" i="6"/>
  <c r="S26" i="6" s="1"/>
  <c r="AA26" i="7"/>
  <c r="AA27" i="7" s="1"/>
  <c r="R27" i="17"/>
  <c r="R28" i="17" s="1"/>
  <c r="Q27" i="4"/>
  <c r="W13" i="6"/>
  <c r="AE14" i="7"/>
  <c r="V15" i="17"/>
  <c r="W25" i="6"/>
  <c r="W26" i="6" s="1"/>
  <c r="V27" i="17"/>
  <c r="V28" i="17" s="1"/>
  <c r="AE26" i="7"/>
  <c r="AE27" i="7" s="1"/>
  <c r="U27" i="4"/>
  <c r="AD14" i="7"/>
  <c r="U27" i="17"/>
  <c r="U28" i="17" s="1"/>
  <c r="V25" i="6"/>
  <c r="V26" i="6" s="1"/>
  <c r="AD26" i="7"/>
  <c r="AD27" i="7" s="1"/>
  <c r="T27" i="4"/>
  <c r="V13" i="6"/>
  <c r="U15" i="17"/>
  <c r="T25" i="6"/>
  <c r="T26" i="6" s="1"/>
  <c r="AB26" i="7"/>
  <c r="AB27" i="7" s="1"/>
  <c r="S27" i="17"/>
  <c r="S28" i="17" s="1"/>
  <c r="R27" i="4"/>
  <c r="S15" i="17"/>
  <c r="Y16" i="54"/>
  <c r="Y14" i="54"/>
  <c r="Y15" i="54"/>
  <c r="Y13" i="54"/>
  <c r="Y10" i="54"/>
  <c r="Y11" i="54"/>
  <c r="Y8" i="54"/>
  <c r="Y9" i="54"/>
  <c r="AA5" i="54"/>
  <c r="Y7" i="54"/>
  <c r="AA6" i="54"/>
  <c r="AA4" i="54"/>
  <c r="Y4" i="54"/>
  <c r="Y6" i="54"/>
  <c r="Y5" i="54"/>
  <c r="AD7" i="34"/>
  <c r="AE7" i="34"/>
  <c r="AF7" i="34"/>
  <c r="U7" i="34"/>
  <c r="AJ7" i="34" s="1"/>
  <c r="AA7" i="34"/>
  <c r="Y7" i="34"/>
  <c r="AC7" i="34"/>
  <c r="W7" i="34"/>
  <c r="X7" i="34"/>
  <c r="V7" i="34"/>
  <c r="Z7" i="34"/>
  <c r="AB7" i="34"/>
  <c r="Z7" i="33"/>
  <c r="AA7" i="33"/>
  <c r="AB7" i="33"/>
  <c r="AC7" i="33"/>
  <c r="AD7" i="33"/>
  <c r="AE7" i="33"/>
  <c r="AF7" i="33"/>
  <c r="U7" i="33"/>
  <c r="AJ7" i="33" s="1"/>
  <c r="AK7" i="33" s="1"/>
  <c r="AL7" i="33" s="1"/>
  <c r="AM7" i="33" s="1"/>
  <c r="AN7" i="33" s="1"/>
  <c r="AO7" i="33" s="1"/>
  <c r="AP7" i="33" s="1"/>
  <c r="AQ7" i="33" s="1"/>
  <c r="AR7" i="33" s="1"/>
  <c r="AS7" i="33" s="1"/>
  <c r="AT7" i="33" s="1"/>
  <c r="AU7" i="33" s="1"/>
  <c r="V7" i="33"/>
  <c r="W7" i="33"/>
  <c r="Y7" i="33"/>
  <c r="X7" i="33"/>
  <c r="V9" i="33"/>
  <c r="W9" i="33"/>
  <c r="X9" i="33"/>
  <c r="Y9" i="33"/>
  <c r="Z9" i="33"/>
  <c r="AA9" i="33"/>
  <c r="AB9" i="33"/>
  <c r="AC9" i="33"/>
  <c r="U9" i="33"/>
  <c r="AJ9" i="33" s="1"/>
  <c r="AK9" i="33" s="1"/>
  <c r="AL9" i="33" s="1"/>
  <c r="AM9" i="33" s="1"/>
  <c r="AN9" i="33" s="1"/>
  <c r="AO9" i="33" s="1"/>
  <c r="AP9" i="33" s="1"/>
  <c r="AQ9" i="33" s="1"/>
  <c r="AR9" i="33" s="1"/>
  <c r="AS9" i="33" s="1"/>
  <c r="AT9" i="33" s="1"/>
  <c r="AU9" i="33" s="1"/>
  <c r="AD9" i="33"/>
  <c r="AE9" i="33"/>
  <c r="AF9" i="33"/>
  <c r="U8" i="33"/>
  <c r="AJ8" i="33" s="1"/>
  <c r="V8" i="33"/>
  <c r="X8" i="33"/>
  <c r="AA8" i="33"/>
  <c r="AB8" i="33"/>
  <c r="AC8" i="33"/>
  <c r="AD8" i="33"/>
  <c r="AF8" i="33"/>
  <c r="W8" i="33"/>
  <c r="Y8" i="33"/>
  <c r="Z8" i="33"/>
  <c r="AE8" i="33"/>
  <c r="Y8" i="34"/>
  <c r="AD8" i="34"/>
  <c r="AF8" i="34"/>
  <c r="Z8" i="34"/>
  <c r="AA8" i="34"/>
  <c r="AE8" i="34"/>
  <c r="U8" i="34"/>
  <c r="AJ8" i="34" s="1"/>
  <c r="AK8" i="34" s="1"/>
  <c r="AL8" i="34" s="1"/>
  <c r="V8" i="34"/>
  <c r="W8" i="34"/>
  <c r="X8" i="34"/>
  <c r="AB8" i="34"/>
  <c r="AC8" i="34"/>
  <c r="W6" i="34"/>
  <c r="X6" i="34"/>
  <c r="Y6" i="34"/>
  <c r="AD6" i="34"/>
  <c r="V6" i="34"/>
  <c r="U6" i="34"/>
  <c r="Z6" i="34"/>
  <c r="AA6" i="34"/>
  <c r="AB6" i="34"/>
  <c r="AC6" i="34"/>
  <c r="AE6" i="34"/>
  <c r="AF6" i="34"/>
  <c r="Z9" i="34"/>
  <c r="AA9" i="34"/>
  <c r="AB9" i="34"/>
  <c r="AE9" i="34"/>
  <c r="AF9" i="34"/>
  <c r="U9" i="34"/>
  <c r="AJ9" i="34" s="1"/>
  <c r="X9" i="34"/>
  <c r="V9" i="34"/>
  <c r="W9" i="34"/>
  <c r="Y9" i="34"/>
  <c r="AC9" i="34"/>
  <c r="AD9" i="34"/>
  <c r="AD10" i="33"/>
  <c r="AE10" i="33"/>
  <c r="AF10" i="33"/>
  <c r="Z10" i="33"/>
  <c r="AA10" i="33"/>
  <c r="AB10" i="33"/>
  <c r="AC10" i="33"/>
  <c r="V10" i="33"/>
  <c r="W10" i="33"/>
  <c r="U10" i="33"/>
  <c r="AJ10" i="33" s="1"/>
  <c r="AK10" i="33" s="1"/>
  <c r="AL10" i="33" s="1"/>
  <c r="AM10" i="33" s="1"/>
  <c r="AN10" i="33" s="1"/>
  <c r="AO10" i="33" s="1"/>
  <c r="AP10" i="33" s="1"/>
  <c r="AQ10" i="33" s="1"/>
  <c r="AR10" i="33" s="1"/>
  <c r="AS10" i="33" s="1"/>
  <c r="AT10" i="33" s="1"/>
  <c r="AU10" i="33" s="1"/>
  <c r="X10" i="33"/>
  <c r="Y10" i="33"/>
  <c r="AD6" i="33"/>
  <c r="V6" i="33"/>
  <c r="X6" i="33"/>
  <c r="AA6" i="33"/>
  <c r="AE6" i="33"/>
  <c r="U6" i="33"/>
  <c r="Z6" i="33"/>
  <c r="AC6" i="33"/>
  <c r="AF6" i="33"/>
  <c r="W6" i="33"/>
  <c r="Y6" i="33"/>
  <c r="AB6" i="33"/>
  <c r="N21" i="54"/>
  <c r="L26" i="54"/>
  <c r="AL7" i="7"/>
  <c r="Y7" i="7"/>
  <c r="Q6" i="6"/>
  <c r="P8" i="17"/>
  <c r="P11" i="17" s="1"/>
  <c r="P9" i="17"/>
  <c r="AL8" i="7"/>
  <c r="Y8" i="7"/>
  <c r="Y10" i="7" s="1"/>
  <c r="Q7" i="6"/>
  <c r="Q9" i="6" s="1"/>
  <c r="O10" i="4"/>
  <c r="AL10" i="7"/>
  <c r="AL29" i="7" s="1"/>
  <c r="AL44" i="7" s="1"/>
  <c r="AA22" i="1"/>
  <c r="N5" i="4" s="1"/>
  <c r="AK4" i="7"/>
  <c r="P3" i="6"/>
  <c r="AS6" i="7"/>
  <c r="AF6" i="7"/>
  <c r="W7" i="17"/>
  <c r="X5" i="6"/>
  <c r="V8" i="4"/>
  <c r="AI43" i="1"/>
  <c r="X8" i="6"/>
  <c r="W10" i="17"/>
  <c r="AF9" i="7"/>
  <c r="AS9" i="7"/>
  <c r="W6" i="17"/>
  <c r="X4" i="6"/>
  <c r="AS5" i="7"/>
  <c r="AF5" i="7"/>
  <c r="T7" i="4"/>
  <c r="AG43" i="1"/>
  <c r="AG32" i="1"/>
  <c r="T6" i="4" s="1"/>
  <c r="AD8" i="7"/>
  <c r="AQ8" i="7"/>
  <c r="U9" i="17"/>
  <c r="V7" i="6"/>
  <c r="T6" i="17"/>
  <c r="AP5" i="7"/>
  <c r="AC5" i="7"/>
  <c r="U4" i="6"/>
  <c r="U9" i="6" s="1"/>
  <c r="AP9" i="7"/>
  <c r="AF43" i="1"/>
  <c r="T10" i="17"/>
  <c r="AC6" i="7"/>
  <c r="U5" i="6"/>
  <c r="AP6" i="7"/>
  <c r="T7" i="17"/>
  <c r="S10" i="4"/>
  <c r="X5" i="7"/>
  <c r="O6" i="17"/>
  <c r="AK5" i="7"/>
  <c r="P4" i="6"/>
  <c r="AK6" i="7"/>
  <c r="P5" i="6"/>
  <c r="X6" i="7"/>
  <c r="O7" i="17"/>
  <c r="N7" i="4"/>
  <c r="AA43" i="1"/>
  <c r="N8" i="4"/>
  <c r="L27" i="54"/>
  <c r="N27" i="54" s="1"/>
  <c r="G27" i="54"/>
  <c r="J27" i="54" s="1"/>
  <c r="G28" i="54"/>
  <c r="J28" i="54" s="1"/>
  <c r="I28" i="54"/>
  <c r="H27" i="54"/>
  <c r="K27" i="54" s="1"/>
  <c r="H28" i="54"/>
  <c r="K28" i="54" s="1"/>
  <c r="N23" i="54"/>
  <c r="N30" i="54"/>
  <c r="N24" i="54"/>
  <c r="N22" i="54"/>
  <c r="N32" i="54"/>
  <c r="N29" i="54"/>
  <c r="N33" i="54"/>
  <c r="N25" i="54"/>
  <c r="N6" i="54"/>
  <c r="N20" i="54"/>
  <c r="I48" i="52"/>
  <c r="H48" i="52"/>
  <c r="H62" i="52" s="1"/>
  <c r="I42" i="52"/>
  <c r="J13" i="52"/>
  <c r="J40" i="52" s="1"/>
  <c r="J58" i="52" s="1"/>
  <c r="J14" i="52"/>
  <c r="J42" i="52" s="1"/>
  <c r="J59" i="52" s="1"/>
  <c r="J9" i="52"/>
  <c r="I9" i="52"/>
  <c r="J19" i="52"/>
  <c r="J20" i="52"/>
  <c r="I15" i="52"/>
  <c r="I44" i="52" s="1"/>
  <c r="I14" i="52"/>
  <c r="I13" i="52"/>
  <c r="I40" i="52" s="1"/>
  <c r="I20" i="52"/>
  <c r="I21" i="52"/>
  <c r="I19" i="52"/>
  <c r="L24" i="52"/>
  <c r="L17" i="52"/>
  <c r="L11" i="52"/>
  <c r="K5" i="52"/>
  <c r="D20" i="52"/>
  <c r="E20" i="52"/>
  <c r="K20" i="52" s="1"/>
  <c r="C20" i="52"/>
  <c r="D19" i="52"/>
  <c r="E19" i="52"/>
  <c r="K19" i="52" s="1"/>
  <c r="K24" i="52" s="1"/>
  <c r="C19" i="52"/>
  <c r="C24" i="52" s="1"/>
  <c r="N40" i="51"/>
  <c r="M40" i="51"/>
  <c r="N39" i="51"/>
  <c r="M39" i="51"/>
  <c r="N38" i="51"/>
  <c r="M38" i="51"/>
  <c r="N34" i="51"/>
  <c r="M34" i="51"/>
  <c r="N33" i="51"/>
  <c r="M33" i="51"/>
  <c r="N32" i="51"/>
  <c r="M32" i="51"/>
  <c r="N27" i="51"/>
  <c r="M27" i="51"/>
  <c r="N26" i="51"/>
  <c r="M26" i="51"/>
  <c r="N25" i="51"/>
  <c r="M25" i="51"/>
  <c r="N24" i="51"/>
  <c r="M24" i="51"/>
  <c r="N23" i="51"/>
  <c r="M23" i="51"/>
  <c r="N22" i="51"/>
  <c r="M22" i="51"/>
  <c r="N21" i="51"/>
  <c r="M21" i="51"/>
  <c r="G99" i="51"/>
  <c r="N99" i="51" s="1"/>
  <c r="F99" i="51"/>
  <c r="E99" i="51"/>
  <c r="D99" i="51"/>
  <c r="C99" i="51"/>
  <c r="J99" i="51" s="1"/>
  <c r="G98" i="51"/>
  <c r="F98" i="51"/>
  <c r="E98" i="51"/>
  <c r="D98" i="51"/>
  <c r="C98" i="51"/>
  <c r="D97" i="51"/>
  <c r="C97" i="51"/>
  <c r="G96" i="51"/>
  <c r="F96" i="51"/>
  <c r="E96" i="51"/>
  <c r="L96" i="51" s="1"/>
  <c r="D96" i="51"/>
  <c r="K96" i="51" s="1"/>
  <c r="C96" i="51"/>
  <c r="J96" i="51" s="1"/>
  <c r="G95" i="51"/>
  <c r="N95" i="51" s="1"/>
  <c r="F95" i="51"/>
  <c r="E95" i="51"/>
  <c r="D95" i="51"/>
  <c r="C95" i="51"/>
  <c r="G94" i="51"/>
  <c r="F94" i="51"/>
  <c r="E94" i="51"/>
  <c r="D94" i="51"/>
  <c r="C94" i="51"/>
  <c r="G93" i="51"/>
  <c r="F93" i="51"/>
  <c r="E93" i="51"/>
  <c r="D93" i="51"/>
  <c r="D101" i="51" s="1"/>
  <c r="C93" i="51"/>
  <c r="G89" i="51"/>
  <c r="F89" i="51"/>
  <c r="E89" i="51"/>
  <c r="D89" i="51"/>
  <c r="C89" i="51"/>
  <c r="D85" i="51"/>
  <c r="C85" i="51"/>
  <c r="D84" i="51"/>
  <c r="C84" i="51"/>
  <c r="G71" i="51"/>
  <c r="F71" i="51"/>
  <c r="D71" i="51"/>
  <c r="C71" i="51"/>
  <c r="G66" i="51"/>
  <c r="F66" i="51"/>
  <c r="E66" i="51"/>
  <c r="D66" i="51"/>
  <c r="C66" i="51"/>
  <c r="D65" i="51"/>
  <c r="C65" i="51"/>
  <c r="J65" i="51" s="1"/>
  <c r="G60" i="51"/>
  <c r="F60" i="51"/>
  <c r="E60" i="51"/>
  <c r="D60" i="51"/>
  <c r="C60" i="51"/>
  <c r="G59" i="51"/>
  <c r="F59" i="51"/>
  <c r="D59" i="51"/>
  <c r="H59" i="51" s="1"/>
  <c r="C59" i="51"/>
  <c r="J59" i="51" s="1"/>
  <c r="D54" i="51"/>
  <c r="K54" i="51" s="1"/>
  <c r="C54" i="51"/>
  <c r="J54" i="51" s="1"/>
  <c r="D53" i="51"/>
  <c r="C53" i="51"/>
  <c r="J53" i="51" s="1"/>
  <c r="C48" i="51"/>
  <c r="G40" i="51"/>
  <c r="F40" i="51"/>
  <c r="G39" i="51"/>
  <c r="F39" i="51"/>
  <c r="G38" i="51"/>
  <c r="F38" i="51"/>
  <c r="G34" i="51"/>
  <c r="F34" i="51"/>
  <c r="G33" i="51"/>
  <c r="F33" i="51"/>
  <c r="G32" i="51"/>
  <c r="F32" i="51"/>
  <c r="G27" i="51"/>
  <c r="F27" i="51"/>
  <c r="G26" i="51"/>
  <c r="F26" i="51"/>
  <c r="G25" i="51"/>
  <c r="F25" i="51"/>
  <c r="G24" i="51"/>
  <c r="F24" i="51"/>
  <c r="G23" i="51"/>
  <c r="F23" i="51"/>
  <c r="G22" i="51"/>
  <c r="F22" i="51"/>
  <c r="G21" i="51"/>
  <c r="G28" i="51" s="1"/>
  <c r="F21" i="51"/>
  <c r="C105" i="51"/>
  <c r="J105" i="51" s="1"/>
  <c r="M99" i="51"/>
  <c r="L99" i="51"/>
  <c r="K99" i="51"/>
  <c r="N98" i="51"/>
  <c r="M98" i="51"/>
  <c r="L98" i="51"/>
  <c r="K98" i="51"/>
  <c r="J98" i="51"/>
  <c r="K97" i="51"/>
  <c r="J97" i="51"/>
  <c r="N96" i="51"/>
  <c r="M96" i="51"/>
  <c r="M95" i="51"/>
  <c r="L95" i="51"/>
  <c r="K95" i="51"/>
  <c r="J95" i="51"/>
  <c r="N94" i="51"/>
  <c r="M94" i="51"/>
  <c r="J94" i="51"/>
  <c r="N93" i="51"/>
  <c r="M93" i="51"/>
  <c r="L93" i="51"/>
  <c r="K93" i="51"/>
  <c r="J93" i="51"/>
  <c r="C91" i="51"/>
  <c r="J89" i="51"/>
  <c r="J91" i="51" s="1"/>
  <c r="N89" i="51"/>
  <c r="N91" i="51" s="1"/>
  <c r="M89" i="51"/>
  <c r="M91" i="51" s="1"/>
  <c r="L89" i="51"/>
  <c r="L91" i="51" s="1"/>
  <c r="K89" i="51"/>
  <c r="K91" i="51" s="1"/>
  <c r="K85" i="51"/>
  <c r="J85" i="51"/>
  <c r="K84" i="51"/>
  <c r="J84" i="51"/>
  <c r="K71" i="51"/>
  <c r="J71" i="51"/>
  <c r="N71" i="51"/>
  <c r="M71" i="51"/>
  <c r="N66" i="51"/>
  <c r="M66" i="51"/>
  <c r="L66" i="51"/>
  <c r="K66" i="51"/>
  <c r="O66" i="51" s="1"/>
  <c r="H66" i="51"/>
  <c r="J66" i="51"/>
  <c r="K65" i="51"/>
  <c r="L60" i="51"/>
  <c r="K60" i="51"/>
  <c r="J60" i="51"/>
  <c r="N60" i="51"/>
  <c r="M60" i="51"/>
  <c r="N59" i="51"/>
  <c r="M59" i="51"/>
  <c r="K53" i="51"/>
  <c r="J48" i="51"/>
  <c r="G36" i="51"/>
  <c r="F36" i="51"/>
  <c r="R29" i="42"/>
  <c r="Q27" i="36"/>
  <c r="AK8" i="33" l="1"/>
  <c r="AL8" i="33" s="1"/>
  <c r="AM8" i="33" s="1"/>
  <c r="AN8" i="33" s="1"/>
  <c r="AO8" i="33" s="1"/>
  <c r="AP8" i="33" s="1"/>
  <c r="AQ8" i="33" s="1"/>
  <c r="AR8" i="33" s="1"/>
  <c r="AS8" i="33" s="1"/>
  <c r="AT8" i="33" s="1"/>
  <c r="AU8" i="33" s="1"/>
  <c r="AK9" i="34"/>
  <c r="AL9" i="34" s="1"/>
  <c r="AM9" i="34" s="1"/>
  <c r="AN9" i="34" s="1"/>
  <c r="AO9" i="34" s="1"/>
  <c r="AP9" i="34" s="1"/>
  <c r="AQ9" i="34" s="1"/>
  <c r="AR9" i="34" s="1"/>
  <c r="AS9" i="34" s="1"/>
  <c r="AT9" i="34" s="1"/>
  <c r="AU9" i="34" s="1"/>
  <c r="AM8" i="34"/>
  <c r="AN8" i="34" s="1"/>
  <c r="AO8" i="34" s="1"/>
  <c r="AP8" i="34" s="1"/>
  <c r="AQ8" i="34" s="1"/>
  <c r="AR8" i="34" s="1"/>
  <c r="AS8" i="34" s="1"/>
  <c r="AT8" i="34" s="1"/>
  <c r="AU8" i="34" s="1"/>
  <c r="AJ6" i="34"/>
  <c r="AK6" i="34" s="1"/>
  <c r="AL6" i="34" s="1"/>
  <c r="AM6" i="34" s="1"/>
  <c r="AN6" i="34" s="1"/>
  <c r="AO6" i="34" s="1"/>
  <c r="AP6" i="34" s="1"/>
  <c r="AQ6" i="34" s="1"/>
  <c r="AR6" i="34" s="1"/>
  <c r="AS6" i="34" s="1"/>
  <c r="AT6" i="34" s="1"/>
  <c r="AU6" i="34" s="1"/>
  <c r="AK7" i="34"/>
  <c r="AL7" i="34" s="1"/>
  <c r="AM7" i="34" s="1"/>
  <c r="AN7" i="34" s="1"/>
  <c r="AO7" i="34" s="1"/>
  <c r="AP7" i="34" s="1"/>
  <c r="AQ7" i="34" s="1"/>
  <c r="AR7" i="34" s="1"/>
  <c r="AS7" i="34" s="1"/>
  <c r="AT7" i="34" s="1"/>
  <c r="AU7" i="34" s="1"/>
  <c r="AJ6" i="33"/>
  <c r="AK6" i="33" s="1"/>
  <c r="AL6" i="33" s="1"/>
  <c r="AM6" i="33" s="1"/>
  <c r="AN6" i="33" s="1"/>
  <c r="AO6" i="33" s="1"/>
  <c r="AP6" i="33" s="1"/>
  <c r="AQ6" i="33" s="1"/>
  <c r="AR6" i="33" s="1"/>
  <c r="AS6" i="33" s="1"/>
  <c r="AT6" i="33" s="1"/>
  <c r="AU6" i="33" s="1"/>
  <c r="V14" i="11"/>
  <c r="V5" i="11" s="1"/>
  <c r="P59" i="17" s="1"/>
  <c r="AF8" i="7"/>
  <c r="AF10" i="7" s="1"/>
  <c r="W9" i="17"/>
  <c r="W11" i="17" s="1"/>
  <c r="AS8" i="7"/>
  <c r="AS10" i="7" s="1"/>
  <c r="AS29" i="7" s="1"/>
  <c r="AS44" i="7" s="1"/>
  <c r="X7" i="6"/>
  <c r="X9" i="6" s="1"/>
  <c r="V10" i="4"/>
  <c r="AD6" i="7"/>
  <c r="U7" i="17"/>
  <c r="AQ6" i="7"/>
  <c r="V5" i="6"/>
  <c r="T10" i="4"/>
  <c r="AD7" i="7"/>
  <c r="V6" i="6"/>
  <c r="AQ7" i="7"/>
  <c r="U8" i="17"/>
  <c r="T11" i="17"/>
  <c r="AP10" i="7"/>
  <c r="AP29" i="7" s="1"/>
  <c r="AP44" i="7" s="1"/>
  <c r="AC10" i="7"/>
  <c r="N10" i="4"/>
  <c r="X8" i="7"/>
  <c r="P7" i="6"/>
  <c r="O9" i="17"/>
  <c r="AK8" i="7"/>
  <c r="P6" i="6"/>
  <c r="P9" i="6" s="1"/>
  <c r="X7" i="7"/>
  <c r="X10" i="7" s="1"/>
  <c r="O8" i="17"/>
  <c r="O11" i="17" s="1"/>
  <c r="AK7" i="7"/>
  <c r="AK10" i="7" s="1"/>
  <c r="AK29" i="7" s="1"/>
  <c r="AK44" i="7" s="1"/>
  <c r="L28" i="54"/>
  <c r="N28" i="54" s="1"/>
  <c r="I17" i="52"/>
  <c r="I62" i="52"/>
  <c r="L28" i="52"/>
  <c r="J24" i="52"/>
  <c r="E24" i="52"/>
  <c r="D24" i="52"/>
  <c r="M36" i="51"/>
  <c r="J101" i="51"/>
  <c r="H60" i="51"/>
  <c r="C101" i="51"/>
  <c r="O60" i="51"/>
  <c r="H71" i="51"/>
  <c r="K94" i="51"/>
  <c r="K101" i="51" s="1"/>
  <c r="F91" i="51"/>
  <c r="G91" i="51"/>
  <c r="M28" i="51"/>
  <c r="D91" i="51"/>
  <c r="E91" i="51"/>
  <c r="K59" i="51"/>
  <c r="O59" i="51" s="1"/>
  <c r="F28" i="51"/>
  <c r="N28" i="51"/>
  <c r="O71" i="51"/>
  <c r="N36" i="51"/>
  <c r="S8" i="49"/>
  <c r="S7" i="49"/>
  <c r="S3" i="49"/>
  <c r="S4" i="49"/>
  <c r="L19" i="49"/>
  <c r="L18" i="49"/>
  <c r="L8" i="49"/>
  <c r="L4" i="49"/>
  <c r="I19" i="49"/>
  <c r="I18" i="49"/>
  <c r="I8" i="49"/>
  <c r="I4" i="49"/>
  <c r="D26" i="47"/>
  <c r="E20" i="47"/>
  <c r="K37" i="37"/>
  <c r="N18" i="49" l="1"/>
  <c r="N19" i="49"/>
  <c r="U14" i="11"/>
  <c r="U5" i="11" s="1"/>
  <c r="O59" i="17" s="1"/>
  <c r="U11" i="17"/>
  <c r="V9" i="6"/>
  <c r="AQ10" i="7"/>
  <c r="AQ29" i="7" s="1"/>
  <c r="AQ44" i="7" s="1"/>
  <c r="AD10" i="7"/>
  <c r="N8" i="49"/>
  <c r="N4" i="49"/>
  <c r="L99" i="24"/>
  <c r="K99" i="24"/>
  <c r="J99" i="24"/>
  <c r="L98" i="24"/>
  <c r="K98" i="24"/>
  <c r="J98" i="24"/>
  <c r="L96" i="24"/>
  <c r="K96" i="24"/>
  <c r="J96" i="24"/>
  <c r="L95" i="24"/>
  <c r="K95" i="24"/>
  <c r="J95" i="24"/>
  <c r="L94" i="24"/>
  <c r="K94" i="24"/>
  <c r="J94" i="24"/>
  <c r="L93" i="24"/>
  <c r="K93" i="24"/>
  <c r="J93" i="24"/>
  <c r="L89" i="24"/>
  <c r="K89" i="24"/>
  <c r="J89" i="24"/>
  <c r="K91" i="24"/>
  <c r="J91" i="24"/>
  <c r="L91" i="24"/>
  <c r="N99" i="26"/>
  <c r="M99" i="26"/>
  <c r="L99" i="26"/>
  <c r="N98" i="26"/>
  <c r="M98" i="26"/>
  <c r="L98" i="26"/>
  <c r="N96" i="26"/>
  <c r="M96" i="26"/>
  <c r="L96" i="26"/>
  <c r="N95" i="26"/>
  <c r="M95" i="26"/>
  <c r="L95" i="26"/>
  <c r="N94" i="26"/>
  <c r="M94" i="26"/>
  <c r="N93" i="26"/>
  <c r="M93" i="26"/>
  <c r="L93" i="26"/>
  <c r="N89" i="26"/>
  <c r="N91" i="26" s="1"/>
  <c r="M89" i="26"/>
  <c r="L89" i="26"/>
  <c r="L91" i="26" s="1"/>
  <c r="J84" i="26"/>
  <c r="K84" i="26"/>
  <c r="J85" i="26"/>
  <c r="K85" i="26"/>
  <c r="J89" i="26"/>
  <c r="K89" i="26"/>
  <c r="J91" i="26"/>
  <c r="K91" i="26"/>
  <c r="M91" i="26"/>
  <c r="J93" i="26"/>
  <c r="J101" i="26" s="1"/>
  <c r="K93" i="26"/>
  <c r="K101" i="26" s="1"/>
  <c r="J94" i="26"/>
  <c r="K94" i="26"/>
  <c r="J95" i="26"/>
  <c r="K95" i="26"/>
  <c r="J96" i="26"/>
  <c r="K96" i="26"/>
  <c r="J97" i="26"/>
  <c r="K97" i="26"/>
  <c r="J98" i="26"/>
  <c r="K98" i="26"/>
  <c r="J99" i="26"/>
  <c r="K99" i="26"/>
  <c r="J105" i="26"/>
  <c r="L66" i="26"/>
  <c r="L60" i="26"/>
  <c r="N71" i="26"/>
  <c r="M71" i="26"/>
  <c r="N66" i="26"/>
  <c r="M66" i="26"/>
  <c r="N60" i="26"/>
  <c r="M60" i="26"/>
  <c r="N59" i="26"/>
  <c r="M59" i="26"/>
  <c r="N40" i="26"/>
  <c r="M40" i="26"/>
  <c r="N39" i="26"/>
  <c r="M39" i="26"/>
  <c r="N38" i="26"/>
  <c r="M38" i="26"/>
  <c r="N34" i="26"/>
  <c r="M34" i="26"/>
  <c r="N33" i="26"/>
  <c r="M33" i="26"/>
  <c r="N32" i="26"/>
  <c r="M32" i="26"/>
  <c r="N27" i="26"/>
  <c r="M27" i="26"/>
  <c r="N26" i="26"/>
  <c r="M26" i="26"/>
  <c r="N25" i="26"/>
  <c r="M25" i="26"/>
  <c r="N24" i="26"/>
  <c r="M24" i="26"/>
  <c r="N23" i="26"/>
  <c r="M23" i="26"/>
  <c r="G71" i="26"/>
  <c r="F71" i="26"/>
  <c r="E71" i="26"/>
  <c r="D71" i="26"/>
  <c r="C71" i="26"/>
  <c r="G66" i="26"/>
  <c r="F66" i="26"/>
  <c r="E66" i="26"/>
  <c r="D66" i="26"/>
  <c r="C66" i="26"/>
  <c r="D65" i="26"/>
  <c r="C65" i="26"/>
  <c r="G60" i="26"/>
  <c r="F60" i="26"/>
  <c r="E60" i="26"/>
  <c r="D60" i="26"/>
  <c r="C60" i="26"/>
  <c r="G59" i="26"/>
  <c r="F59" i="26"/>
  <c r="D59" i="26"/>
  <c r="C59" i="26"/>
  <c r="D54" i="26"/>
  <c r="C54" i="26"/>
  <c r="D53" i="26"/>
  <c r="C53" i="26"/>
  <c r="C48" i="26"/>
  <c r="G66" i="25"/>
  <c r="G60" i="25"/>
  <c r="G40" i="25"/>
  <c r="G39" i="25"/>
  <c r="G38" i="25"/>
  <c r="G34" i="25"/>
  <c r="G33" i="25"/>
  <c r="G32" i="25"/>
  <c r="G27" i="25"/>
  <c r="G26" i="25"/>
  <c r="G25" i="25"/>
  <c r="G24" i="25"/>
  <c r="G23" i="25"/>
  <c r="D71" i="25"/>
  <c r="C71" i="25"/>
  <c r="D66" i="25"/>
  <c r="C66" i="25"/>
  <c r="D65" i="25"/>
  <c r="C65" i="25"/>
  <c r="G65" i="25" s="1"/>
  <c r="D60" i="25"/>
  <c r="C60" i="25"/>
  <c r="D59" i="25"/>
  <c r="D54" i="25"/>
  <c r="D53" i="25"/>
  <c r="R94" i="24"/>
  <c r="Q94" i="24"/>
  <c r="P95" i="24"/>
  <c r="Q95" i="24"/>
  <c r="R95" i="24"/>
  <c r="P96" i="24"/>
  <c r="Q96" i="24"/>
  <c r="R96" i="24"/>
  <c r="P98" i="24"/>
  <c r="Q98" i="24"/>
  <c r="R98" i="24"/>
  <c r="P99" i="24"/>
  <c r="Q99" i="24"/>
  <c r="R99" i="24"/>
  <c r="Q93" i="24"/>
  <c r="R93" i="24"/>
  <c r="P93" i="24"/>
  <c r="Q89" i="24"/>
  <c r="R89" i="24"/>
  <c r="P89" i="24"/>
  <c r="G71" i="24"/>
  <c r="F71" i="24"/>
  <c r="G66" i="24"/>
  <c r="F66" i="24"/>
  <c r="G60" i="24"/>
  <c r="F60" i="24"/>
  <c r="G59" i="24"/>
  <c r="F59" i="24"/>
  <c r="AT18" i="27"/>
  <c r="BI77" i="27"/>
  <c r="BH77" i="27"/>
  <c r="BG77" i="27"/>
  <c r="BF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BI71" i="27"/>
  <c r="BH71" i="27"/>
  <c r="BG71" i="27"/>
  <c r="BF71" i="27"/>
  <c r="BD71" i="27"/>
  <c r="BC71" i="27"/>
  <c r="AZ71" i="27"/>
  <c r="AY71" i="27"/>
  <c r="AX71" i="27"/>
  <c r="AW71" i="27"/>
  <c r="AV71" i="27"/>
  <c r="AU71" i="27"/>
  <c r="AR71" i="27"/>
  <c r="AQ71" i="27"/>
  <c r="BI66" i="27"/>
  <c r="BH66" i="27"/>
  <c r="BG66" i="27"/>
  <c r="BF66" i="27"/>
  <c r="BD66" i="27"/>
  <c r="BC66" i="27"/>
  <c r="BB66" i="27"/>
  <c r="BA66" i="27"/>
  <c r="AZ66" i="27"/>
  <c r="AY66" i="27"/>
  <c r="AX66" i="27"/>
  <c r="AW66" i="27"/>
  <c r="AV66" i="27"/>
  <c r="AU66" i="27"/>
  <c r="AT66" i="27"/>
  <c r="AR66" i="27"/>
  <c r="AQ66" i="27"/>
  <c r="BG65" i="27"/>
  <c r="BF65" i="27"/>
  <c r="BD65" i="27"/>
  <c r="BC65" i="27"/>
  <c r="BB65" i="27"/>
  <c r="BA65" i="27"/>
  <c r="AZ65" i="27"/>
  <c r="AY65" i="27"/>
  <c r="AX65" i="27"/>
  <c r="AW65" i="27"/>
  <c r="AV65" i="27"/>
  <c r="AT65" i="27"/>
  <c r="AR65" i="27"/>
  <c r="BI60" i="27"/>
  <c r="BH60" i="27"/>
  <c r="BG60" i="27"/>
  <c r="BF60" i="27"/>
  <c r="BC60" i="27"/>
  <c r="BB60" i="27"/>
  <c r="BA60" i="27"/>
  <c r="AZ60" i="27"/>
  <c r="AY60" i="27"/>
  <c r="AX60" i="27"/>
  <c r="AW60" i="27"/>
  <c r="AV60" i="27"/>
  <c r="AR60" i="27"/>
  <c r="BI59" i="27"/>
  <c r="BH59" i="27"/>
  <c r="BG59" i="27"/>
  <c r="BF59" i="27"/>
  <c r="BD59" i="27"/>
  <c r="BC59" i="27"/>
  <c r="BB59" i="27"/>
  <c r="BA59" i="27"/>
  <c r="AZ59" i="27"/>
  <c r="AY59" i="27"/>
  <c r="AX59" i="27"/>
  <c r="AV59" i="27"/>
  <c r="AR59" i="27"/>
  <c r="BG54" i="27"/>
  <c r="BF54" i="27"/>
  <c r="BD54" i="27"/>
  <c r="BC54" i="27"/>
  <c r="BB54" i="27"/>
  <c r="BA54" i="27"/>
  <c r="AZ54" i="27"/>
  <c r="AY54" i="27"/>
  <c r="AX54" i="27"/>
  <c r="AW54" i="27"/>
  <c r="AV54" i="27"/>
  <c r="AU54" i="27"/>
  <c r="AT54" i="27"/>
  <c r="AR54" i="27"/>
  <c r="BG53" i="27"/>
  <c r="BF53" i="27"/>
  <c r="AV53" i="27"/>
  <c r="AR53" i="27"/>
  <c r="BG48" i="27"/>
  <c r="BF48" i="27"/>
  <c r="AV48" i="27"/>
  <c r="AR48" i="27"/>
  <c r="BG47" i="27"/>
  <c r="BF47" i="27"/>
  <c r="BF38" i="27" s="1"/>
  <c r="BF43" i="27" s="1"/>
  <c r="AV47" i="27"/>
  <c r="AV17" i="27" s="1"/>
  <c r="AV19" i="27" s="1"/>
  <c r="AR47" i="27"/>
  <c r="AR50" i="27" s="1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BG36" i="27"/>
  <c r="BF36" i="27"/>
  <c r="BD36" i="27"/>
  <c r="AV36" i="27"/>
  <c r="AU36" i="27"/>
  <c r="AT36" i="27"/>
  <c r="AS36" i="27"/>
  <c r="AR36" i="27"/>
  <c r="AQ36" i="27"/>
  <c r="BG28" i="27"/>
  <c r="BF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BG19" i="27"/>
  <c r="BF19" i="27"/>
  <c r="BD19" i="27"/>
  <c r="BC19" i="27"/>
  <c r="BB19" i="27"/>
  <c r="BA19" i="27"/>
  <c r="AZ19" i="27"/>
  <c r="AY19" i="27"/>
  <c r="AX19" i="27"/>
  <c r="AW19" i="27"/>
  <c r="AR19" i="27"/>
  <c r="AQ19" i="27"/>
  <c r="BG15" i="27"/>
  <c r="BF15" i="27"/>
  <c r="BD15" i="27"/>
  <c r="BC15" i="27"/>
  <c r="BB15" i="27"/>
  <c r="BA15" i="27"/>
  <c r="AZ15" i="27"/>
  <c r="AY15" i="27"/>
  <c r="AY30" i="27" s="1"/>
  <c r="AX15" i="27"/>
  <c r="AW15" i="27"/>
  <c r="AV15" i="27"/>
  <c r="AU15" i="27"/>
  <c r="AT15" i="27"/>
  <c r="AS15" i="27"/>
  <c r="AR15" i="27"/>
  <c r="AQ15" i="27"/>
  <c r="Z18" i="27"/>
  <c r="AO77" i="27"/>
  <c r="AN77" i="27"/>
  <c r="AM77" i="27"/>
  <c r="AL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AO71" i="27"/>
  <c r="AN71" i="27"/>
  <c r="AM71" i="27"/>
  <c r="AL71" i="27"/>
  <c r="AJ71" i="27"/>
  <c r="AI71" i="27"/>
  <c r="AF71" i="27"/>
  <c r="AE71" i="27"/>
  <c r="AD71" i="27"/>
  <c r="AC71" i="27"/>
  <c r="AB71" i="27"/>
  <c r="AA71" i="27"/>
  <c r="X71" i="27"/>
  <c r="W71" i="27"/>
  <c r="AO66" i="27"/>
  <c r="AN66" i="27"/>
  <c r="AM66" i="27"/>
  <c r="AL66" i="27"/>
  <c r="AI66" i="27"/>
  <c r="AH66" i="27"/>
  <c r="AG66" i="27"/>
  <c r="AF66" i="27"/>
  <c r="AE66" i="27"/>
  <c r="AD66" i="27"/>
  <c r="AC66" i="27"/>
  <c r="AB66" i="27"/>
  <c r="AA66" i="27"/>
  <c r="Z66" i="27"/>
  <c r="X66" i="27"/>
  <c r="W66" i="27"/>
  <c r="AM65" i="27"/>
  <c r="AL65" i="27"/>
  <c r="AJ65" i="27"/>
  <c r="AI65" i="27"/>
  <c r="AH65" i="27"/>
  <c r="AG65" i="27"/>
  <c r="AF65" i="27"/>
  <c r="AE65" i="27"/>
  <c r="AD65" i="27"/>
  <c r="AC65" i="27"/>
  <c r="AB65" i="27"/>
  <c r="Z65" i="27"/>
  <c r="X65" i="27"/>
  <c r="AO60" i="27"/>
  <c r="AN60" i="27"/>
  <c r="AM60" i="27"/>
  <c r="AL60" i="27"/>
  <c r="AI60" i="27"/>
  <c r="AH60" i="27"/>
  <c r="AG60" i="27"/>
  <c r="AF60" i="27"/>
  <c r="AE60" i="27"/>
  <c r="AD60" i="27"/>
  <c r="AC60" i="27"/>
  <c r="AB60" i="27"/>
  <c r="X60" i="27"/>
  <c r="AO59" i="27"/>
  <c r="AN59" i="27"/>
  <c r="AM59" i="27"/>
  <c r="AL59" i="27"/>
  <c r="AJ59" i="27"/>
  <c r="AI59" i="27"/>
  <c r="AH59" i="27"/>
  <c r="AG59" i="27"/>
  <c r="AE59" i="27"/>
  <c r="AD59" i="27"/>
  <c r="AB59" i="27"/>
  <c r="X59" i="27"/>
  <c r="AM54" i="27"/>
  <c r="AL54" i="27"/>
  <c r="AJ54" i="27"/>
  <c r="AI54" i="27"/>
  <c r="AH54" i="27"/>
  <c r="AG54" i="27"/>
  <c r="AF54" i="27"/>
  <c r="AE54" i="27"/>
  <c r="AD54" i="27"/>
  <c r="AC54" i="27"/>
  <c r="AB54" i="27"/>
  <c r="AA54" i="27"/>
  <c r="Z54" i="27"/>
  <c r="X54" i="27"/>
  <c r="AM53" i="27"/>
  <c r="AL53" i="27"/>
  <c r="AB53" i="27"/>
  <c r="X53" i="27"/>
  <c r="AM48" i="27"/>
  <c r="AL48" i="27"/>
  <c r="AB48" i="27"/>
  <c r="X48" i="27"/>
  <c r="AM47" i="27"/>
  <c r="AM39" i="27" s="1"/>
  <c r="AM43" i="27" s="1"/>
  <c r="AL47" i="27"/>
  <c r="AL38" i="27" s="1"/>
  <c r="AL43" i="27" s="1"/>
  <c r="AB47" i="27"/>
  <c r="AB17" i="27" s="1"/>
  <c r="AB19" i="27" s="1"/>
  <c r="X47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AM36" i="27"/>
  <c r="AL36" i="27"/>
  <c r="AJ36" i="27"/>
  <c r="AB36" i="27"/>
  <c r="AA36" i="27"/>
  <c r="Z36" i="27"/>
  <c r="Y36" i="27"/>
  <c r="X36" i="27"/>
  <c r="W36" i="27"/>
  <c r="AM28" i="27"/>
  <c r="AL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AM19" i="27"/>
  <c r="AL19" i="27"/>
  <c r="AJ19" i="27"/>
  <c r="AI19" i="27"/>
  <c r="AH19" i="27"/>
  <c r="AG19" i="27"/>
  <c r="AF19" i="27"/>
  <c r="AE19" i="27"/>
  <c r="AD19" i="27"/>
  <c r="AC19" i="27"/>
  <c r="X19" i="27"/>
  <c r="W19" i="27"/>
  <c r="AM15" i="27"/>
  <c r="AL15" i="27"/>
  <c r="AJ15" i="27"/>
  <c r="AI15" i="27"/>
  <c r="AH15" i="27"/>
  <c r="AG15" i="27"/>
  <c r="AF15" i="27"/>
  <c r="AF30" i="27" s="1"/>
  <c r="AE15" i="27"/>
  <c r="AD15" i="27"/>
  <c r="AC15" i="27"/>
  <c r="AB15" i="27"/>
  <c r="AA15" i="27"/>
  <c r="Z15" i="27"/>
  <c r="Y15" i="27"/>
  <c r="X15" i="27"/>
  <c r="W15" i="27"/>
  <c r="U77" i="27"/>
  <c r="U71" i="27"/>
  <c r="U66" i="27"/>
  <c r="U60" i="27"/>
  <c r="U59" i="27"/>
  <c r="T77" i="27"/>
  <c r="T71" i="27"/>
  <c r="T66" i="27"/>
  <c r="T60" i="27"/>
  <c r="T59" i="27"/>
  <c r="S77" i="27"/>
  <c r="S71" i="27"/>
  <c r="S66" i="27"/>
  <c r="S65" i="27"/>
  <c r="S60" i="27"/>
  <c r="S59" i="27"/>
  <c r="S54" i="27"/>
  <c r="S53" i="27"/>
  <c r="S48" i="27"/>
  <c r="S47" i="27"/>
  <c r="S39" i="27" s="1"/>
  <c r="S50" i="27"/>
  <c r="S36" i="27"/>
  <c r="S28" i="27"/>
  <c r="S19" i="27"/>
  <c r="S15" i="27"/>
  <c r="R77" i="27"/>
  <c r="R71" i="27"/>
  <c r="R66" i="27"/>
  <c r="R65" i="27"/>
  <c r="R60" i="27"/>
  <c r="R59" i="27"/>
  <c r="R54" i="27"/>
  <c r="R53" i="27"/>
  <c r="R48" i="27"/>
  <c r="R47" i="27"/>
  <c r="R38" i="27" s="1"/>
  <c r="R43" i="27" s="1"/>
  <c r="R28" i="27"/>
  <c r="R36" i="27"/>
  <c r="R19" i="27"/>
  <c r="R15" i="27"/>
  <c r="P77" i="27"/>
  <c r="P71" i="27"/>
  <c r="P66" i="27"/>
  <c r="P65" i="27"/>
  <c r="P60" i="27"/>
  <c r="P59" i="27"/>
  <c r="P54" i="27"/>
  <c r="P43" i="27"/>
  <c r="P36" i="27"/>
  <c r="P19" i="27"/>
  <c r="P15" i="27"/>
  <c r="K37" i="45"/>
  <c r="O77" i="27"/>
  <c r="O71" i="27"/>
  <c r="O66" i="27"/>
  <c r="O65" i="27"/>
  <c r="O60" i="27"/>
  <c r="O59" i="27"/>
  <c r="O54" i="27"/>
  <c r="O43" i="27"/>
  <c r="O28" i="27"/>
  <c r="O19" i="27"/>
  <c r="O15" i="27"/>
  <c r="N65" i="27"/>
  <c r="N60" i="27"/>
  <c r="N59" i="27"/>
  <c r="N54" i="27"/>
  <c r="N43" i="27"/>
  <c r="N28" i="27"/>
  <c r="N19" i="27"/>
  <c r="N15" i="27"/>
  <c r="M77" i="27"/>
  <c r="M66" i="27"/>
  <c r="M65" i="27"/>
  <c r="M60" i="27"/>
  <c r="M59" i="27"/>
  <c r="M54" i="27"/>
  <c r="M43" i="27"/>
  <c r="M28" i="27"/>
  <c r="M19" i="27"/>
  <c r="M15" i="27"/>
  <c r="L77" i="27"/>
  <c r="L71" i="27"/>
  <c r="L66" i="27"/>
  <c r="L65" i="27"/>
  <c r="L60" i="27"/>
  <c r="L54" i="27"/>
  <c r="L43" i="27"/>
  <c r="L28" i="27"/>
  <c r="L19" i="27"/>
  <c r="L15" i="27"/>
  <c r="K77" i="27"/>
  <c r="K71" i="27"/>
  <c r="K66" i="27"/>
  <c r="K65" i="27"/>
  <c r="K60" i="27"/>
  <c r="K59" i="27"/>
  <c r="K54" i="27"/>
  <c r="K43" i="27"/>
  <c r="K28" i="27"/>
  <c r="K19" i="27"/>
  <c r="K15" i="27"/>
  <c r="K30" i="27" s="1"/>
  <c r="J71" i="27"/>
  <c r="J66" i="27"/>
  <c r="J65" i="27"/>
  <c r="J60" i="27"/>
  <c r="J59" i="27"/>
  <c r="J54" i="27"/>
  <c r="J43" i="27"/>
  <c r="J28" i="27"/>
  <c r="J19" i="27"/>
  <c r="J15" i="27"/>
  <c r="I71" i="27"/>
  <c r="I66" i="27"/>
  <c r="I65" i="27"/>
  <c r="I60" i="27"/>
  <c r="I54" i="27"/>
  <c r="I19" i="27"/>
  <c r="I43" i="27"/>
  <c r="I28" i="27"/>
  <c r="I15" i="27"/>
  <c r="H77" i="27"/>
  <c r="H71" i="27"/>
  <c r="H66" i="27"/>
  <c r="H65" i="27"/>
  <c r="H60" i="27"/>
  <c r="H59" i="27"/>
  <c r="H54" i="27"/>
  <c r="H53" i="27"/>
  <c r="H48" i="27"/>
  <c r="H47" i="27"/>
  <c r="H17" i="27" s="1"/>
  <c r="H19" i="27" s="1"/>
  <c r="H43" i="27"/>
  <c r="H36" i="27"/>
  <c r="H28" i="27"/>
  <c r="H15" i="27"/>
  <c r="G71" i="27"/>
  <c r="G66" i="27"/>
  <c r="G54" i="27"/>
  <c r="G43" i="27"/>
  <c r="G36" i="27"/>
  <c r="G28" i="27"/>
  <c r="G15" i="27"/>
  <c r="F18" i="27"/>
  <c r="F66" i="27"/>
  <c r="F65" i="27"/>
  <c r="F54" i="27"/>
  <c r="F15" i="27"/>
  <c r="F28" i="27"/>
  <c r="F36" i="27"/>
  <c r="F43" i="27"/>
  <c r="E15" i="27"/>
  <c r="E28" i="27"/>
  <c r="E36" i="27"/>
  <c r="E43" i="27"/>
  <c r="D77" i="27"/>
  <c r="D71" i="27"/>
  <c r="D66" i="27"/>
  <c r="D65" i="27"/>
  <c r="D60" i="27"/>
  <c r="D59" i="27"/>
  <c r="D54" i="27"/>
  <c r="D53" i="27"/>
  <c r="D48" i="27"/>
  <c r="D47" i="27"/>
  <c r="D6" i="27" s="1"/>
  <c r="D15" i="27"/>
  <c r="D19" i="27"/>
  <c r="D28" i="27"/>
  <c r="D36" i="27"/>
  <c r="D43" i="27"/>
  <c r="C71" i="27"/>
  <c r="C66" i="27"/>
  <c r="C54" i="27"/>
  <c r="C43" i="27"/>
  <c r="C36" i="27"/>
  <c r="C28" i="27"/>
  <c r="C19" i="27"/>
  <c r="C15" i="27"/>
  <c r="K37" i="46"/>
  <c r="C37" i="46"/>
  <c r="E19" i="46"/>
  <c r="D19" i="46"/>
  <c r="C19" i="46"/>
  <c r="M31" i="46"/>
  <c r="L31" i="46"/>
  <c r="K31" i="46"/>
  <c r="M26" i="46"/>
  <c r="L26" i="46"/>
  <c r="K26" i="46"/>
  <c r="M20" i="46"/>
  <c r="L20" i="46"/>
  <c r="K20" i="46"/>
  <c r="L19" i="46"/>
  <c r="K19" i="46"/>
  <c r="M19" i="46"/>
  <c r="K37" i="43"/>
  <c r="L31" i="43"/>
  <c r="M31" i="43"/>
  <c r="K31" i="43"/>
  <c r="L20" i="43"/>
  <c r="L19" i="43"/>
  <c r="C37" i="43"/>
  <c r="M26" i="43"/>
  <c r="L26" i="43"/>
  <c r="K26" i="43"/>
  <c r="K20" i="43"/>
  <c r="K19" i="43"/>
  <c r="E19" i="43"/>
  <c r="M19" i="43" s="1"/>
  <c r="C7" i="48"/>
  <c r="D7" i="48" s="1"/>
  <c r="C8" i="48"/>
  <c r="C19" i="48"/>
  <c r="M31" i="48"/>
  <c r="L31" i="48"/>
  <c r="K31" i="48"/>
  <c r="M26" i="48"/>
  <c r="L26" i="48"/>
  <c r="K26" i="48"/>
  <c r="M20" i="48"/>
  <c r="L20" i="48"/>
  <c r="K20" i="48"/>
  <c r="D19" i="48"/>
  <c r="M14" i="48"/>
  <c r="L14" i="48"/>
  <c r="K14" i="48"/>
  <c r="K7" i="48"/>
  <c r="E7" i="44"/>
  <c r="D7" i="44"/>
  <c r="C7" i="44"/>
  <c r="C8" i="44" s="1"/>
  <c r="K37" i="44"/>
  <c r="C37" i="44"/>
  <c r="E19" i="44"/>
  <c r="D19" i="44"/>
  <c r="C19" i="44"/>
  <c r="M31" i="44"/>
  <c r="L31" i="44"/>
  <c r="K31" i="44"/>
  <c r="M26" i="44"/>
  <c r="L26" i="44"/>
  <c r="K26" i="44"/>
  <c r="M20" i="44"/>
  <c r="L20" i="44"/>
  <c r="K20" i="44"/>
  <c r="M19" i="44"/>
  <c r="L19" i="44"/>
  <c r="K19" i="44"/>
  <c r="M14" i="44"/>
  <c r="L14" i="44"/>
  <c r="K14" i="44"/>
  <c r="K37" i="47"/>
  <c r="C37" i="47"/>
  <c r="C20" i="47"/>
  <c r="C50" i="47"/>
  <c r="D50" i="47" s="1"/>
  <c r="E26" i="47"/>
  <c r="M26" i="47" s="1"/>
  <c r="L26" i="47"/>
  <c r="AJ66" i="27" s="1"/>
  <c r="C26" i="47"/>
  <c r="K26" i="47" s="1"/>
  <c r="M25" i="47"/>
  <c r="L25" i="47"/>
  <c r="K25" i="47"/>
  <c r="L19" i="47"/>
  <c r="K19" i="47"/>
  <c r="E19" i="47"/>
  <c r="M19" i="47" s="1"/>
  <c r="D19" i="47"/>
  <c r="C19" i="47"/>
  <c r="E50" i="45"/>
  <c r="D50" i="45"/>
  <c r="C37" i="45"/>
  <c r="D20" i="45"/>
  <c r="L20" i="45" s="1"/>
  <c r="C50" i="45"/>
  <c r="C20" i="45" s="1"/>
  <c r="K20" i="45" s="1"/>
  <c r="E26" i="45"/>
  <c r="M26" i="45" s="1"/>
  <c r="D26" i="45"/>
  <c r="L26" i="45" s="1"/>
  <c r="C26" i="45"/>
  <c r="K26" i="45" s="1"/>
  <c r="M25" i="45"/>
  <c r="L25" i="45"/>
  <c r="K25" i="45"/>
  <c r="E20" i="45"/>
  <c r="M20" i="45" s="1"/>
  <c r="M19" i="45"/>
  <c r="E19" i="45"/>
  <c r="D19" i="45"/>
  <c r="L19" i="45" s="1"/>
  <c r="C19" i="45"/>
  <c r="K19" i="45" s="1"/>
  <c r="E7" i="45"/>
  <c r="I15" i="49" s="1"/>
  <c r="D7" i="45"/>
  <c r="L7" i="45" s="1"/>
  <c r="L13" i="45" s="1"/>
  <c r="AI53" i="27" s="1"/>
  <c r="E26" i="42"/>
  <c r="M26" i="42" s="1"/>
  <c r="D26" i="42"/>
  <c r="L26" i="42" s="1"/>
  <c r="C26" i="42"/>
  <c r="K26" i="42" s="1"/>
  <c r="N66" i="27" s="1"/>
  <c r="M25" i="42"/>
  <c r="L25" i="42"/>
  <c r="K25" i="42"/>
  <c r="E20" i="42"/>
  <c r="M20" i="42" s="1"/>
  <c r="D20" i="42"/>
  <c r="L20" i="42" s="1"/>
  <c r="C20" i="42"/>
  <c r="K20" i="42" s="1"/>
  <c r="M19" i="42"/>
  <c r="L19" i="42"/>
  <c r="K19" i="42"/>
  <c r="E19" i="42"/>
  <c r="D19" i="42"/>
  <c r="C19" i="42"/>
  <c r="L7" i="42"/>
  <c r="D7" i="41"/>
  <c r="E7" i="41"/>
  <c r="E26" i="41"/>
  <c r="M26" i="41" s="1"/>
  <c r="D26" i="41"/>
  <c r="L26" i="41" s="1"/>
  <c r="C26" i="41"/>
  <c r="K26" i="41" s="1"/>
  <c r="M25" i="41"/>
  <c r="L25" i="41"/>
  <c r="K25" i="41"/>
  <c r="E20" i="41"/>
  <c r="M20" i="41" s="1"/>
  <c r="D20" i="41"/>
  <c r="L20" i="41" s="1"/>
  <c r="C20" i="41"/>
  <c r="K20" i="41" s="1"/>
  <c r="M19" i="41"/>
  <c r="K19" i="41"/>
  <c r="E19" i="41"/>
  <c r="D19" i="41"/>
  <c r="L19" i="41" s="1"/>
  <c r="C19" i="41"/>
  <c r="L25" i="34"/>
  <c r="M25" i="34"/>
  <c r="K25" i="34"/>
  <c r="E25" i="34"/>
  <c r="D25" i="34"/>
  <c r="C25" i="34"/>
  <c r="M26" i="40"/>
  <c r="L26" i="40"/>
  <c r="K26" i="40"/>
  <c r="M25" i="40"/>
  <c r="L25" i="40"/>
  <c r="K25" i="40"/>
  <c r="M26" i="38"/>
  <c r="L26" i="38"/>
  <c r="K26" i="38"/>
  <c r="M25" i="38"/>
  <c r="L25" i="38"/>
  <c r="K25" i="38"/>
  <c r="E31" i="40"/>
  <c r="M31" i="40" s="1"/>
  <c r="D31" i="40"/>
  <c r="L31" i="40" s="1"/>
  <c r="C31" i="40"/>
  <c r="K31" i="40" s="1"/>
  <c r="K37" i="40" s="1"/>
  <c r="E26" i="40"/>
  <c r="D26" i="40"/>
  <c r="C26" i="40"/>
  <c r="E20" i="40"/>
  <c r="M20" i="40" s="1"/>
  <c r="D20" i="40"/>
  <c r="L20" i="40" s="1"/>
  <c r="C20" i="40"/>
  <c r="K20" i="40" s="1"/>
  <c r="E19" i="40"/>
  <c r="M19" i="40" s="1"/>
  <c r="D19" i="40"/>
  <c r="L19" i="40" s="1"/>
  <c r="AF59" i="27" s="1"/>
  <c r="C19" i="40"/>
  <c r="K19" i="40" s="1"/>
  <c r="L59" i="27" s="1"/>
  <c r="K37" i="38"/>
  <c r="L31" i="38"/>
  <c r="M31" i="38"/>
  <c r="K31" i="38"/>
  <c r="K26" i="37"/>
  <c r="L26" i="37"/>
  <c r="M26" i="37"/>
  <c r="L25" i="37"/>
  <c r="M25" i="37"/>
  <c r="K25" i="37"/>
  <c r="K26" i="39"/>
  <c r="L26" i="39"/>
  <c r="M26" i="39"/>
  <c r="L25" i="39"/>
  <c r="M25" i="39"/>
  <c r="K25" i="39"/>
  <c r="E46" i="38"/>
  <c r="D46" i="38"/>
  <c r="C46" i="38"/>
  <c r="C37" i="38"/>
  <c r="D31" i="38"/>
  <c r="E31" i="38"/>
  <c r="C54" i="38"/>
  <c r="C31" i="38" s="1"/>
  <c r="E26" i="38"/>
  <c r="D26" i="38"/>
  <c r="C26" i="38"/>
  <c r="E20" i="38"/>
  <c r="M20" i="38" s="1"/>
  <c r="D20" i="38"/>
  <c r="L20" i="38" s="1"/>
  <c r="C20" i="38"/>
  <c r="E19" i="38"/>
  <c r="M19" i="38" s="1"/>
  <c r="D19" i="38"/>
  <c r="L19" i="38" s="1"/>
  <c r="C19" i="38"/>
  <c r="K19" i="38" s="1"/>
  <c r="E7" i="38"/>
  <c r="D7" i="38"/>
  <c r="E31" i="39"/>
  <c r="D31" i="39"/>
  <c r="C31" i="39"/>
  <c r="E26" i="39"/>
  <c r="D26" i="39"/>
  <c r="C26" i="39"/>
  <c r="E20" i="39"/>
  <c r="M20" i="39" s="1"/>
  <c r="D20" i="39"/>
  <c r="L20" i="39" s="1"/>
  <c r="C20" i="39"/>
  <c r="E19" i="39"/>
  <c r="M19" i="39" s="1"/>
  <c r="D19" i="39"/>
  <c r="L19" i="39" s="1"/>
  <c r="C19" i="39"/>
  <c r="K19" i="39" s="1"/>
  <c r="E7" i="39"/>
  <c r="I10" i="49" s="1"/>
  <c r="D7" i="39"/>
  <c r="D13" i="39" s="1"/>
  <c r="D31" i="37"/>
  <c r="E31" i="37"/>
  <c r="C31" i="37"/>
  <c r="D26" i="37"/>
  <c r="E26" i="37"/>
  <c r="C26" i="37"/>
  <c r="D20" i="37"/>
  <c r="E20" i="37"/>
  <c r="C20" i="37"/>
  <c r="D19" i="37"/>
  <c r="E19" i="37"/>
  <c r="C19" i="37"/>
  <c r="C37" i="37" s="1"/>
  <c r="D7" i="37"/>
  <c r="E7" i="37"/>
  <c r="K19" i="37"/>
  <c r="I59" i="27" s="1"/>
  <c r="M25" i="36"/>
  <c r="L25" i="36"/>
  <c r="K25" i="36"/>
  <c r="D13" i="36"/>
  <c r="L13" i="36" s="1"/>
  <c r="E13" i="36"/>
  <c r="C13" i="36"/>
  <c r="K13" i="36" s="1"/>
  <c r="E8" i="36"/>
  <c r="M8" i="36" s="1"/>
  <c r="D8" i="36"/>
  <c r="C8" i="36"/>
  <c r="K8" i="36" s="1"/>
  <c r="E25" i="36"/>
  <c r="D25" i="36"/>
  <c r="C25" i="36"/>
  <c r="M31" i="36"/>
  <c r="L31" i="36"/>
  <c r="K31" i="36"/>
  <c r="M26" i="36"/>
  <c r="L26" i="36"/>
  <c r="K26" i="36"/>
  <c r="C37" i="36"/>
  <c r="M20" i="36"/>
  <c r="L20" i="36"/>
  <c r="K20" i="36"/>
  <c r="M19" i="36"/>
  <c r="L19" i="36"/>
  <c r="K19" i="36"/>
  <c r="K14" i="36"/>
  <c r="M14" i="36"/>
  <c r="L14" i="36"/>
  <c r="M13" i="36"/>
  <c r="L8" i="36"/>
  <c r="M7" i="36"/>
  <c r="L7" i="36"/>
  <c r="K7" i="36"/>
  <c r="E7" i="36"/>
  <c r="D7" i="36"/>
  <c r="C7" i="36"/>
  <c r="C20" i="35"/>
  <c r="C19" i="35"/>
  <c r="O6" i="12"/>
  <c r="O7" i="12"/>
  <c r="O8" i="12"/>
  <c r="O9" i="12"/>
  <c r="O10" i="12"/>
  <c r="O11" i="12"/>
  <c r="O12" i="12"/>
  <c r="O13" i="12"/>
  <c r="O14" i="12"/>
  <c r="O15" i="12"/>
  <c r="O5" i="12"/>
  <c r="D5" i="12"/>
  <c r="E5" i="12"/>
  <c r="F5" i="12"/>
  <c r="G5" i="12"/>
  <c r="H5" i="12"/>
  <c r="I5" i="12"/>
  <c r="J5" i="12"/>
  <c r="K5" i="12"/>
  <c r="L5" i="12"/>
  <c r="M5" i="12"/>
  <c r="N5" i="12"/>
  <c r="C5" i="12"/>
  <c r="D11" i="27" l="1"/>
  <c r="D50" i="27"/>
  <c r="R50" i="27"/>
  <c r="AM30" i="27"/>
  <c r="M25" i="54"/>
  <c r="M13" i="49"/>
  <c r="M23" i="54"/>
  <c r="M11" i="49"/>
  <c r="M33" i="54"/>
  <c r="M19" i="49"/>
  <c r="BG50" i="27"/>
  <c r="BG51" i="27" s="1"/>
  <c r="AB50" i="27"/>
  <c r="AB51" i="27" s="1"/>
  <c r="M32" i="54"/>
  <c r="M18" i="49"/>
  <c r="M34" i="54"/>
  <c r="M20" i="49"/>
  <c r="AL50" i="27"/>
  <c r="D56" i="27"/>
  <c r="D62" i="27" s="1"/>
  <c r="S30" i="27"/>
  <c r="AM50" i="27"/>
  <c r="AM56" i="27" s="1"/>
  <c r="BF50" i="27"/>
  <c r="BF56" i="27" s="1"/>
  <c r="M20" i="54"/>
  <c r="M8" i="49"/>
  <c r="M24" i="54"/>
  <c r="M12" i="49"/>
  <c r="M30" i="54"/>
  <c r="M35" i="54"/>
  <c r="M21" i="49"/>
  <c r="M6" i="54"/>
  <c r="M4" i="49"/>
  <c r="BG30" i="27"/>
  <c r="D5" i="27"/>
  <c r="BC30" i="27"/>
  <c r="M29" i="54"/>
  <c r="M15" i="49"/>
  <c r="L65" i="51"/>
  <c r="L65" i="26"/>
  <c r="E65" i="51" s="1"/>
  <c r="E31" i="42"/>
  <c r="E15" i="52"/>
  <c r="K15" i="52" s="1"/>
  <c r="K44" i="52" s="1"/>
  <c r="D13" i="41"/>
  <c r="D15" i="52"/>
  <c r="D13" i="37"/>
  <c r="D13" i="52"/>
  <c r="D13" i="38"/>
  <c r="E13" i="52"/>
  <c r="K13" i="52" s="1"/>
  <c r="K40" i="52" s="1"/>
  <c r="D31" i="42"/>
  <c r="M8" i="42"/>
  <c r="BB48" i="27" s="1"/>
  <c r="D8" i="45"/>
  <c r="L8" i="45" s="1"/>
  <c r="AI48" i="27" s="1"/>
  <c r="E8" i="45"/>
  <c r="M8" i="45" s="1"/>
  <c r="BC48" i="27" s="1"/>
  <c r="AI47" i="27"/>
  <c r="AI34" i="27" s="1"/>
  <c r="AI36" i="27" s="1"/>
  <c r="E13" i="38"/>
  <c r="I11" i="49"/>
  <c r="D13" i="45"/>
  <c r="E13" i="45"/>
  <c r="M7" i="41"/>
  <c r="I13" i="49"/>
  <c r="E8" i="37"/>
  <c r="M8" i="37" s="1"/>
  <c r="AW48" i="27" s="1"/>
  <c r="I9" i="49"/>
  <c r="D8" i="41"/>
  <c r="L8" i="41" s="1"/>
  <c r="AG48" i="27" s="1"/>
  <c r="D31" i="41"/>
  <c r="L8" i="42"/>
  <c r="AH48" i="27" s="1"/>
  <c r="M7" i="42"/>
  <c r="I14" i="49"/>
  <c r="E13" i="42"/>
  <c r="L13" i="42"/>
  <c r="AH53" i="27" s="1"/>
  <c r="L31" i="42"/>
  <c r="AH71" i="27" s="1"/>
  <c r="D13" i="42"/>
  <c r="AH47" i="27"/>
  <c r="E31" i="41"/>
  <c r="E8" i="41"/>
  <c r="M8" i="41" s="1"/>
  <c r="BA48" i="27" s="1"/>
  <c r="E13" i="41"/>
  <c r="C37" i="39"/>
  <c r="E13" i="37"/>
  <c r="M30" i="27"/>
  <c r="AC30" i="27"/>
  <c r="AD30" i="27"/>
  <c r="AW30" i="27"/>
  <c r="I30" i="27"/>
  <c r="AE30" i="27"/>
  <c r="AX30" i="27"/>
  <c r="BA30" i="27"/>
  <c r="L30" i="27"/>
  <c r="AH30" i="27"/>
  <c r="AI30" i="27"/>
  <c r="BB30" i="27"/>
  <c r="O30" i="27"/>
  <c r="AG30" i="27"/>
  <c r="AZ30" i="27"/>
  <c r="BF30" i="27"/>
  <c r="BF45" i="27" s="1"/>
  <c r="J30" i="27"/>
  <c r="N30" i="27"/>
  <c r="AV50" i="27"/>
  <c r="AV51" i="27" s="1"/>
  <c r="AV30" i="27"/>
  <c r="AV45" i="27" s="1"/>
  <c r="BG39" i="27"/>
  <c r="BG43" i="27" s="1"/>
  <c r="AR51" i="27"/>
  <c r="AR56" i="27"/>
  <c r="AR5" i="27"/>
  <c r="AR11" i="27"/>
  <c r="AR30" i="27" s="1"/>
  <c r="AR45" i="27" s="1"/>
  <c r="AR6" i="27"/>
  <c r="AL56" i="27"/>
  <c r="AL51" i="27"/>
  <c r="AM45" i="27"/>
  <c r="AB30" i="27"/>
  <c r="AB45" i="27" s="1"/>
  <c r="X6" i="27"/>
  <c r="X50" i="27"/>
  <c r="X11" i="27"/>
  <c r="X30" i="27" s="1"/>
  <c r="X45" i="27" s="1"/>
  <c r="X5" i="27"/>
  <c r="AL30" i="27"/>
  <c r="AL45" i="27" s="1"/>
  <c r="S56" i="27"/>
  <c r="S51" i="27"/>
  <c r="S43" i="27"/>
  <c r="R56" i="27"/>
  <c r="R51" i="27"/>
  <c r="H50" i="27"/>
  <c r="H51" i="27" s="1"/>
  <c r="H56" i="27"/>
  <c r="H30" i="27"/>
  <c r="H45" i="27" s="1"/>
  <c r="D51" i="27"/>
  <c r="D30" i="27"/>
  <c r="D45" i="27" s="1"/>
  <c r="C13" i="48"/>
  <c r="K13" i="48" s="1"/>
  <c r="E19" i="48"/>
  <c r="M19" i="48" s="1"/>
  <c r="L19" i="48"/>
  <c r="K8" i="48"/>
  <c r="K10" i="48" s="1"/>
  <c r="K19" i="48"/>
  <c r="K37" i="48" s="1"/>
  <c r="C37" i="48"/>
  <c r="E8" i="44"/>
  <c r="M8" i="44" s="1"/>
  <c r="E13" i="44"/>
  <c r="C13" i="44"/>
  <c r="D8" i="44"/>
  <c r="D13" i="44"/>
  <c r="K8" i="44"/>
  <c r="K7" i="44"/>
  <c r="K13" i="44"/>
  <c r="L7" i="44"/>
  <c r="L13" i="44"/>
  <c r="C10" i="44"/>
  <c r="E10" i="44"/>
  <c r="M13" i="44"/>
  <c r="K10" i="44"/>
  <c r="L8" i="44"/>
  <c r="M7" i="44"/>
  <c r="E50" i="47"/>
  <c r="M20" i="47" s="1"/>
  <c r="BD60" i="27" s="1"/>
  <c r="L20" i="47"/>
  <c r="AJ60" i="27" s="1"/>
  <c r="K20" i="47"/>
  <c r="M7" i="45"/>
  <c r="L7" i="41"/>
  <c r="C37" i="40"/>
  <c r="E7" i="40"/>
  <c r="I12" i="49" s="1"/>
  <c r="D7" i="40"/>
  <c r="D14" i="52" s="1"/>
  <c r="E8" i="38"/>
  <c r="E10" i="38" s="1"/>
  <c r="D8" i="38"/>
  <c r="L8" i="38" s="1"/>
  <c r="AE48" i="27" s="1"/>
  <c r="K20" i="38"/>
  <c r="L7" i="38"/>
  <c r="M7" i="38"/>
  <c r="E8" i="39"/>
  <c r="M8" i="39" s="1"/>
  <c r="AX48" i="27" s="1"/>
  <c r="E13" i="39"/>
  <c r="D8" i="39"/>
  <c r="L8" i="39" s="1"/>
  <c r="AD48" i="27" s="1"/>
  <c r="M7" i="39"/>
  <c r="AX47" i="27" s="1"/>
  <c r="AX32" i="27" s="1"/>
  <c r="AX36" i="27" s="1"/>
  <c r="K20" i="39"/>
  <c r="K37" i="39" s="1"/>
  <c r="J77" i="27" s="1"/>
  <c r="L7" i="39"/>
  <c r="AD47" i="27" s="1"/>
  <c r="AD32" i="27" s="1"/>
  <c r="AD36" i="27" s="1"/>
  <c r="D8" i="37"/>
  <c r="L8" i="37" s="1"/>
  <c r="AC48" i="27" s="1"/>
  <c r="L7" i="37"/>
  <c r="AC47" i="27" s="1"/>
  <c r="AC32" i="27" s="1"/>
  <c r="AC36" i="27" s="1"/>
  <c r="M7" i="37"/>
  <c r="AW47" i="27" s="1"/>
  <c r="AW32" i="27" s="1"/>
  <c r="AW36" i="27" s="1"/>
  <c r="K20" i="37"/>
  <c r="I77" i="27" s="1"/>
  <c r="K37" i="36"/>
  <c r="E10" i="36"/>
  <c r="M10" i="36"/>
  <c r="L10" i="36"/>
  <c r="D10" i="36"/>
  <c r="C10" i="36"/>
  <c r="C11" i="36"/>
  <c r="C16" i="36"/>
  <c r="D11" i="36"/>
  <c r="D16" i="36"/>
  <c r="E11" i="36"/>
  <c r="E16" i="36"/>
  <c r="L11" i="36"/>
  <c r="L16" i="36"/>
  <c r="M16" i="36"/>
  <c r="M11" i="36"/>
  <c r="K10" i="36"/>
  <c r="BG45" i="27" l="1"/>
  <c r="D57" i="27"/>
  <c r="AM51" i="27"/>
  <c r="S45" i="27"/>
  <c r="AB56" i="27"/>
  <c r="AB57" i="27" s="1"/>
  <c r="BG56" i="27"/>
  <c r="G33" i="54"/>
  <c r="G19" i="49"/>
  <c r="G20" i="54"/>
  <c r="G8" i="49"/>
  <c r="AC45" i="27"/>
  <c r="BF51" i="27"/>
  <c r="H20" i="54"/>
  <c r="H8" i="49"/>
  <c r="M21" i="54"/>
  <c r="M9" i="49"/>
  <c r="M22" i="54"/>
  <c r="M10" i="49"/>
  <c r="G6" i="54"/>
  <c r="G4" i="49"/>
  <c r="H32" i="54"/>
  <c r="H18" i="49"/>
  <c r="H6" i="54"/>
  <c r="H4" i="49"/>
  <c r="H33" i="54"/>
  <c r="H19" i="49"/>
  <c r="AD45" i="27"/>
  <c r="M10" i="42"/>
  <c r="J15" i="52"/>
  <c r="L58" i="52"/>
  <c r="K58" i="52"/>
  <c r="L60" i="52"/>
  <c r="L10" i="45"/>
  <c r="L11" i="45" s="1"/>
  <c r="D17" i="52"/>
  <c r="L10" i="42"/>
  <c r="L11" i="42" s="1"/>
  <c r="D10" i="45"/>
  <c r="D11" i="45" s="1"/>
  <c r="AI45" i="27"/>
  <c r="E10" i="42"/>
  <c r="E11" i="42" s="1"/>
  <c r="E14" i="52"/>
  <c r="AI50" i="27"/>
  <c r="AI51" i="27" s="1"/>
  <c r="M10" i="41"/>
  <c r="M11" i="41" s="1"/>
  <c r="AX45" i="27"/>
  <c r="D10" i="42"/>
  <c r="D11" i="42" s="1"/>
  <c r="E10" i="45"/>
  <c r="E11" i="45" s="1"/>
  <c r="D10" i="37"/>
  <c r="D11" i="37" s="1"/>
  <c r="M31" i="41"/>
  <c r="BA71" i="27" s="1"/>
  <c r="M13" i="38"/>
  <c r="AY53" i="27" s="1"/>
  <c r="AY47" i="27"/>
  <c r="BA47" i="27"/>
  <c r="BA50" i="27" s="1"/>
  <c r="M8" i="38"/>
  <c r="AY48" i="27" s="1"/>
  <c r="M13" i="41"/>
  <c r="BA53" i="27" s="1"/>
  <c r="BB47" i="27"/>
  <c r="L13" i="38"/>
  <c r="AE53" i="27" s="1"/>
  <c r="AE47" i="27"/>
  <c r="D10" i="41"/>
  <c r="D11" i="41" s="1"/>
  <c r="M31" i="42"/>
  <c r="BB71" i="27" s="1"/>
  <c r="M13" i="42"/>
  <c r="BB53" i="27" s="1"/>
  <c r="E10" i="41"/>
  <c r="E16" i="41" s="1"/>
  <c r="M13" i="45"/>
  <c r="BC53" i="27" s="1"/>
  <c r="BC47" i="27"/>
  <c r="L16" i="42"/>
  <c r="L22" i="42" s="1"/>
  <c r="AH50" i="27"/>
  <c r="AH34" i="27"/>
  <c r="AH36" i="27" s="1"/>
  <c r="AH45" i="27" s="1"/>
  <c r="AG47" i="27"/>
  <c r="L13" i="41"/>
  <c r="AG53" i="27" s="1"/>
  <c r="L31" i="41"/>
  <c r="AG71" i="27" s="1"/>
  <c r="AD50" i="27"/>
  <c r="AD51" i="27" s="1"/>
  <c r="AX50" i="27"/>
  <c r="AX51" i="27" s="1"/>
  <c r="AW50" i="27"/>
  <c r="AW51" i="27" s="1"/>
  <c r="AC50" i="27"/>
  <c r="AC51" i="27" s="1"/>
  <c r="AW45" i="27"/>
  <c r="BG62" i="27"/>
  <c r="BG57" i="27"/>
  <c r="AV56" i="27"/>
  <c r="BF62" i="27"/>
  <c r="BF57" i="27"/>
  <c r="AR57" i="27"/>
  <c r="AR62" i="27"/>
  <c r="AV57" i="27"/>
  <c r="AV62" i="27"/>
  <c r="AL62" i="27"/>
  <c r="AL57" i="27"/>
  <c r="AM62" i="27"/>
  <c r="AM57" i="27"/>
  <c r="X51" i="27"/>
  <c r="X56" i="27"/>
  <c r="S62" i="27"/>
  <c r="S57" i="27"/>
  <c r="R57" i="27"/>
  <c r="R62" i="27"/>
  <c r="R30" i="27"/>
  <c r="R45" i="27" s="1"/>
  <c r="H57" i="27"/>
  <c r="H62" i="27"/>
  <c r="D63" i="27"/>
  <c r="D68" i="27"/>
  <c r="M20" i="43"/>
  <c r="D13" i="48"/>
  <c r="D8" i="48"/>
  <c r="K16" i="48"/>
  <c r="K11" i="48"/>
  <c r="L8" i="48"/>
  <c r="L13" i="48"/>
  <c r="E7" i="48"/>
  <c r="D10" i="48"/>
  <c r="L7" i="48"/>
  <c r="L10" i="48" s="1"/>
  <c r="C10" i="48"/>
  <c r="D10" i="44"/>
  <c r="K16" i="44"/>
  <c r="K11" i="44"/>
  <c r="E11" i="44"/>
  <c r="E16" i="44"/>
  <c r="M10" i="44"/>
  <c r="C11" i="44"/>
  <c r="C16" i="44"/>
  <c r="L10" i="44"/>
  <c r="M10" i="45"/>
  <c r="M11" i="45" s="1"/>
  <c r="L16" i="45"/>
  <c r="D16" i="45"/>
  <c r="E16" i="45"/>
  <c r="M11" i="42"/>
  <c r="E16" i="42"/>
  <c r="L10" i="41"/>
  <c r="D8" i="40"/>
  <c r="L8" i="40" s="1"/>
  <c r="AF48" i="27" s="1"/>
  <c r="D13" i="40"/>
  <c r="L7" i="40"/>
  <c r="AF47" i="27" s="1"/>
  <c r="AF33" i="27" s="1"/>
  <c r="AF36" i="27" s="1"/>
  <c r="AF45" i="27" s="1"/>
  <c r="E13" i="40"/>
  <c r="M7" i="40"/>
  <c r="AZ47" i="27" s="1"/>
  <c r="E8" i="40"/>
  <c r="M8" i="40" s="1"/>
  <c r="AZ48" i="27" s="1"/>
  <c r="L10" i="38"/>
  <c r="D10" i="38"/>
  <c r="E11" i="38"/>
  <c r="E16" i="38"/>
  <c r="D10" i="39"/>
  <c r="M10" i="39"/>
  <c r="M13" i="39"/>
  <c r="AX53" i="27" s="1"/>
  <c r="L10" i="39"/>
  <c r="L13" i="39"/>
  <c r="AD53" i="27" s="1"/>
  <c r="E10" i="39"/>
  <c r="M10" i="37"/>
  <c r="M13" i="37"/>
  <c r="AW53" i="27" s="1"/>
  <c r="L10" i="37"/>
  <c r="L13" i="37"/>
  <c r="AC53" i="27" s="1"/>
  <c r="E10" i="37"/>
  <c r="L20" i="37"/>
  <c r="M20" i="37"/>
  <c r="L19" i="37"/>
  <c r="AC59" i="27" s="1"/>
  <c r="M19" i="37"/>
  <c r="AW59" i="27" s="1"/>
  <c r="K11" i="36"/>
  <c r="K16" i="36"/>
  <c r="M17" i="36"/>
  <c r="M22" i="36"/>
  <c r="D17" i="36"/>
  <c r="D22" i="36"/>
  <c r="L17" i="36"/>
  <c r="L22" i="36"/>
  <c r="E17" i="36"/>
  <c r="E22" i="36"/>
  <c r="C17" i="36"/>
  <c r="C22" i="36"/>
  <c r="AB62" i="27" l="1"/>
  <c r="H10" i="49"/>
  <c r="H22" i="54"/>
  <c r="AC56" i="27"/>
  <c r="J6" i="54"/>
  <c r="J4" i="49"/>
  <c r="G32" i="54"/>
  <c r="G18" i="49"/>
  <c r="BA34" i="27"/>
  <c r="BA36" i="27" s="1"/>
  <c r="BA45" i="27" s="1"/>
  <c r="AW56" i="27"/>
  <c r="AW57" i="27" s="1"/>
  <c r="H9" i="49"/>
  <c r="H21" i="54"/>
  <c r="J44" i="52"/>
  <c r="J17" i="52"/>
  <c r="E17" i="52"/>
  <c r="K14" i="52"/>
  <c r="AI56" i="27"/>
  <c r="D16" i="42"/>
  <c r="M10" i="38"/>
  <c r="D10" i="40"/>
  <c r="D16" i="37"/>
  <c r="AI57" i="27"/>
  <c r="AI62" i="27"/>
  <c r="BB50" i="27"/>
  <c r="BB34" i="27"/>
  <c r="BB36" i="27" s="1"/>
  <c r="BB45" i="27" s="1"/>
  <c r="D16" i="41"/>
  <c r="D22" i="41" s="1"/>
  <c r="BC50" i="27"/>
  <c r="BC34" i="27"/>
  <c r="BC36" i="27" s="1"/>
  <c r="BC45" i="27" s="1"/>
  <c r="AE50" i="27"/>
  <c r="AE33" i="27"/>
  <c r="AE36" i="27" s="1"/>
  <c r="AE45" i="27" s="1"/>
  <c r="E11" i="41"/>
  <c r="AD56" i="27"/>
  <c r="AD62" i="27" s="1"/>
  <c r="M16" i="41"/>
  <c r="M22" i="41" s="1"/>
  <c r="M23" i="41" s="1"/>
  <c r="AY33" i="27"/>
  <c r="AY36" i="27" s="1"/>
  <c r="AY45" i="27" s="1"/>
  <c r="AY50" i="27"/>
  <c r="AX56" i="27"/>
  <c r="AX57" i="27" s="1"/>
  <c r="M16" i="42"/>
  <c r="M22" i="42" s="1"/>
  <c r="L17" i="42"/>
  <c r="AH51" i="27"/>
  <c r="AH56" i="27"/>
  <c r="BA56" i="27"/>
  <c r="BA51" i="27"/>
  <c r="AG50" i="27"/>
  <c r="AG34" i="27"/>
  <c r="AG36" i="27" s="1"/>
  <c r="AG45" i="27" s="1"/>
  <c r="AF50" i="27"/>
  <c r="AZ33" i="27"/>
  <c r="AZ36" i="27" s="1"/>
  <c r="AZ45" i="27" s="1"/>
  <c r="AZ50" i="27"/>
  <c r="BF63" i="27"/>
  <c r="BF68" i="27"/>
  <c r="BG68" i="27"/>
  <c r="BG63" i="27"/>
  <c r="AV68" i="27"/>
  <c r="AV63" i="27"/>
  <c r="AR63" i="27"/>
  <c r="AR68" i="27"/>
  <c r="AM68" i="27"/>
  <c r="AM63" i="27"/>
  <c r="AL68" i="27"/>
  <c r="AL63" i="27"/>
  <c r="AC62" i="27"/>
  <c r="AC57" i="27"/>
  <c r="X57" i="27"/>
  <c r="X62" i="27"/>
  <c r="AB68" i="27"/>
  <c r="AB63" i="27"/>
  <c r="S63" i="27"/>
  <c r="S68" i="27"/>
  <c r="R68" i="27"/>
  <c r="R63" i="27"/>
  <c r="H68" i="27"/>
  <c r="H63" i="27"/>
  <c r="D73" i="27"/>
  <c r="D74" i="27" s="1"/>
  <c r="D69" i="27"/>
  <c r="E13" i="48"/>
  <c r="E8" i="48"/>
  <c r="L16" i="48"/>
  <c r="L11" i="48"/>
  <c r="C16" i="48"/>
  <c r="C11" i="48"/>
  <c r="D11" i="48"/>
  <c r="D16" i="48"/>
  <c r="M7" i="48"/>
  <c r="M13" i="48"/>
  <c r="M8" i="48"/>
  <c r="K22" i="48"/>
  <c r="K17" i="48"/>
  <c r="L11" i="44"/>
  <c r="L16" i="44"/>
  <c r="C17" i="44"/>
  <c r="C22" i="44"/>
  <c r="M16" i="44"/>
  <c r="M11" i="44"/>
  <c r="E22" i="44"/>
  <c r="E17" i="44"/>
  <c r="K17" i="44"/>
  <c r="K22" i="44"/>
  <c r="D11" i="44"/>
  <c r="D16" i="44"/>
  <c r="E17" i="45"/>
  <c r="E22" i="45"/>
  <c r="D22" i="45"/>
  <c r="D17" i="45"/>
  <c r="M16" i="45"/>
  <c r="L17" i="45"/>
  <c r="L22" i="45"/>
  <c r="D17" i="42"/>
  <c r="D22" i="42"/>
  <c r="E17" i="42"/>
  <c r="E22" i="42"/>
  <c r="L23" i="42"/>
  <c r="L28" i="42"/>
  <c r="E17" i="41"/>
  <c r="E22" i="41"/>
  <c r="L16" i="41"/>
  <c r="L11" i="41"/>
  <c r="M10" i="40"/>
  <c r="M13" i="40"/>
  <c r="AZ53" i="27" s="1"/>
  <c r="L10" i="40"/>
  <c r="L13" i="40"/>
  <c r="AF53" i="27" s="1"/>
  <c r="D11" i="40"/>
  <c r="D16" i="40"/>
  <c r="E10" i="40"/>
  <c r="D11" i="38"/>
  <c r="D16" i="38"/>
  <c r="L16" i="38"/>
  <c r="L11" i="38"/>
  <c r="M16" i="38"/>
  <c r="M11" i="38"/>
  <c r="E17" i="38"/>
  <c r="E22" i="38"/>
  <c r="L11" i="39"/>
  <c r="L16" i="39"/>
  <c r="M11" i="39"/>
  <c r="M16" i="39"/>
  <c r="D11" i="39"/>
  <c r="D16" i="39"/>
  <c r="E11" i="39"/>
  <c r="E16" i="39"/>
  <c r="L16" i="37"/>
  <c r="L11" i="37"/>
  <c r="D17" i="37"/>
  <c r="D22" i="37"/>
  <c r="E16" i="37"/>
  <c r="E11" i="37"/>
  <c r="M16" i="37"/>
  <c r="M11" i="37"/>
  <c r="C23" i="36"/>
  <c r="C28" i="36"/>
  <c r="E23" i="36"/>
  <c r="E28" i="36"/>
  <c r="L23" i="36"/>
  <c r="L28" i="36"/>
  <c r="D23" i="36"/>
  <c r="D28" i="36"/>
  <c r="M23" i="36"/>
  <c r="M28" i="36"/>
  <c r="K22" i="36"/>
  <c r="K17" i="36"/>
  <c r="H12" i="49" l="1"/>
  <c r="H24" i="54"/>
  <c r="K6" i="54"/>
  <c r="K4" i="49"/>
  <c r="J20" i="54"/>
  <c r="J8" i="49"/>
  <c r="H11" i="49"/>
  <c r="H23" i="54"/>
  <c r="AW62" i="27"/>
  <c r="AW68" i="27" s="1"/>
  <c r="K32" i="54"/>
  <c r="K18" i="49"/>
  <c r="H13" i="49"/>
  <c r="H25" i="54"/>
  <c r="K20" i="54"/>
  <c r="K8" i="49"/>
  <c r="J32" i="54"/>
  <c r="J18" i="49"/>
  <c r="K33" i="54"/>
  <c r="K19" i="49"/>
  <c r="J33" i="54"/>
  <c r="J19" i="49"/>
  <c r="H15" i="49"/>
  <c r="H29" i="54"/>
  <c r="H14" i="49"/>
  <c r="J60" i="52"/>
  <c r="K60" i="52"/>
  <c r="K17" i="52"/>
  <c r="K42" i="52"/>
  <c r="D17" i="41"/>
  <c r="M28" i="41"/>
  <c r="AE51" i="27"/>
  <c r="AE56" i="27"/>
  <c r="BC51" i="27"/>
  <c r="BC56" i="27"/>
  <c r="AY51" i="27"/>
  <c r="AY56" i="27"/>
  <c r="M17" i="42"/>
  <c r="AX62" i="27"/>
  <c r="AX63" i="27" s="1"/>
  <c r="BB51" i="27"/>
  <c r="BB56" i="27"/>
  <c r="AI63" i="27"/>
  <c r="AI68" i="27"/>
  <c r="M17" i="41"/>
  <c r="AD57" i="27"/>
  <c r="AH57" i="27"/>
  <c r="AH62" i="27"/>
  <c r="BA62" i="27"/>
  <c r="BA57" i="27"/>
  <c r="AG51" i="27"/>
  <c r="AG56" i="27"/>
  <c r="AZ56" i="27"/>
  <c r="AZ51" i="27"/>
  <c r="AF51" i="27"/>
  <c r="AF56" i="27"/>
  <c r="BG73" i="27"/>
  <c r="BG74" i="27" s="1"/>
  <c r="BG69" i="27"/>
  <c r="BF69" i="27"/>
  <c r="BF73" i="27"/>
  <c r="BF74" i="27" s="1"/>
  <c r="AV73" i="27"/>
  <c r="AV74" i="27" s="1"/>
  <c r="AV69" i="27"/>
  <c r="AR73" i="27"/>
  <c r="AR74" i="27" s="1"/>
  <c r="AR69" i="27"/>
  <c r="AC63" i="27"/>
  <c r="AC68" i="27"/>
  <c r="AD68" i="27"/>
  <c r="AD63" i="27"/>
  <c r="AL69" i="27"/>
  <c r="AL73" i="27"/>
  <c r="AL74" i="27" s="1"/>
  <c r="AM69" i="27"/>
  <c r="AM73" i="27"/>
  <c r="AM74" i="27" s="1"/>
  <c r="AB69" i="27"/>
  <c r="AB73" i="27"/>
  <c r="AB74" i="27" s="1"/>
  <c r="X63" i="27"/>
  <c r="X68" i="27"/>
  <c r="S73" i="27"/>
  <c r="S74" i="27" s="1"/>
  <c r="S69" i="27"/>
  <c r="R73" i="27"/>
  <c r="R74" i="27" s="1"/>
  <c r="R69" i="27"/>
  <c r="H73" i="27"/>
  <c r="H74" i="27" s="1"/>
  <c r="H69" i="27"/>
  <c r="K28" i="48"/>
  <c r="K23" i="48"/>
  <c r="E10" i="48"/>
  <c r="M10" i="48"/>
  <c r="D22" i="48"/>
  <c r="D17" i="48"/>
  <c r="C17" i="48"/>
  <c r="C22" i="48"/>
  <c r="L22" i="48"/>
  <c r="L17" i="48"/>
  <c r="D17" i="44"/>
  <c r="D22" i="44"/>
  <c r="K23" i="44"/>
  <c r="K28" i="44"/>
  <c r="E23" i="44"/>
  <c r="E28" i="44"/>
  <c r="C23" i="44"/>
  <c r="C28" i="44"/>
  <c r="M17" i="44"/>
  <c r="M22" i="44"/>
  <c r="L17" i="44"/>
  <c r="L22" i="44"/>
  <c r="M17" i="45"/>
  <c r="M22" i="45"/>
  <c r="D28" i="45"/>
  <c r="D23" i="45"/>
  <c r="L23" i="45"/>
  <c r="L28" i="45"/>
  <c r="E23" i="45"/>
  <c r="E28" i="45"/>
  <c r="L15" i="49" s="1"/>
  <c r="N15" i="49" s="1"/>
  <c r="M23" i="42"/>
  <c r="M28" i="42"/>
  <c r="L29" i="42"/>
  <c r="L33" i="42"/>
  <c r="L34" i="42" s="1"/>
  <c r="D23" i="42"/>
  <c r="D28" i="42"/>
  <c r="E23" i="42"/>
  <c r="E28" i="42"/>
  <c r="D28" i="41"/>
  <c r="D23" i="41"/>
  <c r="L17" i="41"/>
  <c r="L22" i="41"/>
  <c r="E28" i="41"/>
  <c r="L13" i="49" s="1"/>
  <c r="N13" i="49" s="1"/>
  <c r="E23" i="41"/>
  <c r="M29" i="41"/>
  <c r="M33" i="41"/>
  <c r="M34" i="41" s="1"/>
  <c r="E11" i="40"/>
  <c r="E16" i="40"/>
  <c r="L11" i="40"/>
  <c r="L16" i="40"/>
  <c r="D17" i="40"/>
  <c r="D22" i="40"/>
  <c r="M16" i="40"/>
  <c r="M11" i="40"/>
  <c r="L17" i="38"/>
  <c r="L22" i="38"/>
  <c r="M22" i="38"/>
  <c r="M17" i="38"/>
  <c r="D17" i="38"/>
  <c r="D22" i="38"/>
  <c r="E28" i="38"/>
  <c r="L11" i="49" s="1"/>
  <c r="N11" i="49" s="1"/>
  <c r="E23" i="38"/>
  <c r="D17" i="39"/>
  <c r="D22" i="39"/>
  <c r="E17" i="39"/>
  <c r="E22" i="39"/>
  <c r="L17" i="39"/>
  <c r="L22" i="39"/>
  <c r="M22" i="39"/>
  <c r="M17" i="39"/>
  <c r="E22" i="37"/>
  <c r="E17" i="37"/>
  <c r="M17" i="37"/>
  <c r="M22" i="37"/>
  <c r="D28" i="37"/>
  <c r="D23" i="37"/>
  <c r="L22" i="37"/>
  <c r="L17" i="37"/>
  <c r="K23" i="36"/>
  <c r="K28" i="36"/>
  <c r="L29" i="36"/>
  <c r="L33" i="36"/>
  <c r="L34" i="36" s="1"/>
  <c r="M33" i="36"/>
  <c r="M34" i="36" s="1"/>
  <c r="M29" i="36"/>
  <c r="D29" i="36"/>
  <c r="D33" i="36"/>
  <c r="D34" i="36" s="1"/>
  <c r="E29" i="36"/>
  <c r="E33" i="36"/>
  <c r="E34" i="36" s="1"/>
  <c r="C29" i="36"/>
  <c r="C33" i="36"/>
  <c r="C34" i="36" s="1"/>
  <c r="AW63" i="27" l="1"/>
  <c r="K9" i="49"/>
  <c r="K21" i="54"/>
  <c r="AX68" i="27"/>
  <c r="L14" i="49"/>
  <c r="N14" i="49" s="1"/>
  <c r="N26" i="54"/>
  <c r="L59" i="52"/>
  <c r="K59" i="52"/>
  <c r="BC57" i="27"/>
  <c r="BC62" i="27"/>
  <c r="AY62" i="27"/>
  <c r="AY57" i="27"/>
  <c r="AE57" i="27"/>
  <c r="AE62" i="27"/>
  <c r="AI69" i="27"/>
  <c r="AI73" i="27"/>
  <c r="AI74" i="27" s="1"/>
  <c r="BB57" i="27"/>
  <c r="BB62" i="27"/>
  <c r="AH63" i="27"/>
  <c r="AH68" i="27"/>
  <c r="BA68" i="27"/>
  <c r="BA63" i="27"/>
  <c r="AG57" i="27"/>
  <c r="AG62" i="27"/>
  <c r="AF57" i="27"/>
  <c r="AF62" i="27"/>
  <c r="AZ57" i="27"/>
  <c r="AZ62" i="27"/>
  <c r="AW69" i="27"/>
  <c r="AW73" i="27"/>
  <c r="AW74" i="27" s="1"/>
  <c r="AX69" i="27"/>
  <c r="AD73" i="27"/>
  <c r="AD74" i="27" s="1"/>
  <c r="AD69" i="27"/>
  <c r="AC73" i="27"/>
  <c r="AC74" i="27" s="1"/>
  <c r="AC69" i="27"/>
  <c r="X73" i="27"/>
  <c r="X74" i="27" s="1"/>
  <c r="X69" i="27"/>
  <c r="L28" i="48"/>
  <c r="L23" i="48"/>
  <c r="D28" i="48"/>
  <c r="D23" i="48"/>
  <c r="E11" i="48"/>
  <c r="E16" i="48"/>
  <c r="C28" i="48"/>
  <c r="C23" i="48"/>
  <c r="M11" i="48"/>
  <c r="M16" i="48"/>
  <c r="K29" i="48"/>
  <c r="K33" i="48"/>
  <c r="K34" i="48" s="1"/>
  <c r="M23" i="44"/>
  <c r="M28" i="44"/>
  <c r="E29" i="44"/>
  <c r="E33" i="44"/>
  <c r="E34" i="44" s="1"/>
  <c r="K33" i="44"/>
  <c r="K34" i="44" s="1"/>
  <c r="K29" i="44"/>
  <c r="L23" i="44"/>
  <c r="L28" i="44"/>
  <c r="D23" i="44"/>
  <c r="D28" i="44"/>
  <c r="C29" i="44"/>
  <c r="C33" i="44"/>
  <c r="C34" i="44" s="1"/>
  <c r="E33" i="45"/>
  <c r="E34" i="45" s="1"/>
  <c r="E29" i="45"/>
  <c r="D29" i="45"/>
  <c r="D33" i="45"/>
  <c r="D34" i="45" s="1"/>
  <c r="M23" i="45"/>
  <c r="M28" i="45"/>
  <c r="L29" i="45"/>
  <c r="L33" i="45"/>
  <c r="L34" i="45" s="1"/>
  <c r="E29" i="42"/>
  <c r="E33" i="42"/>
  <c r="E34" i="42" s="1"/>
  <c r="M33" i="42"/>
  <c r="M34" i="42" s="1"/>
  <c r="M29" i="42"/>
  <c r="D29" i="42"/>
  <c r="D33" i="42"/>
  <c r="D34" i="42" s="1"/>
  <c r="L23" i="41"/>
  <c r="L28" i="41"/>
  <c r="E33" i="41"/>
  <c r="E34" i="41" s="1"/>
  <c r="E29" i="41"/>
  <c r="D33" i="41"/>
  <c r="D34" i="41" s="1"/>
  <c r="D29" i="41"/>
  <c r="M17" i="40"/>
  <c r="M22" i="40"/>
  <c r="E17" i="40"/>
  <c r="E22" i="40"/>
  <c r="D28" i="40"/>
  <c r="D23" i="40"/>
  <c r="L17" i="40"/>
  <c r="L22" i="40"/>
  <c r="E29" i="38"/>
  <c r="E33" i="38"/>
  <c r="E34" i="38" s="1"/>
  <c r="D28" i="38"/>
  <c r="D23" i="38"/>
  <c r="M28" i="38"/>
  <c r="M23" i="38"/>
  <c r="L28" i="38"/>
  <c r="L23" i="38"/>
  <c r="L28" i="39"/>
  <c r="L23" i="39"/>
  <c r="E28" i="39"/>
  <c r="L10" i="49" s="1"/>
  <c r="N10" i="49" s="1"/>
  <c r="E23" i="39"/>
  <c r="D23" i="39"/>
  <c r="D28" i="39"/>
  <c r="M23" i="39"/>
  <c r="M28" i="39"/>
  <c r="D33" i="37"/>
  <c r="D34" i="37" s="1"/>
  <c r="D29" i="37"/>
  <c r="M28" i="37"/>
  <c r="M23" i="37"/>
  <c r="L28" i="37"/>
  <c r="L23" i="37"/>
  <c r="E28" i="37"/>
  <c r="L9" i="49" s="1"/>
  <c r="N9" i="49" s="1"/>
  <c r="E23" i="37"/>
  <c r="K33" i="36"/>
  <c r="K34" i="36" s="1"/>
  <c r="K29" i="36"/>
  <c r="K10" i="49" l="1"/>
  <c r="K22" i="54"/>
  <c r="K13" i="49"/>
  <c r="K25" i="54"/>
  <c r="AX73" i="27"/>
  <c r="AX74" i="27" s="1"/>
  <c r="BB63" i="27"/>
  <c r="BB68" i="27"/>
  <c r="AE63" i="27"/>
  <c r="AE68" i="27"/>
  <c r="AY63" i="27"/>
  <c r="AY68" i="27"/>
  <c r="K23" i="54" s="1"/>
  <c r="BC68" i="27"/>
  <c r="K29" i="54" s="1"/>
  <c r="BC63" i="27"/>
  <c r="AH73" i="27"/>
  <c r="AH74" i="27" s="1"/>
  <c r="AH69" i="27"/>
  <c r="BA73" i="27"/>
  <c r="BA74" i="27" s="1"/>
  <c r="BA69" i="27"/>
  <c r="AG68" i="27"/>
  <c r="AG63" i="27"/>
  <c r="AZ68" i="27"/>
  <c r="AZ63" i="27"/>
  <c r="AF63" i="27"/>
  <c r="AF68" i="27"/>
  <c r="M17" i="48"/>
  <c r="M22" i="48"/>
  <c r="E22" i="48"/>
  <c r="E17" i="48"/>
  <c r="C33" i="48"/>
  <c r="C34" i="48" s="1"/>
  <c r="C29" i="48"/>
  <c r="D29" i="48"/>
  <c r="D33" i="48"/>
  <c r="D34" i="48" s="1"/>
  <c r="L33" i="48"/>
  <c r="L34" i="48" s="1"/>
  <c r="L29" i="48"/>
  <c r="D29" i="44"/>
  <c r="D33" i="44"/>
  <c r="D34" i="44" s="1"/>
  <c r="L33" i="44"/>
  <c r="L34" i="44" s="1"/>
  <c r="L29" i="44"/>
  <c r="M29" i="44"/>
  <c r="M33" i="44"/>
  <c r="M34" i="44" s="1"/>
  <c r="M29" i="45"/>
  <c r="M33" i="45"/>
  <c r="M34" i="45" s="1"/>
  <c r="L29" i="41"/>
  <c r="L33" i="41"/>
  <c r="L34" i="41" s="1"/>
  <c r="L28" i="40"/>
  <c r="L23" i="40"/>
  <c r="D29" i="40"/>
  <c r="D33" i="40"/>
  <c r="D34" i="40" s="1"/>
  <c r="E23" i="40"/>
  <c r="E28" i="40"/>
  <c r="L12" i="49" s="1"/>
  <c r="N12" i="49" s="1"/>
  <c r="M28" i="40"/>
  <c r="M23" i="40"/>
  <c r="D29" i="38"/>
  <c r="D33" i="38"/>
  <c r="D34" i="38" s="1"/>
  <c r="M33" i="38"/>
  <c r="M34" i="38" s="1"/>
  <c r="M29" i="38"/>
  <c r="L33" i="38"/>
  <c r="L34" i="38" s="1"/>
  <c r="L29" i="38"/>
  <c r="M33" i="39"/>
  <c r="M34" i="39" s="1"/>
  <c r="M29" i="39"/>
  <c r="D29" i="39"/>
  <c r="D33" i="39"/>
  <c r="D34" i="39" s="1"/>
  <c r="E29" i="39"/>
  <c r="E33" i="39"/>
  <c r="E34" i="39" s="1"/>
  <c r="L33" i="39"/>
  <c r="L34" i="39" s="1"/>
  <c r="L29" i="39"/>
  <c r="M33" i="37"/>
  <c r="M34" i="37" s="1"/>
  <c r="M29" i="37"/>
  <c r="L33" i="37"/>
  <c r="L34" i="37" s="1"/>
  <c r="L29" i="37"/>
  <c r="E33" i="37"/>
  <c r="E34" i="37" s="1"/>
  <c r="E29" i="37"/>
  <c r="K12" i="49" l="1"/>
  <c r="K24" i="54"/>
  <c r="K11" i="49"/>
  <c r="AY73" i="27"/>
  <c r="AY74" i="27" s="1"/>
  <c r="AY69" i="27"/>
  <c r="K15" i="49"/>
  <c r="BC69" i="27"/>
  <c r="BC73" i="27"/>
  <c r="BC74" i="27" s="1"/>
  <c r="K14" i="49"/>
  <c r="BB73" i="27"/>
  <c r="BB74" i="27" s="1"/>
  <c r="BB69" i="27"/>
  <c r="AE69" i="27"/>
  <c r="AE73" i="27"/>
  <c r="AE74" i="27" s="1"/>
  <c r="AG69" i="27"/>
  <c r="AG73" i="27"/>
  <c r="AG74" i="27" s="1"/>
  <c r="AF69" i="27"/>
  <c r="AF73" i="27"/>
  <c r="AF74" i="27" s="1"/>
  <c r="AZ69" i="27"/>
  <c r="AZ73" i="27"/>
  <c r="AZ74" i="27" s="1"/>
  <c r="E28" i="48"/>
  <c r="E23" i="48"/>
  <c r="M23" i="48"/>
  <c r="M28" i="48"/>
  <c r="E29" i="40"/>
  <c r="E33" i="40"/>
  <c r="E34" i="40" s="1"/>
  <c r="M33" i="40"/>
  <c r="M34" i="40" s="1"/>
  <c r="M29" i="40"/>
  <c r="L29" i="40"/>
  <c r="L33" i="40"/>
  <c r="L34" i="40" s="1"/>
  <c r="K20" i="35"/>
  <c r="K19" i="35"/>
  <c r="G59" i="27" s="1"/>
  <c r="K26" i="34"/>
  <c r="E14" i="34"/>
  <c r="M14" i="34" s="1"/>
  <c r="D14" i="34"/>
  <c r="L14" i="34" s="1"/>
  <c r="C14" i="34"/>
  <c r="K14" i="34" s="1"/>
  <c r="K26" i="33"/>
  <c r="E66" i="27" s="1"/>
  <c r="M25" i="33"/>
  <c r="AS65" i="27" s="1"/>
  <c r="L25" i="33"/>
  <c r="Y65" i="27" s="1"/>
  <c r="K25" i="33"/>
  <c r="E65" i="27" s="1"/>
  <c r="E31" i="33"/>
  <c r="M31" i="33" s="1"/>
  <c r="AS71" i="27" s="1"/>
  <c r="D31" i="33"/>
  <c r="L31" i="33" s="1"/>
  <c r="Y71" i="27" s="1"/>
  <c r="C31" i="33"/>
  <c r="K31" i="33" s="1"/>
  <c r="E71" i="27" s="1"/>
  <c r="D14" i="33"/>
  <c r="L14" i="33" s="1"/>
  <c r="Y54" i="27" s="1"/>
  <c r="E14" i="33"/>
  <c r="M14" i="33" s="1"/>
  <c r="AS54" i="27" s="1"/>
  <c r="C14" i="33"/>
  <c r="K14" i="33" s="1"/>
  <c r="E54" i="27" s="1"/>
  <c r="K14" i="22"/>
  <c r="K7" i="22"/>
  <c r="K25" i="22" s="1"/>
  <c r="M31" i="22"/>
  <c r="L31" i="22"/>
  <c r="K31" i="22"/>
  <c r="M26" i="22"/>
  <c r="L26" i="22"/>
  <c r="K26" i="22"/>
  <c r="M20" i="22"/>
  <c r="L20" i="22"/>
  <c r="K20" i="22"/>
  <c r="M19" i="22"/>
  <c r="L19" i="22"/>
  <c r="K19" i="22"/>
  <c r="E7" i="22"/>
  <c r="E25" i="22" s="1"/>
  <c r="C7" i="22"/>
  <c r="C25" i="22" s="1"/>
  <c r="C37" i="22" s="1"/>
  <c r="D7" i="22"/>
  <c r="D25" i="22" s="1"/>
  <c r="E14" i="22"/>
  <c r="M14" i="22" s="1"/>
  <c r="C13" i="22"/>
  <c r="K13" i="22" s="1"/>
  <c r="C20" i="32"/>
  <c r="K20" i="32" s="1"/>
  <c r="C19" i="32"/>
  <c r="D19" i="32" s="1"/>
  <c r="M18" i="54" l="1"/>
  <c r="G60" i="27"/>
  <c r="M4" i="54"/>
  <c r="C60" i="27"/>
  <c r="C37" i="32"/>
  <c r="D20" i="32"/>
  <c r="K19" i="32"/>
  <c r="J66" i="24"/>
  <c r="P66" i="24" s="1"/>
  <c r="G66" i="23"/>
  <c r="I66" i="23" s="1"/>
  <c r="L26" i="33"/>
  <c r="M33" i="48"/>
  <c r="M34" i="48" s="1"/>
  <c r="M29" i="48"/>
  <c r="E29" i="48"/>
  <c r="E33" i="48"/>
  <c r="E34" i="48" s="1"/>
  <c r="E19" i="32"/>
  <c r="M19" i="32" s="1"/>
  <c r="AQ59" i="27" s="1"/>
  <c r="L19" i="32"/>
  <c r="W59" i="27" s="1"/>
  <c r="K37" i="35"/>
  <c r="G77" i="27" s="1"/>
  <c r="M7" i="49" s="1"/>
  <c r="D20" i="35"/>
  <c r="C37" i="35"/>
  <c r="D19" i="35"/>
  <c r="L26" i="34"/>
  <c r="M26" i="34" s="1"/>
  <c r="M7" i="22"/>
  <c r="M25" i="22" s="1"/>
  <c r="D14" i="22"/>
  <c r="L14" i="22" s="1"/>
  <c r="L7" i="22"/>
  <c r="L25" i="22" s="1"/>
  <c r="K37" i="22"/>
  <c r="D13" i="22"/>
  <c r="L13" i="22" s="1"/>
  <c r="E13" i="22"/>
  <c r="M13" i="22" s="1"/>
  <c r="C8" i="22"/>
  <c r="D8" i="22"/>
  <c r="E8" i="22"/>
  <c r="M19" i="54" l="1"/>
  <c r="K37" i="32"/>
  <c r="C77" i="27" s="1"/>
  <c r="M3" i="49" s="1"/>
  <c r="C59" i="27"/>
  <c r="E20" i="32"/>
  <c r="M20" i="32" s="1"/>
  <c r="AQ60" i="27" s="1"/>
  <c r="L20" i="32"/>
  <c r="W60" i="27" s="1"/>
  <c r="M5" i="54"/>
  <c r="Y66" i="27"/>
  <c r="K66" i="24" s="1"/>
  <c r="Q66" i="24" s="1"/>
  <c r="M26" i="33"/>
  <c r="AS66" i="27" s="1"/>
  <c r="L66" i="24" s="1"/>
  <c r="R66" i="24" s="1"/>
  <c r="E19" i="35"/>
  <c r="M19" i="35" s="1"/>
  <c r="AU59" i="27" s="1"/>
  <c r="L19" i="35"/>
  <c r="AA59" i="27" s="1"/>
  <c r="L20" i="35"/>
  <c r="AA60" i="27" s="1"/>
  <c r="E20" i="35"/>
  <c r="M20" i="35" s="1"/>
  <c r="AU60" i="27" s="1"/>
  <c r="E10" i="22"/>
  <c r="E11" i="22" s="1"/>
  <c r="M8" i="22"/>
  <c r="M10" i="22" s="1"/>
  <c r="M16" i="22" s="1"/>
  <c r="D10" i="22"/>
  <c r="D16" i="22" s="1"/>
  <c r="L8" i="22"/>
  <c r="L10" i="22" s="1"/>
  <c r="L11" i="22" s="1"/>
  <c r="C10" i="22"/>
  <c r="K8" i="22"/>
  <c r="K10" i="22" s="1"/>
  <c r="K11" i="22" s="1"/>
  <c r="K16" i="22"/>
  <c r="M11" i="22"/>
  <c r="L16" i="22"/>
  <c r="L17" i="22" s="1"/>
  <c r="M17" i="22"/>
  <c r="M22" i="22"/>
  <c r="K22" i="22"/>
  <c r="K17" i="22"/>
  <c r="E16" i="22"/>
  <c r="C11" i="22"/>
  <c r="C16" i="22"/>
  <c r="D11" i="22" l="1"/>
  <c r="L22" i="22"/>
  <c r="K28" i="22"/>
  <c r="K23" i="22"/>
  <c r="L28" i="22"/>
  <c r="L23" i="22"/>
  <c r="M28" i="22"/>
  <c r="M23" i="22"/>
  <c r="C22" i="22"/>
  <c r="C17" i="22"/>
  <c r="D17" i="22"/>
  <c r="D22" i="22"/>
  <c r="E17" i="22"/>
  <c r="E22" i="22"/>
  <c r="G16" i="19"/>
  <c r="G71" i="18"/>
  <c r="F71" i="18"/>
  <c r="G60" i="18"/>
  <c r="F60" i="18"/>
  <c r="F66" i="18"/>
  <c r="G66" i="18" s="1"/>
  <c r="C66" i="17"/>
  <c r="C59" i="17"/>
  <c r="C59" i="25" s="1"/>
  <c r="G59" i="25" s="1"/>
  <c r="D71" i="17"/>
  <c r="C71" i="16"/>
  <c r="C71" i="17"/>
  <c r="C60" i="17"/>
  <c r="C5" i="11"/>
  <c r="D5" i="11"/>
  <c r="E5" i="11"/>
  <c r="F5" i="11"/>
  <c r="G5" i="11"/>
  <c r="H5" i="11"/>
  <c r="I5" i="11"/>
  <c r="J5" i="11"/>
  <c r="K5" i="11"/>
  <c r="L5" i="11"/>
  <c r="M5" i="11"/>
  <c r="N5" i="11"/>
  <c r="B5" i="11"/>
  <c r="K13" i="11"/>
  <c r="L6" i="11"/>
  <c r="H9" i="12"/>
  <c r="L59" i="51" l="1"/>
  <c r="L59" i="26"/>
  <c r="E59" i="51" s="1"/>
  <c r="L33" i="22"/>
  <c r="L34" i="22" s="1"/>
  <c r="L29" i="22"/>
  <c r="K33" i="22"/>
  <c r="K34" i="22" s="1"/>
  <c r="K29" i="22"/>
  <c r="M33" i="22"/>
  <c r="M34" i="22" s="1"/>
  <c r="M29" i="22"/>
  <c r="E28" i="22"/>
  <c r="E23" i="22"/>
  <c r="D28" i="22"/>
  <c r="D23" i="22"/>
  <c r="C28" i="22"/>
  <c r="C23" i="22"/>
  <c r="C33" i="22" l="1"/>
  <c r="C34" i="22" s="1"/>
  <c r="C29" i="22"/>
  <c r="D33" i="22"/>
  <c r="D34" i="22" s="1"/>
  <c r="D29" i="22"/>
  <c r="E33" i="22"/>
  <c r="E34" i="22" s="1"/>
  <c r="E29" i="22"/>
  <c r="C105" i="26" l="1"/>
  <c r="G99" i="26"/>
  <c r="F99" i="26"/>
  <c r="E99" i="26"/>
  <c r="D99" i="26"/>
  <c r="C99" i="26"/>
  <c r="G98" i="26"/>
  <c r="F98" i="26"/>
  <c r="E98" i="26"/>
  <c r="D98" i="26"/>
  <c r="C98" i="26"/>
  <c r="G97" i="26"/>
  <c r="N97" i="26" s="1"/>
  <c r="F97" i="26"/>
  <c r="M97" i="26" s="1"/>
  <c r="E97" i="26"/>
  <c r="L97" i="26" s="1"/>
  <c r="D97" i="26"/>
  <c r="C97" i="26"/>
  <c r="G96" i="26"/>
  <c r="F96" i="26"/>
  <c r="E96" i="26"/>
  <c r="D96" i="26"/>
  <c r="C96" i="26"/>
  <c r="G95" i="26"/>
  <c r="F95" i="26"/>
  <c r="E95" i="26"/>
  <c r="D95" i="26"/>
  <c r="C95" i="26"/>
  <c r="G94" i="26"/>
  <c r="F94" i="26"/>
  <c r="E94" i="26"/>
  <c r="D94" i="26"/>
  <c r="C94" i="26"/>
  <c r="G93" i="26"/>
  <c r="F93" i="26"/>
  <c r="E93" i="26"/>
  <c r="D93" i="26"/>
  <c r="C93" i="26"/>
  <c r="G89" i="26"/>
  <c r="G91" i="26" s="1"/>
  <c r="F89" i="26"/>
  <c r="F91" i="26" s="1"/>
  <c r="E89" i="26"/>
  <c r="E91" i="26" s="1"/>
  <c r="D89" i="26"/>
  <c r="C89" i="26"/>
  <c r="D85" i="26"/>
  <c r="C85" i="26"/>
  <c r="D84" i="26"/>
  <c r="C84" i="26"/>
  <c r="J71" i="26"/>
  <c r="K71" i="26"/>
  <c r="O71" i="26" s="1"/>
  <c r="K66" i="26"/>
  <c r="O66" i="26" s="1"/>
  <c r="H66" i="26"/>
  <c r="J66" i="26"/>
  <c r="K65" i="26"/>
  <c r="J65" i="26"/>
  <c r="K60" i="26"/>
  <c r="O60" i="26" s="1"/>
  <c r="J60" i="26"/>
  <c r="H60" i="26"/>
  <c r="J59" i="26"/>
  <c r="K54" i="26"/>
  <c r="J54" i="26"/>
  <c r="K53" i="26"/>
  <c r="J53" i="26"/>
  <c r="J48" i="26"/>
  <c r="C41" i="26"/>
  <c r="J41" i="26" s="1"/>
  <c r="C41" i="51" s="1"/>
  <c r="J41" i="51" s="1"/>
  <c r="G40" i="26"/>
  <c r="F40" i="26"/>
  <c r="E40" i="26"/>
  <c r="L40" i="26" s="1"/>
  <c r="E40" i="51" s="1"/>
  <c r="L40" i="51" s="1"/>
  <c r="C40" i="26"/>
  <c r="J40" i="26" s="1"/>
  <c r="C40" i="51" s="1"/>
  <c r="J40" i="51" s="1"/>
  <c r="G39" i="26"/>
  <c r="F39" i="26"/>
  <c r="E39" i="26"/>
  <c r="L39" i="26" s="1"/>
  <c r="D39" i="26"/>
  <c r="C39" i="26"/>
  <c r="J39" i="26" s="1"/>
  <c r="C39" i="51" s="1"/>
  <c r="J39" i="51" s="1"/>
  <c r="G38" i="26"/>
  <c r="F38" i="26"/>
  <c r="E38" i="26"/>
  <c r="L38" i="26" s="1"/>
  <c r="E38" i="51" s="1"/>
  <c r="C38" i="26"/>
  <c r="J38" i="26" s="1"/>
  <c r="C38" i="51" s="1"/>
  <c r="N36" i="26"/>
  <c r="M36" i="26"/>
  <c r="G34" i="26"/>
  <c r="F34" i="26"/>
  <c r="E34" i="26"/>
  <c r="L34" i="26" s="1"/>
  <c r="E34" i="51" s="1"/>
  <c r="L34" i="51" s="1"/>
  <c r="D34" i="26"/>
  <c r="H34" i="26" s="1"/>
  <c r="C34" i="26"/>
  <c r="J34" i="26" s="1"/>
  <c r="C34" i="51" s="1"/>
  <c r="J34" i="51" s="1"/>
  <c r="G33" i="26"/>
  <c r="F33" i="26"/>
  <c r="F36" i="26" s="1"/>
  <c r="E33" i="26"/>
  <c r="D33" i="26"/>
  <c r="C33" i="26"/>
  <c r="J33" i="26" s="1"/>
  <c r="C33" i="51" s="1"/>
  <c r="J33" i="51" s="1"/>
  <c r="G32" i="26"/>
  <c r="G36" i="26" s="1"/>
  <c r="F32" i="26"/>
  <c r="E32" i="26"/>
  <c r="L32" i="26" s="1"/>
  <c r="E32" i="51" s="1"/>
  <c r="C32" i="26"/>
  <c r="J32" i="26" s="1"/>
  <c r="G27" i="26"/>
  <c r="F27" i="26"/>
  <c r="E27" i="26"/>
  <c r="L27" i="26" s="1"/>
  <c r="E27" i="51" s="1"/>
  <c r="L27" i="51" s="1"/>
  <c r="C27" i="26"/>
  <c r="J27" i="26" s="1"/>
  <c r="C27" i="51" s="1"/>
  <c r="J27" i="51" s="1"/>
  <c r="G26" i="26"/>
  <c r="F26" i="26"/>
  <c r="E26" i="26"/>
  <c r="L26" i="26" s="1"/>
  <c r="E26" i="51" s="1"/>
  <c r="L26" i="51" s="1"/>
  <c r="D26" i="26"/>
  <c r="H26" i="26" s="1"/>
  <c r="C26" i="26"/>
  <c r="J26" i="26" s="1"/>
  <c r="C26" i="51" s="1"/>
  <c r="J26" i="51" s="1"/>
  <c r="G25" i="26"/>
  <c r="F25" i="26"/>
  <c r="E25" i="26"/>
  <c r="L25" i="26" s="1"/>
  <c r="E25" i="51" s="1"/>
  <c r="L25" i="51" s="1"/>
  <c r="D25" i="26"/>
  <c r="H25" i="26" s="1"/>
  <c r="C25" i="26"/>
  <c r="J25" i="26" s="1"/>
  <c r="C25" i="51" s="1"/>
  <c r="J25" i="51" s="1"/>
  <c r="G24" i="26"/>
  <c r="F24" i="26"/>
  <c r="E24" i="26"/>
  <c r="L24" i="26" s="1"/>
  <c r="E24" i="51" s="1"/>
  <c r="L24" i="51" s="1"/>
  <c r="C24" i="26"/>
  <c r="J24" i="26" s="1"/>
  <c r="C24" i="51" s="1"/>
  <c r="J24" i="51" s="1"/>
  <c r="G23" i="26"/>
  <c r="F23" i="26"/>
  <c r="E23" i="26"/>
  <c r="L23" i="26" s="1"/>
  <c r="E23" i="51" s="1"/>
  <c r="L23" i="51" s="1"/>
  <c r="C23" i="26"/>
  <c r="G22" i="26"/>
  <c r="F22" i="26"/>
  <c r="M22" i="26" s="1"/>
  <c r="E22" i="26"/>
  <c r="L22" i="26" s="1"/>
  <c r="E22" i="51" s="1"/>
  <c r="L22" i="51" s="1"/>
  <c r="C22" i="26"/>
  <c r="J22" i="26" s="1"/>
  <c r="C22" i="51" s="1"/>
  <c r="J22" i="51" s="1"/>
  <c r="G21" i="26"/>
  <c r="N21" i="26" s="1"/>
  <c r="F21" i="26"/>
  <c r="M21" i="26" s="1"/>
  <c r="M28" i="26" s="1"/>
  <c r="C21" i="26"/>
  <c r="J21" i="26" s="1"/>
  <c r="C21" i="51" s="1"/>
  <c r="C18" i="26"/>
  <c r="J18" i="26" s="1"/>
  <c r="C18" i="51" s="1"/>
  <c r="J18" i="51" s="1"/>
  <c r="C17" i="26"/>
  <c r="D14" i="26"/>
  <c r="K14" i="26" s="1"/>
  <c r="D14" i="51" s="1"/>
  <c r="K14" i="51" s="1"/>
  <c r="C14" i="26"/>
  <c r="J14" i="26" s="1"/>
  <c r="C14" i="51" s="1"/>
  <c r="J14" i="51" s="1"/>
  <c r="C13" i="26"/>
  <c r="J13" i="26" s="1"/>
  <c r="C13" i="51" s="1"/>
  <c r="C10" i="26"/>
  <c r="J10" i="26" s="1"/>
  <c r="C10" i="51" s="1"/>
  <c r="J10" i="51" s="1"/>
  <c r="C9" i="26"/>
  <c r="J9" i="26" s="1"/>
  <c r="C9" i="51" s="1"/>
  <c r="J9" i="51" s="1"/>
  <c r="C8" i="26"/>
  <c r="J8" i="26" s="1"/>
  <c r="C8" i="51" s="1"/>
  <c r="J8" i="51" s="1"/>
  <c r="C7" i="26"/>
  <c r="J7" i="26" s="1"/>
  <c r="C7" i="51" s="1"/>
  <c r="J7" i="51" s="1"/>
  <c r="C6" i="26"/>
  <c r="J6" i="26" s="1"/>
  <c r="C6" i="51" s="1"/>
  <c r="J6" i="51" s="1"/>
  <c r="C5" i="26"/>
  <c r="E71" i="25"/>
  <c r="H66" i="25"/>
  <c r="I66" i="25" s="1"/>
  <c r="E65" i="25"/>
  <c r="E60" i="25"/>
  <c r="E59" i="25"/>
  <c r="H54" i="25"/>
  <c r="H53" i="25"/>
  <c r="D40" i="25"/>
  <c r="H40" i="25" s="1"/>
  <c r="I40" i="25" s="1"/>
  <c r="C40" i="25"/>
  <c r="D39" i="25"/>
  <c r="H39" i="25" s="1"/>
  <c r="I39" i="25" s="1"/>
  <c r="C39" i="25"/>
  <c r="D38" i="25"/>
  <c r="C38" i="25"/>
  <c r="E38" i="25" s="1"/>
  <c r="G36" i="25"/>
  <c r="C34" i="25"/>
  <c r="C33" i="25"/>
  <c r="C32" i="25"/>
  <c r="D27" i="25"/>
  <c r="H27" i="25" s="1"/>
  <c r="I27" i="25" s="1"/>
  <c r="C27" i="25"/>
  <c r="D26" i="25"/>
  <c r="H26" i="25" s="1"/>
  <c r="I26" i="25" s="1"/>
  <c r="C26" i="25"/>
  <c r="C25" i="25"/>
  <c r="D24" i="25"/>
  <c r="H24" i="25" s="1"/>
  <c r="I24" i="25" s="1"/>
  <c r="C24" i="25"/>
  <c r="D23" i="25"/>
  <c r="C23" i="25"/>
  <c r="C22" i="25"/>
  <c r="C21" i="25"/>
  <c r="O97" i="24"/>
  <c r="O96" i="24"/>
  <c r="O95" i="24"/>
  <c r="O94" i="24"/>
  <c r="O93" i="24"/>
  <c r="O89" i="24"/>
  <c r="O91" i="24" s="1"/>
  <c r="O85" i="24"/>
  <c r="O84" i="24"/>
  <c r="N105" i="24"/>
  <c r="N99" i="24"/>
  <c r="N98" i="24"/>
  <c r="N96" i="24"/>
  <c r="P101" i="24"/>
  <c r="R91" i="24"/>
  <c r="Q91" i="24"/>
  <c r="P91" i="24"/>
  <c r="E89" i="24"/>
  <c r="E91" i="24" s="1"/>
  <c r="F89" i="24"/>
  <c r="F91" i="24" s="1"/>
  <c r="G89" i="24"/>
  <c r="G91" i="24" s="1"/>
  <c r="E93" i="24"/>
  <c r="F93" i="24"/>
  <c r="G93" i="24"/>
  <c r="E94" i="24"/>
  <c r="F94" i="24"/>
  <c r="G94" i="24"/>
  <c r="E95" i="24"/>
  <c r="F95" i="24"/>
  <c r="G95" i="24"/>
  <c r="E96" i="24"/>
  <c r="F96" i="24"/>
  <c r="G96" i="24"/>
  <c r="E97" i="24"/>
  <c r="P97" i="24" s="1"/>
  <c r="J97" i="24" s="1"/>
  <c r="J101" i="24" s="1"/>
  <c r="F97" i="24"/>
  <c r="Q97" i="24" s="1"/>
  <c r="K97" i="24" s="1"/>
  <c r="K101" i="24" s="1"/>
  <c r="G97" i="24"/>
  <c r="R97" i="24" s="1"/>
  <c r="L97" i="24" s="1"/>
  <c r="L101" i="24" s="1"/>
  <c r="E98" i="24"/>
  <c r="F98" i="24"/>
  <c r="G98" i="24"/>
  <c r="E99" i="24"/>
  <c r="F99" i="24"/>
  <c r="G99" i="24"/>
  <c r="D99" i="24"/>
  <c r="O99" i="24" s="1"/>
  <c r="D98" i="24"/>
  <c r="O98" i="24" s="1"/>
  <c r="D97" i="24"/>
  <c r="D96" i="24"/>
  <c r="D95" i="24"/>
  <c r="D94" i="24"/>
  <c r="D93" i="24"/>
  <c r="D89" i="24"/>
  <c r="D91" i="24" s="1"/>
  <c r="D85" i="24"/>
  <c r="D84" i="24"/>
  <c r="C105" i="24"/>
  <c r="C99" i="24"/>
  <c r="C98" i="24"/>
  <c r="C97" i="24"/>
  <c r="N97" i="24" s="1"/>
  <c r="C96" i="24"/>
  <c r="C95" i="24"/>
  <c r="N95" i="24" s="1"/>
  <c r="C94" i="24"/>
  <c r="N94" i="24" s="1"/>
  <c r="C93" i="24"/>
  <c r="N93" i="24" s="1"/>
  <c r="N101" i="24" s="1"/>
  <c r="C89" i="24"/>
  <c r="N89" i="24" s="1"/>
  <c r="N91" i="24" s="1"/>
  <c r="C85" i="24"/>
  <c r="N85" i="24" s="1"/>
  <c r="C84" i="24"/>
  <c r="N84" i="24" s="1"/>
  <c r="C91" i="24"/>
  <c r="N71" i="24"/>
  <c r="O66" i="24"/>
  <c r="S66" i="24" s="1"/>
  <c r="N66" i="24"/>
  <c r="O65" i="24"/>
  <c r="N65" i="24"/>
  <c r="O60" i="24"/>
  <c r="N60" i="24"/>
  <c r="O59" i="24"/>
  <c r="N59" i="24"/>
  <c r="O54" i="24"/>
  <c r="O26" i="24"/>
  <c r="N22" i="24"/>
  <c r="E71" i="24"/>
  <c r="D71" i="24"/>
  <c r="H71" i="24" s="1"/>
  <c r="C71" i="24"/>
  <c r="E66" i="24"/>
  <c r="D66" i="24"/>
  <c r="H66" i="24" s="1"/>
  <c r="C66" i="24"/>
  <c r="E65" i="24"/>
  <c r="D65" i="24"/>
  <c r="C65" i="24"/>
  <c r="E60" i="24"/>
  <c r="D60" i="24"/>
  <c r="H60" i="24" s="1"/>
  <c r="C60" i="24"/>
  <c r="E59" i="24"/>
  <c r="D59" i="24"/>
  <c r="H59" i="24" s="1"/>
  <c r="C59" i="24"/>
  <c r="D54" i="24"/>
  <c r="C54" i="24"/>
  <c r="N54" i="24" s="1"/>
  <c r="D53" i="24"/>
  <c r="C53" i="24"/>
  <c r="N53" i="24" s="1"/>
  <c r="C48" i="24"/>
  <c r="N48" i="24" s="1"/>
  <c r="C41" i="24"/>
  <c r="N41" i="24" s="1"/>
  <c r="G40" i="24"/>
  <c r="F40" i="24"/>
  <c r="E40" i="24"/>
  <c r="C40" i="24"/>
  <c r="N40" i="24" s="1"/>
  <c r="G39" i="24"/>
  <c r="F39" i="24"/>
  <c r="E39" i="24"/>
  <c r="D39" i="24"/>
  <c r="O39" i="24" s="1"/>
  <c r="C39" i="24"/>
  <c r="N39" i="24" s="1"/>
  <c r="G38" i="24"/>
  <c r="F38" i="24"/>
  <c r="E38" i="24"/>
  <c r="D38" i="24"/>
  <c r="O38" i="24" s="1"/>
  <c r="C38" i="24"/>
  <c r="N38" i="24" s="1"/>
  <c r="G34" i="24"/>
  <c r="F34" i="24"/>
  <c r="E34" i="24"/>
  <c r="D34" i="24"/>
  <c r="O34" i="24" s="1"/>
  <c r="C34" i="24"/>
  <c r="N34" i="24" s="1"/>
  <c r="G33" i="24"/>
  <c r="F33" i="24"/>
  <c r="E33" i="24"/>
  <c r="C33" i="24"/>
  <c r="N33" i="24" s="1"/>
  <c r="G32" i="24"/>
  <c r="F32" i="24"/>
  <c r="E32" i="24"/>
  <c r="D32" i="24"/>
  <c r="H32" i="24" s="1"/>
  <c r="C32" i="24"/>
  <c r="G27" i="24"/>
  <c r="F27" i="24"/>
  <c r="E27" i="24"/>
  <c r="D27" i="24"/>
  <c r="O27" i="24" s="1"/>
  <c r="C27" i="24"/>
  <c r="N27" i="24" s="1"/>
  <c r="G26" i="24"/>
  <c r="F26" i="24"/>
  <c r="E26" i="24"/>
  <c r="D26" i="24"/>
  <c r="C26" i="24"/>
  <c r="N26" i="24" s="1"/>
  <c r="G25" i="24"/>
  <c r="F25" i="24"/>
  <c r="E25" i="24"/>
  <c r="C25" i="24"/>
  <c r="N25" i="24" s="1"/>
  <c r="G24" i="24"/>
  <c r="F24" i="24"/>
  <c r="E24" i="24"/>
  <c r="C24" i="24"/>
  <c r="N24" i="24" s="1"/>
  <c r="G23" i="24"/>
  <c r="F23" i="24"/>
  <c r="E23" i="24"/>
  <c r="D23" i="24"/>
  <c r="O23" i="24" s="1"/>
  <c r="C23" i="24"/>
  <c r="N23" i="24" s="1"/>
  <c r="G22" i="24"/>
  <c r="F22" i="24"/>
  <c r="E22" i="24"/>
  <c r="C22" i="24"/>
  <c r="G21" i="24"/>
  <c r="F21" i="24"/>
  <c r="E21" i="24"/>
  <c r="C21" i="24"/>
  <c r="N21" i="24" s="1"/>
  <c r="C18" i="24"/>
  <c r="C17" i="24"/>
  <c r="N17" i="24" s="1"/>
  <c r="C14" i="24"/>
  <c r="N14" i="24" s="1"/>
  <c r="C13" i="24"/>
  <c r="N13" i="24" s="1"/>
  <c r="C10" i="24"/>
  <c r="N10" i="24" s="1"/>
  <c r="C9" i="24"/>
  <c r="N9" i="24" s="1"/>
  <c r="C8" i="24"/>
  <c r="N8" i="24" s="1"/>
  <c r="C7" i="24"/>
  <c r="N7" i="24" s="1"/>
  <c r="C6" i="24"/>
  <c r="N6" i="24" s="1"/>
  <c r="C5" i="24"/>
  <c r="N5" i="24" s="1"/>
  <c r="D71" i="23"/>
  <c r="E71" i="23" s="1"/>
  <c r="D66" i="23"/>
  <c r="E66" i="23" s="1"/>
  <c r="D65" i="23"/>
  <c r="E65" i="23" s="1"/>
  <c r="D60" i="23"/>
  <c r="E60" i="23" s="1"/>
  <c r="D59" i="23"/>
  <c r="E59" i="23" s="1"/>
  <c r="D54" i="23"/>
  <c r="J54" i="23" s="1"/>
  <c r="D53" i="23"/>
  <c r="J53" i="23" s="1"/>
  <c r="C40" i="23"/>
  <c r="D39" i="23"/>
  <c r="J39" i="23" s="1"/>
  <c r="C39" i="23"/>
  <c r="C38" i="23"/>
  <c r="D34" i="23"/>
  <c r="J34" i="23" s="1"/>
  <c r="C34" i="23"/>
  <c r="D33" i="23"/>
  <c r="J33" i="23" s="1"/>
  <c r="C33" i="23"/>
  <c r="D32" i="23"/>
  <c r="D36" i="23" s="1"/>
  <c r="C32" i="23"/>
  <c r="D27" i="23"/>
  <c r="J27" i="23" s="1"/>
  <c r="C27" i="23"/>
  <c r="C26" i="23"/>
  <c r="C25" i="23"/>
  <c r="C24" i="23"/>
  <c r="C23" i="23"/>
  <c r="C22" i="23"/>
  <c r="D21" i="23"/>
  <c r="C21" i="23"/>
  <c r="E21" i="19"/>
  <c r="E22" i="19" s="1"/>
  <c r="F21" i="19"/>
  <c r="F22" i="19" s="1"/>
  <c r="G21" i="19"/>
  <c r="G22" i="19" s="1"/>
  <c r="D21" i="19"/>
  <c r="D22" i="19" s="1"/>
  <c r="D14" i="19"/>
  <c r="E5" i="19"/>
  <c r="F5" i="19"/>
  <c r="G5" i="19"/>
  <c r="G6" i="19" s="1"/>
  <c r="D5" i="19"/>
  <c r="E6" i="19"/>
  <c r="E16" i="19"/>
  <c r="D16" i="19"/>
  <c r="F15" i="19"/>
  <c r="G15" i="19" s="1"/>
  <c r="E15" i="19"/>
  <c r="D16" i="20"/>
  <c r="D19" i="20"/>
  <c r="D7" i="20"/>
  <c r="D11" i="20"/>
  <c r="D13" i="20" s="1"/>
  <c r="D6" i="20"/>
  <c r="E18" i="20"/>
  <c r="E17" i="20"/>
  <c r="F17" i="20"/>
  <c r="F23" i="20" s="1"/>
  <c r="G17" i="20"/>
  <c r="F18" i="20"/>
  <c r="G18" i="20"/>
  <c r="E21" i="20"/>
  <c r="F21" i="20"/>
  <c r="G21" i="20"/>
  <c r="F15" i="20"/>
  <c r="G15" i="20"/>
  <c r="E15" i="20"/>
  <c r="E23" i="20" s="1"/>
  <c r="D21" i="20"/>
  <c r="D18" i="20"/>
  <c r="D17" i="20"/>
  <c r="D15" i="20"/>
  <c r="F11" i="20"/>
  <c r="F13" i="20" s="1"/>
  <c r="G11" i="20"/>
  <c r="G13" i="20" s="1"/>
  <c r="E11" i="20"/>
  <c r="E13" i="20" s="1"/>
  <c r="E4" i="19"/>
  <c r="D4" i="19"/>
  <c r="C17" i="20"/>
  <c r="C7" i="20"/>
  <c r="C6" i="20"/>
  <c r="C11" i="20"/>
  <c r="C13" i="20" s="1"/>
  <c r="C21" i="20"/>
  <c r="C19" i="20"/>
  <c r="C18" i="20"/>
  <c r="C16" i="20"/>
  <c r="C15" i="20"/>
  <c r="C27" i="20"/>
  <c r="D17" i="19"/>
  <c r="C24" i="19"/>
  <c r="C21" i="19"/>
  <c r="C22" i="19" s="1"/>
  <c r="C16" i="19"/>
  <c r="C15" i="19"/>
  <c r="C14" i="19"/>
  <c r="C17" i="19" s="1"/>
  <c r="C11" i="19"/>
  <c r="C10" i="19"/>
  <c r="C9" i="19"/>
  <c r="C8" i="19"/>
  <c r="C12" i="19" s="1"/>
  <c r="C19" i="19" s="1"/>
  <c r="C5" i="19"/>
  <c r="C4" i="19"/>
  <c r="C6" i="19" s="1"/>
  <c r="R138" i="31"/>
  <c r="Q138" i="31"/>
  <c r="P138" i="31"/>
  <c r="O138" i="31"/>
  <c r="M138" i="31"/>
  <c r="L138" i="31"/>
  <c r="K138" i="31"/>
  <c r="J138" i="31"/>
  <c r="G138" i="31"/>
  <c r="G139" i="31" s="1"/>
  <c r="F138" i="31"/>
  <c r="F139" i="31" s="1"/>
  <c r="E138" i="31"/>
  <c r="E139" i="31" s="1"/>
  <c r="R137" i="31"/>
  <c r="R139" i="31" s="1"/>
  <c r="Q137" i="31"/>
  <c r="Q139" i="31" s="1"/>
  <c r="P137" i="31"/>
  <c r="P139" i="31" s="1"/>
  <c r="O137" i="31"/>
  <c r="O139" i="31" s="1"/>
  <c r="M137" i="31"/>
  <c r="M139" i="31" s="1"/>
  <c r="L137" i="31"/>
  <c r="L139" i="31" s="1"/>
  <c r="K137" i="31"/>
  <c r="K139" i="31" s="1"/>
  <c r="J137" i="31"/>
  <c r="J139" i="31" s="1"/>
  <c r="R130" i="31"/>
  <c r="Q130" i="31"/>
  <c r="P130" i="31"/>
  <c r="O130" i="31"/>
  <c r="M130" i="31"/>
  <c r="L130" i="31"/>
  <c r="K130" i="31"/>
  <c r="J130" i="31"/>
  <c r="G130" i="31"/>
  <c r="E130" i="31"/>
  <c r="F129" i="31"/>
  <c r="F130" i="31" s="1"/>
  <c r="R127" i="31"/>
  <c r="Q127" i="31"/>
  <c r="R125" i="31"/>
  <c r="Q125" i="31"/>
  <c r="P125" i="31"/>
  <c r="O125" i="31"/>
  <c r="M125" i="31"/>
  <c r="L125" i="31"/>
  <c r="K125" i="31"/>
  <c r="J125" i="31"/>
  <c r="G125" i="31"/>
  <c r="G127" i="31" s="1"/>
  <c r="F125" i="31"/>
  <c r="F127" i="31" s="1"/>
  <c r="E125" i="31"/>
  <c r="R120" i="31"/>
  <c r="Q120" i="31"/>
  <c r="P120" i="31"/>
  <c r="P127" i="31" s="1"/>
  <c r="O120" i="31"/>
  <c r="O127" i="31" s="1"/>
  <c r="M120" i="31"/>
  <c r="M127" i="31" s="1"/>
  <c r="L120" i="31"/>
  <c r="L127" i="31" s="1"/>
  <c r="K120" i="31"/>
  <c r="J120" i="31"/>
  <c r="G120" i="31"/>
  <c r="F120" i="31"/>
  <c r="E120" i="31"/>
  <c r="R114" i="31"/>
  <c r="Q114" i="31"/>
  <c r="P114" i="31"/>
  <c r="O114" i="31"/>
  <c r="M114" i="31"/>
  <c r="L114" i="31"/>
  <c r="K114" i="31"/>
  <c r="J114" i="31"/>
  <c r="G114" i="31"/>
  <c r="G132" i="31" s="1"/>
  <c r="F113" i="31"/>
  <c r="F114" i="31" s="1"/>
  <c r="E113" i="31"/>
  <c r="E114" i="31" s="1"/>
  <c r="I107" i="31"/>
  <c r="R102" i="31"/>
  <c r="Q102" i="31"/>
  <c r="P102" i="31"/>
  <c r="O102" i="31"/>
  <c r="M102" i="31"/>
  <c r="L102" i="31"/>
  <c r="K102" i="31"/>
  <c r="J102" i="31"/>
  <c r="G99" i="31"/>
  <c r="G102" i="31" s="1"/>
  <c r="F99" i="31"/>
  <c r="F102" i="31" s="1"/>
  <c r="E99" i="31"/>
  <c r="E102" i="31" s="1"/>
  <c r="R93" i="31"/>
  <c r="Q93" i="31"/>
  <c r="P93" i="31"/>
  <c r="O93" i="31"/>
  <c r="M93" i="31"/>
  <c r="L93" i="31"/>
  <c r="K93" i="31"/>
  <c r="J93" i="31"/>
  <c r="G93" i="31"/>
  <c r="F93" i="31"/>
  <c r="E93" i="31"/>
  <c r="G86" i="31"/>
  <c r="F86" i="31"/>
  <c r="E86" i="31"/>
  <c r="O68" i="31"/>
  <c r="O74" i="31" s="1"/>
  <c r="E65" i="31"/>
  <c r="K62" i="31"/>
  <c r="K68" i="31" s="1"/>
  <c r="K69" i="31" s="1"/>
  <c r="O57" i="31"/>
  <c r="M57" i="31"/>
  <c r="L57" i="31"/>
  <c r="K57" i="31"/>
  <c r="Q56" i="31"/>
  <c r="Q62" i="31" s="1"/>
  <c r="Q63" i="31" s="1"/>
  <c r="P56" i="31"/>
  <c r="P62" i="31" s="1"/>
  <c r="P63" i="31" s="1"/>
  <c r="G56" i="31"/>
  <c r="F56" i="31"/>
  <c r="E54" i="31"/>
  <c r="E56" i="31" s="1"/>
  <c r="R53" i="31"/>
  <c r="R56" i="31" s="1"/>
  <c r="Q53" i="31"/>
  <c r="P53" i="31"/>
  <c r="O53" i="31"/>
  <c r="O56" i="31" s="1"/>
  <c r="O62" i="31" s="1"/>
  <c r="O63" i="31" s="1"/>
  <c r="M53" i="31"/>
  <c r="M56" i="31" s="1"/>
  <c r="M62" i="31" s="1"/>
  <c r="L53" i="31"/>
  <c r="L56" i="31" s="1"/>
  <c r="L62" i="31" s="1"/>
  <c r="K53" i="31"/>
  <c r="K56" i="31" s="1"/>
  <c r="J53" i="31"/>
  <c r="J56" i="31" s="1"/>
  <c r="G53" i="31"/>
  <c r="F53" i="31"/>
  <c r="E53" i="31"/>
  <c r="H49" i="31"/>
  <c r="H51" i="31" s="1"/>
  <c r="H53" i="31" s="1"/>
  <c r="H56" i="31" s="1"/>
  <c r="F49" i="31"/>
  <c r="E49" i="31"/>
  <c r="E36" i="31"/>
  <c r="F25" i="31"/>
  <c r="F36" i="31" s="1"/>
  <c r="E25" i="31"/>
  <c r="F21" i="31"/>
  <c r="E21" i="31"/>
  <c r="H71" i="18"/>
  <c r="H66" i="18"/>
  <c r="H60" i="18"/>
  <c r="H59" i="18"/>
  <c r="E71" i="18"/>
  <c r="D71" i="18"/>
  <c r="C71" i="18"/>
  <c r="E66" i="18"/>
  <c r="D66" i="18"/>
  <c r="C66" i="18"/>
  <c r="E65" i="18"/>
  <c r="E65" i="26" s="1"/>
  <c r="D65" i="18"/>
  <c r="C65" i="18"/>
  <c r="E60" i="18"/>
  <c r="D60" i="18"/>
  <c r="C60" i="18"/>
  <c r="E59" i="18"/>
  <c r="E59" i="26" s="1"/>
  <c r="D59" i="18"/>
  <c r="C59" i="18"/>
  <c r="D54" i="18"/>
  <c r="C54" i="18"/>
  <c r="D53" i="18"/>
  <c r="C53" i="18"/>
  <c r="C48" i="18"/>
  <c r="C41" i="18"/>
  <c r="G40" i="18"/>
  <c r="F40" i="18"/>
  <c r="E40" i="18"/>
  <c r="D40" i="18"/>
  <c r="C40" i="18"/>
  <c r="G39" i="18"/>
  <c r="F39" i="18"/>
  <c r="E39" i="18"/>
  <c r="D39" i="18"/>
  <c r="C39" i="18"/>
  <c r="G38" i="18"/>
  <c r="F38" i="18"/>
  <c r="E38" i="18"/>
  <c r="C38" i="18"/>
  <c r="G34" i="18"/>
  <c r="F34" i="18"/>
  <c r="E34" i="18"/>
  <c r="D34" i="18"/>
  <c r="C34" i="18"/>
  <c r="G33" i="18"/>
  <c r="G36" i="18" s="1"/>
  <c r="F33" i="18"/>
  <c r="F36" i="18" s="1"/>
  <c r="E33" i="18"/>
  <c r="D33" i="18"/>
  <c r="C33" i="18"/>
  <c r="G32" i="18"/>
  <c r="F32" i="18"/>
  <c r="E32" i="18"/>
  <c r="D32" i="18"/>
  <c r="C32" i="18"/>
  <c r="C36" i="18" s="1"/>
  <c r="G27" i="18"/>
  <c r="F27" i="18"/>
  <c r="E27" i="18"/>
  <c r="C27" i="18"/>
  <c r="G26" i="18"/>
  <c r="F26" i="18"/>
  <c r="E26" i="18"/>
  <c r="C26" i="18"/>
  <c r="G25" i="18"/>
  <c r="F25" i="18"/>
  <c r="E25" i="18"/>
  <c r="D25" i="18"/>
  <c r="H25" i="18" s="1"/>
  <c r="C25" i="18"/>
  <c r="G24" i="18"/>
  <c r="F24" i="18"/>
  <c r="E24" i="18"/>
  <c r="D24" i="18"/>
  <c r="H24" i="18" s="1"/>
  <c r="C24" i="18"/>
  <c r="G23" i="18"/>
  <c r="F23" i="18"/>
  <c r="E23" i="18"/>
  <c r="C23" i="18"/>
  <c r="G22" i="18"/>
  <c r="F22" i="18"/>
  <c r="C22" i="18"/>
  <c r="G21" i="18"/>
  <c r="G28" i="18" s="1"/>
  <c r="E7" i="47" s="1"/>
  <c r="F21" i="18"/>
  <c r="F28" i="18" s="1"/>
  <c r="D7" i="47" s="1"/>
  <c r="D9" i="52" s="1"/>
  <c r="E21" i="18"/>
  <c r="C21" i="18"/>
  <c r="C18" i="18"/>
  <c r="C17" i="18"/>
  <c r="C19" i="18" s="1"/>
  <c r="C14" i="18"/>
  <c r="C13" i="18"/>
  <c r="C10" i="18"/>
  <c r="C9" i="18"/>
  <c r="C8" i="18"/>
  <c r="C7" i="18"/>
  <c r="C6" i="18"/>
  <c r="C5" i="18"/>
  <c r="C40" i="17"/>
  <c r="C39" i="17"/>
  <c r="C38" i="17"/>
  <c r="C34" i="17"/>
  <c r="C33" i="17"/>
  <c r="C32" i="17"/>
  <c r="C27" i="17"/>
  <c r="C26" i="17"/>
  <c r="C25" i="17"/>
  <c r="C24" i="17"/>
  <c r="C23" i="17"/>
  <c r="C22" i="17"/>
  <c r="E22" i="18" s="1"/>
  <c r="C21" i="17"/>
  <c r="C28" i="17" s="1"/>
  <c r="D66" i="17"/>
  <c r="D65" i="17"/>
  <c r="D60" i="17"/>
  <c r="E60" i="17" s="1"/>
  <c r="D59" i="17"/>
  <c r="D54" i="17"/>
  <c r="D53" i="17"/>
  <c r="D40" i="17"/>
  <c r="E40" i="17" s="1"/>
  <c r="D39" i="17"/>
  <c r="E39" i="17" s="1"/>
  <c r="D38" i="17"/>
  <c r="E38" i="17" s="1"/>
  <c r="D34" i="17"/>
  <c r="E34" i="17" s="1"/>
  <c r="D33" i="17"/>
  <c r="E33" i="17" s="1"/>
  <c r="D32" i="17"/>
  <c r="E32" i="17" s="1"/>
  <c r="D27" i="17"/>
  <c r="E27" i="17" s="1"/>
  <c r="D26" i="17"/>
  <c r="E26" i="17" s="1"/>
  <c r="D25" i="17"/>
  <c r="E25" i="17" s="1"/>
  <c r="D24" i="17"/>
  <c r="E24" i="17" s="1"/>
  <c r="D23" i="17"/>
  <c r="E23" i="17" s="1"/>
  <c r="C36" i="17"/>
  <c r="G60" i="16"/>
  <c r="G59" i="16"/>
  <c r="G54" i="16"/>
  <c r="G53" i="16"/>
  <c r="F71" i="16"/>
  <c r="F66" i="16"/>
  <c r="G66" i="16" s="1"/>
  <c r="F65" i="16"/>
  <c r="F60" i="16"/>
  <c r="F59" i="16"/>
  <c r="F54" i="16"/>
  <c r="F53" i="16"/>
  <c r="F48" i="16"/>
  <c r="F41" i="16"/>
  <c r="F40" i="16"/>
  <c r="F39" i="16"/>
  <c r="F38" i="16"/>
  <c r="F34" i="16"/>
  <c r="F36" i="16" s="1"/>
  <c r="F33" i="16"/>
  <c r="F32" i="16"/>
  <c r="F27" i="16"/>
  <c r="F26" i="16"/>
  <c r="F25" i="16"/>
  <c r="F24" i="16"/>
  <c r="F23" i="16"/>
  <c r="F22" i="16"/>
  <c r="F21" i="16"/>
  <c r="F28" i="16" s="1"/>
  <c r="F18" i="16"/>
  <c r="F17" i="16"/>
  <c r="F19" i="16" s="1"/>
  <c r="F14" i="16"/>
  <c r="F13" i="16"/>
  <c r="F15" i="16" s="1"/>
  <c r="F6" i="16"/>
  <c r="F7" i="16"/>
  <c r="F8" i="16"/>
  <c r="F9" i="16"/>
  <c r="F10" i="16"/>
  <c r="F5" i="16"/>
  <c r="F11" i="16" s="1"/>
  <c r="F43" i="16"/>
  <c r="E23" i="16"/>
  <c r="E53" i="16"/>
  <c r="E54" i="16"/>
  <c r="D71" i="16"/>
  <c r="D66" i="16"/>
  <c r="D65" i="16"/>
  <c r="D60" i="16"/>
  <c r="D59" i="16"/>
  <c r="D54" i="16"/>
  <c r="D53" i="16"/>
  <c r="E21" i="16"/>
  <c r="D28" i="16"/>
  <c r="D36" i="16"/>
  <c r="C66" i="16"/>
  <c r="E66" i="16" s="1"/>
  <c r="C60" i="16"/>
  <c r="E60" i="16" s="1"/>
  <c r="G71" i="16"/>
  <c r="C65" i="16"/>
  <c r="E65" i="16" s="1"/>
  <c r="C59" i="16"/>
  <c r="E59" i="16" s="1"/>
  <c r="C54" i="16"/>
  <c r="C53" i="16"/>
  <c r="C41" i="16"/>
  <c r="G41" i="16" s="1"/>
  <c r="C40" i="16"/>
  <c r="G40" i="16" s="1"/>
  <c r="C39" i="16"/>
  <c r="G39" i="16" s="1"/>
  <c r="C38" i="16"/>
  <c r="G38" i="16" s="1"/>
  <c r="C34" i="16"/>
  <c r="E34" i="16" s="1"/>
  <c r="C33" i="16"/>
  <c r="E33" i="16" s="1"/>
  <c r="C32" i="16"/>
  <c r="G32" i="16" s="1"/>
  <c r="C27" i="16"/>
  <c r="D27" i="18" s="1"/>
  <c r="H27" i="18" s="1"/>
  <c r="C26" i="16"/>
  <c r="D26" i="23" s="1"/>
  <c r="J26" i="23" s="1"/>
  <c r="C25" i="16"/>
  <c r="E25" i="16" s="1"/>
  <c r="C24" i="16"/>
  <c r="E24" i="16" s="1"/>
  <c r="C23" i="16"/>
  <c r="D23" i="18" s="1"/>
  <c r="H23" i="18" s="1"/>
  <c r="C22" i="16"/>
  <c r="D22" i="17" s="1"/>
  <c r="E22" i="17" s="1"/>
  <c r="C21" i="16"/>
  <c r="D21" i="26" s="1"/>
  <c r="K21" i="26" s="1"/>
  <c r="D21" i="51" s="1"/>
  <c r="C18" i="16"/>
  <c r="D18" i="25" s="1"/>
  <c r="H18" i="25" s="1"/>
  <c r="C14" i="16"/>
  <c r="D14" i="17" s="1"/>
  <c r="C43" i="16"/>
  <c r="C36" i="16"/>
  <c r="M39" i="7"/>
  <c r="L39" i="7"/>
  <c r="K39" i="7"/>
  <c r="M38" i="7"/>
  <c r="L38" i="7"/>
  <c r="K38" i="7"/>
  <c r="M37" i="7"/>
  <c r="L37" i="7"/>
  <c r="K37" i="7"/>
  <c r="M33" i="7"/>
  <c r="R33" i="7" s="1"/>
  <c r="L33" i="7"/>
  <c r="K33" i="7"/>
  <c r="M32" i="7"/>
  <c r="L32" i="7"/>
  <c r="K32" i="7"/>
  <c r="M31" i="7"/>
  <c r="L31" i="7"/>
  <c r="K31" i="7"/>
  <c r="M26" i="7"/>
  <c r="L26" i="7"/>
  <c r="Q26" i="7" s="1"/>
  <c r="K26" i="7"/>
  <c r="M25" i="7"/>
  <c r="L25" i="7"/>
  <c r="Q25" i="7" s="1"/>
  <c r="K25" i="7"/>
  <c r="P25" i="7" s="1"/>
  <c r="M24" i="7"/>
  <c r="R24" i="7" s="1"/>
  <c r="L24" i="7"/>
  <c r="Q24" i="7" s="1"/>
  <c r="K24" i="7"/>
  <c r="M23" i="7"/>
  <c r="L23" i="7"/>
  <c r="K23" i="7"/>
  <c r="M22" i="7"/>
  <c r="L22" i="7"/>
  <c r="K22" i="7"/>
  <c r="M21" i="7"/>
  <c r="L21" i="7"/>
  <c r="Q21" i="7" s="1"/>
  <c r="K21" i="7"/>
  <c r="P21" i="7" s="1"/>
  <c r="M20" i="7"/>
  <c r="R20" i="7" s="1"/>
  <c r="L20" i="7"/>
  <c r="Q20" i="7" s="1"/>
  <c r="K20" i="7"/>
  <c r="J38" i="6"/>
  <c r="I38" i="6"/>
  <c r="H38" i="6"/>
  <c r="J37" i="6"/>
  <c r="I37" i="6"/>
  <c r="H37" i="6"/>
  <c r="J36" i="6"/>
  <c r="I36" i="6"/>
  <c r="H36" i="6"/>
  <c r="J32" i="6"/>
  <c r="I32" i="6"/>
  <c r="H32" i="6"/>
  <c r="J31" i="6"/>
  <c r="I31" i="6"/>
  <c r="H31" i="6"/>
  <c r="J30" i="6"/>
  <c r="I30" i="6"/>
  <c r="H30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D8" i="6"/>
  <c r="E8" i="6" s="1"/>
  <c r="R39" i="7"/>
  <c r="Q39" i="7"/>
  <c r="P39" i="7"/>
  <c r="R38" i="7"/>
  <c r="Q38" i="7"/>
  <c r="P38" i="7"/>
  <c r="Q33" i="7"/>
  <c r="P33" i="7"/>
  <c r="R32" i="7"/>
  <c r="Q32" i="7"/>
  <c r="P32" i="7"/>
  <c r="R26" i="7"/>
  <c r="P26" i="7"/>
  <c r="R25" i="7"/>
  <c r="P24" i="7"/>
  <c r="R23" i="7"/>
  <c r="Q23" i="7"/>
  <c r="P23" i="7"/>
  <c r="R22" i="7"/>
  <c r="Q22" i="7"/>
  <c r="P22" i="7"/>
  <c r="D39" i="6"/>
  <c r="D38" i="6"/>
  <c r="D37" i="6"/>
  <c r="D36" i="6"/>
  <c r="D32" i="6"/>
  <c r="D31" i="6"/>
  <c r="D30" i="6"/>
  <c r="D25" i="6"/>
  <c r="E25" i="6" s="1"/>
  <c r="D24" i="6"/>
  <c r="D23" i="6"/>
  <c r="E23" i="6" s="1"/>
  <c r="D22" i="6"/>
  <c r="E22" i="6" s="1"/>
  <c r="D21" i="6"/>
  <c r="D20" i="6"/>
  <c r="D19" i="6"/>
  <c r="E19" i="6" s="1"/>
  <c r="D16" i="6"/>
  <c r="D15" i="6"/>
  <c r="D12" i="6"/>
  <c r="D11" i="6"/>
  <c r="E11" i="6" s="1"/>
  <c r="D7" i="6"/>
  <c r="D6" i="6"/>
  <c r="D5" i="6"/>
  <c r="D4" i="6"/>
  <c r="D3" i="6"/>
  <c r="E3" i="6" s="1"/>
  <c r="D18" i="17" l="1"/>
  <c r="D41" i="24"/>
  <c r="D21" i="17"/>
  <c r="D21" i="25"/>
  <c r="H21" i="25" s="1"/>
  <c r="D24" i="26"/>
  <c r="K24" i="26" s="1"/>
  <c r="D32" i="26"/>
  <c r="K32" i="26" s="1"/>
  <c r="D32" i="51" s="1"/>
  <c r="D14" i="23"/>
  <c r="J14" i="23" s="1"/>
  <c r="D41" i="25"/>
  <c r="H41" i="25" s="1"/>
  <c r="D18" i="26"/>
  <c r="K18" i="26" s="1"/>
  <c r="D18" i="51" s="1"/>
  <c r="K18" i="51" s="1"/>
  <c r="D18" i="18"/>
  <c r="D18" i="23"/>
  <c r="J18" i="23" s="1"/>
  <c r="D25" i="25"/>
  <c r="H25" i="25" s="1"/>
  <c r="I25" i="25" s="1"/>
  <c r="D40" i="26"/>
  <c r="H40" i="26" s="1"/>
  <c r="D38" i="23"/>
  <c r="D43" i="23" s="1"/>
  <c r="E26" i="25"/>
  <c r="D23" i="23"/>
  <c r="J23" i="23" s="1"/>
  <c r="D40" i="23"/>
  <c r="E40" i="23" s="1"/>
  <c r="D41" i="26"/>
  <c r="K41" i="26" s="1"/>
  <c r="D18" i="24"/>
  <c r="D32" i="25"/>
  <c r="H32" i="25" s="1"/>
  <c r="D41" i="23"/>
  <c r="J41" i="23" s="1"/>
  <c r="D25" i="24"/>
  <c r="O25" i="24" s="1"/>
  <c r="D33" i="24"/>
  <c r="H33" i="24" s="1"/>
  <c r="D40" i="24"/>
  <c r="H40" i="24" s="1"/>
  <c r="G21" i="16"/>
  <c r="D41" i="18"/>
  <c r="G23" i="16"/>
  <c r="G25" i="16"/>
  <c r="D24" i="23"/>
  <c r="J24" i="23" s="1"/>
  <c r="E27" i="16"/>
  <c r="G26" i="16"/>
  <c r="D21" i="24"/>
  <c r="H21" i="24" s="1"/>
  <c r="D33" i="25"/>
  <c r="E33" i="25" s="1"/>
  <c r="D23" i="26"/>
  <c r="K23" i="26" s="1"/>
  <c r="D27" i="26"/>
  <c r="K27" i="26" s="1"/>
  <c r="D14" i="18"/>
  <c r="G14" i="16"/>
  <c r="G18" i="16"/>
  <c r="D26" i="18"/>
  <c r="H26" i="18" s="1"/>
  <c r="E26" i="16"/>
  <c r="G27" i="16"/>
  <c r="D38" i="18"/>
  <c r="D25" i="23"/>
  <c r="J25" i="23" s="1"/>
  <c r="D24" i="24"/>
  <c r="H24" i="24" s="1"/>
  <c r="D41" i="17"/>
  <c r="D14" i="25"/>
  <c r="D34" i="25"/>
  <c r="H34" i="25" s="1"/>
  <c r="I34" i="25" s="1"/>
  <c r="D38" i="26"/>
  <c r="K38" i="26" s="1"/>
  <c r="D38" i="51" s="1"/>
  <c r="K38" i="51" s="1"/>
  <c r="D14" i="24"/>
  <c r="O14" i="24" s="1"/>
  <c r="G24" i="16"/>
  <c r="F101" i="26"/>
  <c r="R101" i="24"/>
  <c r="G97" i="51"/>
  <c r="N101" i="26"/>
  <c r="Q101" i="24"/>
  <c r="F97" i="51"/>
  <c r="M101" i="26"/>
  <c r="E97" i="51"/>
  <c r="L101" i="26"/>
  <c r="E101" i="24"/>
  <c r="E101" i="26"/>
  <c r="J13" i="51"/>
  <c r="J15" i="51" s="1"/>
  <c r="C15" i="51"/>
  <c r="J21" i="51"/>
  <c r="H21" i="51"/>
  <c r="K21" i="51"/>
  <c r="O24" i="26"/>
  <c r="D24" i="51"/>
  <c r="H38" i="18"/>
  <c r="H19" i="52"/>
  <c r="D36" i="18"/>
  <c r="H36" i="18" s="1"/>
  <c r="H13" i="52"/>
  <c r="H39" i="18"/>
  <c r="H20" i="52"/>
  <c r="K34" i="26"/>
  <c r="D41" i="51"/>
  <c r="C36" i="26"/>
  <c r="H33" i="18"/>
  <c r="H14" i="52"/>
  <c r="H42" i="52" s="1"/>
  <c r="J36" i="26"/>
  <c r="C32" i="51"/>
  <c r="C43" i="51"/>
  <c r="J38" i="51"/>
  <c r="J43" i="51" s="1"/>
  <c r="C36" i="24"/>
  <c r="H32" i="51"/>
  <c r="K32" i="51"/>
  <c r="H38" i="51"/>
  <c r="E39" i="25"/>
  <c r="H40" i="18"/>
  <c r="H21" i="52"/>
  <c r="H34" i="18"/>
  <c r="H15" i="52"/>
  <c r="H44" i="52" s="1"/>
  <c r="E40" i="25"/>
  <c r="L32" i="51"/>
  <c r="L38" i="51"/>
  <c r="E39" i="51"/>
  <c r="L39" i="51" s="1"/>
  <c r="I16" i="49"/>
  <c r="E9" i="52"/>
  <c r="C7" i="37"/>
  <c r="C7" i="40"/>
  <c r="C7" i="38"/>
  <c r="C14" i="52" s="1"/>
  <c r="C7" i="39"/>
  <c r="E36" i="18"/>
  <c r="C7" i="41"/>
  <c r="C7" i="45"/>
  <c r="E36" i="26"/>
  <c r="L33" i="26"/>
  <c r="D36" i="17"/>
  <c r="E36" i="17" s="1"/>
  <c r="H32" i="18"/>
  <c r="H38" i="25"/>
  <c r="C15" i="26"/>
  <c r="C19" i="26"/>
  <c r="H24" i="26"/>
  <c r="C19" i="24"/>
  <c r="K25" i="26"/>
  <c r="J15" i="26"/>
  <c r="J17" i="26"/>
  <c r="N15" i="24"/>
  <c r="K26" i="26"/>
  <c r="D22" i="25"/>
  <c r="H22" i="25" s="1"/>
  <c r="N22" i="26"/>
  <c r="N28" i="26" s="1"/>
  <c r="E28" i="18"/>
  <c r="C7" i="47" s="1"/>
  <c r="D22" i="24"/>
  <c r="O22" i="24" s="1"/>
  <c r="D22" i="26"/>
  <c r="K22" i="26" s="1"/>
  <c r="C28" i="16"/>
  <c r="E28" i="16" s="1"/>
  <c r="D22" i="18"/>
  <c r="H22" i="18" s="1"/>
  <c r="G22" i="16"/>
  <c r="E22" i="16"/>
  <c r="D22" i="23"/>
  <c r="E22" i="23" s="1"/>
  <c r="G22" i="25"/>
  <c r="E21" i="25"/>
  <c r="G21" i="25"/>
  <c r="G28" i="25" s="1"/>
  <c r="D21" i="18"/>
  <c r="C28" i="25"/>
  <c r="E21" i="17"/>
  <c r="E21" i="26"/>
  <c r="L21" i="26" s="1"/>
  <c r="D13" i="47"/>
  <c r="D8" i="47"/>
  <c r="L8" i="47" s="1"/>
  <c r="L7" i="47"/>
  <c r="M7" i="47"/>
  <c r="E8" i="47"/>
  <c r="E13" i="47"/>
  <c r="E33" i="23"/>
  <c r="E26" i="23"/>
  <c r="J66" i="23"/>
  <c r="K66" i="23" s="1"/>
  <c r="E34" i="23"/>
  <c r="J71" i="23"/>
  <c r="E32" i="23"/>
  <c r="E27" i="23"/>
  <c r="N28" i="24"/>
  <c r="N43" i="24"/>
  <c r="D43" i="24"/>
  <c r="N32" i="24"/>
  <c r="N36" i="24" s="1"/>
  <c r="O53" i="24"/>
  <c r="C11" i="24"/>
  <c r="O101" i="24"/>
  <c r="G28" i="24"/>
  <c r="H26" i="24"/>
  <c r="D36" i="24"/>
  <c r="N18" i="24"/>
  <c r="N19" i="24" s="1"/>
  <c r="E36" i="24"/>
  <c r="O40" i="24"/>
  <c r="C101" i="24"/>
  <c r="H39" i="24"/>
  <c r="F28" i="24"/>
  <c r="F36" i="24"/>
  <c r="O32" i="24"/>
  <c r="C15" i="24"/>
  <c r="G36" i="24"/>
  <c r="O41" i="24"/>
  <c r="C28" i="24"/>
  <c r="O18" i="24"/>
  <c r="E28" i="24"/>
  <c r="D101" i="24"/>
  <c r="O71" i="24"/>
  <c r="H23" i="24"/>
  <c r="H27" i="24"/>
  <c r="C43" i="24"/>
  <c r="J59" i="23"/>
  <c r="J60" i="23"/>
  <c r="J65" i="23"/>
  <c r="E39" i="23"/>
  <c r="J21" i="23"/>
  <c r="J32" i="23"/>
  <c r="C28" i="23"/>
  <c r="J40" i="23"/>
  <c r="F65" i="18"/>
  <c r="F101" i="24"/>
  <c r="G101" i="24"/>
  <c r="C11" i="26"/>
  <c r="J5" i="26"/>
  <c r="H71" i="26"/>
  <c r="H33" i="26"/>
  <c r="D36" i="26"/>
  <c r="H36" i="26" s="1"/>
  <c r="K33" i="26"/>
  <c r="C28" i="26"/>
  <c r="J23" i="26"/>
  <c r="C23" i="51" s="1"/>
  <c r="J23" i="51" s="1"/>
  <c r="C43" i="26"/>
  <c r="D91" i="26"/>
  <c r="J28" i="26"/>
  <c r="O21" i="26"/>
  <c r="F28" i="26"/>
  <c r="J43" i="26"/>
  <c r="C101" i="26"/>
  <c r="G28" i="26"/>
  <c r="H21" i="26"/>
  <c r="D101" i="26"/>
  <c r="K39" i="26"/>
  <c r="H39" i="26"/>
  <c r="G101" i="26"/>
  <c r="K59" i="26"/>
  <c r="O59" i="26" s="1"/>
  <c r="H59" i="26"/>
  <c r="H32" i="26"/>
  <c r="O32" i="26"/>
  <c r="C91" i="26"/>
  <c r="I32" i="25"/>
  <c r="I21" i="25"/>
  <c r="E27" i="25"/>
  <c r="H23" i="25"/>
  <c r="I23" i="25" s="1"/>
  <c r="H33" i="25"/>
  <c r="I33" i="25" s="1"/>
  <c r="H14" i="25"/>
  <c r="H71" i="25"/>
  <c r="C36" i="25"/>
  <c r="H59" i="25"/>
  <c r="I59" i="25" s="1"/>
  <c r="H60" i="25"/>
  <c r="I60" i="25" s="1"/>
  <c r="E24" i="25"/>
  <c r="H65" i="25"/>
  <c r="I65" i="25" s="1"/>
  <c r="E23" i="25"/>
  <c r="E32" i="25"/>
  <c r="E66" i="25"/>
  <c r="N11" i="24"/>
  <c r="H34" i="24"/>
  <c r="H38" i="24"/>
  <c r="E23" i="23"/>
  <c r="C36" i="23"/>
  <c r="E36" i="23" s="1"/>
  <c r="E21" i="23"/>
  <c r="F6" i="19"/>
  <c r="D6" i="19"/>
  <c r="D23" i="20"/>
  <c r="G23" i="20"/>
  <c r="C23" i="20"/>
  <c r="C26" i="19"/>
  <c r="H57" i="31"/>
  <c r="H62" i="31"/>
  <c r="O75" i="31"/>
  <c r="O141" i="31"/>
  <c r="O143" i="31" s="1"/>
  <c r="O79" i="31"/>
  <c r="L68" i="31"/>
  <c r="L63" i="31"/>
  <c r="E57" i="31"/>
  <c r="E62" i="31"/>
  <c r="P68" i="31"/>
  <c r="Q68" i="31"/>
  <c r="O69" i="31"/>
  <c r="P57" i="31"/>
  <c r="Q57" i="31"/>
  <c r="J57" i="31"/>
  <c r="J62" i="31"/>
  <c r="K74" i="31"/>
  <c r="F57" i="31"/>
  <c r="F62" i="31"/>
  <c r="G57" i="31"/>
  <c r="G62" i="31"/>
  <c r="F132" i="31"/>
  <c r="E127" i="31"/>
  <c r="E132" i="31" s="1"/>
  <c r="M68" i="31"/>
  <c r="M63" i="31"/>
  <c r="J127" i="31"/>
  <c r="K63" i="31"/>
  <c r="K127" i="31"/>
  <c r="R62" i="31"/>
  <c r="R57" i="31"/>
  <c r="C11" i="18"/>
  <c r="C43" i="18"/>
  <c r="D43" i="18"/>
  <c r="C15" i="18"/>
  <c r="C28" i="18"/>
  <c r="D43" i="17"/>
  <c r="D28" i="17"/>
  <c r="E71" i="17"/>
  <c r="E65" i="17"/>
  <c r="E59" i="17"/>
  <c r="E66" i="17"/>
  <c r="G36" i="16"/>
  <c r="G43" i="16"/>
  <c r="E71" i="16"/>
  <c r="E32" i="16"/>
  <c r="G33" i="16"/>
  <c r="G34" i="16"/>
  <c r="E40" i="16"/>
  <c r="E39" i="16"/>
  <c r="E38" i="16"/>
  <c r="G65" i="16"/>
  <c r="E36" i="16"/>
  <c r="F30" i="16"/>
  <c r="F45" i="16" s="1"/>
  <c r="F47" i="16" s="1"/>
  <c r="Q27" i="7"/>
  <c r="L35" i="7"/>
  <c r="M35" i="7"/>
  <c r="M27" i="7"/>
  <c r="E30" i="6"/>
  <c r="H34" i="6"/>
  <c r="E12" i="6"/>
  <c r="E16" i="6"/>
  <c r="E7" i="6"/>
  <c r="H26" i="6"/>
  <c r="E36" i="6"/>
  <c r="R21" i="7"/>
  <c r="R27" i="7" s="1"/>
  <c r="E4" i="6"/>
  <c r="I34" i="6"/>
  <c r="P20" i="7"/>
  <c r="P27" i="7" s="1"/>
  <c r="K27" i="7"/>
  <c r="P37" i="7"/>
  <c r="E5" i="6"/>
  <c r="E15" i="6"/>
  <c r="E21" i="6"/>
  <c r="E31" i="6"/>
  <c r="E37" i="6"/>
  <c r="K35" i="7"/>
  <c r="Q37" i="7"/>
  <c r="R37" i="7"/>
  <c r="E38" i="6"/>
  <c r="E32" i="6"/>
  <c r="P31" i="7"/>
  <c r="P35" i="7" s="1"/>
  <c r="Q31" i="7"/>
  <c r="Q35" i="7" s="1"/>
  <c r="E6" i="6"/>
  <c r="E39" i="6"/>
  <c r="R31" i="7"/>
  <c r="R35" i="7" s="1"/>
  <c r="E20" i="6"/>
  <c r="E24" i="6"/>
  <c r="L27" i="7"/>
  <c r="O24" i="24" l="1"/>
  <c r="H23" i="26"/>
  <c r="J38" i="23"/>
  <c r="H38" i="26"/>
  <c r="H43" i="25"/>
  <c r="H22" i="52"/>
  <c r="H24" i="52" s="1"/>
  <c r="H46" i="52" s="1"/>
  <c r="E38" i="23"/>
  <c r="D36" i="25"/>
  <c r="E36" i="25" s="1"/>
  <c r="O21" i="24"/>
  <c r="O28" i="24" s="1"/>
  <c r="E25" i="25"/>
  <c r="E34" i="25"/>
  <c r="D43" i="25"/>
  <c r="H27" i="26"/>
  <c r="O33" i="24"/>
  <c r="H25" i="24"/>
  <c r="E25" i="23"/>
  <c r="O38" i="26"/>
  <c r="E24" i="23"/>
  <c r="K40" i="26"/>
  <c r="K43" i="26" s="1"/>
  <c r="D43" i="26"/>
  <c r="N97" i="51"/>
  <c r="N101" i="51" s="1"/>
  <c r="G101" i="51"/>
  <c r="M97" i="51"/>
  <c r="M101" i="51" s="1"/>
  <c r="F101" i="51"/>
  <c r="L97" i="51"/>
  <c r="L101" i="51" s="1"/>
  <c r="E101" i="51"/>
  <c r="F65" i="26"/>
  <c r="M65" i="26" s="1"/>
  <c r="F65" i="51" s="1"/>
  <c r="M65" i="51" s="1"/>
  <c r="F65" i="24"/>
  <c r="O27" i="26"/>
  <c r="D27" i="51"/>
  <c r="O26" i="26"/>
  <c r="D26" i="51"/>
  <c r="J19" i="26"/>
  <c r="C17" i="51"/>
  <c r="O25" i="26"/>
  <c r="D25" i="51"/>
  <c r="J11" i="26"/>
  <c r="C5" i="51"/>
  <c r="K24" i="51"/>
  <c r="O24" i="51" s="1"/>
  <c r="H24" i="51"/>
  <c r="O21" i="51"/>
  <c r="D28" i="24"/>
  <c r="H28" i="24" s="1"/>
  <c r="O23" i="26"/>
  <c r="D23" i="51"/>
  <c r="C28" i="51"/>
  <c r="D28" i="26"/>
  <c r="H28" i="26" s="1"/>
  <c r="J28" i="51"/>
  <c r="O22" i="26"/>
  <c r="D22" i="51"/>
  <c r="O32" i="51"/>
  <c r="O33" i="26"/>
  <c r="D33" i="51"/>
  <c r="J32" i="51"/>
  <c r="J36" i="51" s="1"/>
  <c r="C36" i="51"/>
  <c r="O39" i="26"/>
  <c r="D39" i="51"/>
  <c r="H59" i="52"/>
  <c r="I59" i="52"/>
  <c r="O40" i="26"/>
  <c r="D40" i="51"/>
  <c r="K41" i="51"/>
  <c r="O34" i="26"/>
  <c r="D34" i="51"/>
  <c r="H60" i="52"/>
  <c r="I60" i="52"/>
  <c r="H36" i="25"/>
  <c r="I36" i="25" s="1"/>
  <c r="H40" i="52"/>
  <c r="H17" i="52"/>
  <c r="O38" i="51"/>
  <c r="L28" i="26"/>
  <c r="E21" i="51"/>
  <c r="L36" i="26"/>
  <c r="E33" i="51"/>
  <c r="K9" i="52"/>
  <c r="C8" i="47"/>
  <c r="C9" i="52"/>
  <c r="C13" i="52"/>
  <c r="C15" i="52"/>
  <c r="H36" i="24"/>
  <c r="N30" i="24"/>
  <c r="N45" i="24" s="1"/>
  <c r="N47" i="24" s="1"/>
  <c r="N50" i="24" s="1"/>
  <c r="N51" i="24" s="1"/>
  <c r="C13" i="38"/>
  <c r="C8" i="38"/>
  <c r="K7" i="38"/>
  <c r="K7" i="40"/>
  <c r="C13" i="40"/>
  <c r="C8" i="40"/>
  <c r="K8" i="40" s="1"/>
  <c r="L48" i="27" s="1"/>
  <c r="K7" i="42"/>
  <c r="C31" i="42"/>
  <c r="C37" i="42" s="1"/>
  <c r="C13" i="42"/>
  <c r="C13" i="37"/>
  <c r="K7" i="37"/>
  <c r="C8" i="37"/>
  <c r="K8" i="37" s="1"/>
  <c r="I48" i="27" s="1"/>
  <c r="C13" i="41"/>
  <c r="C31" i="41"/>
  <c r="K7" i="41"/>
  <c r="C8" i="41"/>
  <c r="K8" i="41" s="1"/>
  <c r="M48" i="27" s="1"/>
  <c r="C10" i="41"/>
  <c r="C13" i="39"/>
  <c r="K7" i="39"/>
  <c r="C8" i="39"/>
  <c r="K7" i="45"/>
  <c r="C13" i="45"/>
  <c r="C8" i="45"/>
  <c r="K8" i="45" s="1"/>
  <c r="E22" i="25"/>
  <c r="C30" i="26"/>
  <c r="I38" i="25"/>
  <c r="O43" i="24"/>
  <c r="D28" i="25"/>
  <c r="E28" i="25" s="1"/>
  <c r="C30" i="24"/>
  <c r="C45" i="24" s="1"/>
  <c r="C47" i="24" s="1"/>
  <c r="C50" i="24" s="1"/>
  <c r="C51" i="24" s="1"/>
  <c r="G28" i="16"/>
  <c r="D28" i="23"/>
  <c r="E28" i="23" s="1"/>
  <c r="H22" i="24"/>
  <c r="J22" i="23"/>
  <c r="J28" i="23" s="1"/>
  <c r="H22" i="26"/>
  <c r="K28" i="26"/>
  <c r="O28" i="26" s="1"/>
  <c r="I22" i="25"/>
  <c r="BD47" i="27"/>
  <c r="BD28" i="27" s="1"/>
  <c r="M13" i="47"/>
  <c r="BD53" i="27" s="1"/>
  <c r="E10" i="47"/>
  <c r="M8" i="47"/>
  <c r="D10" i="47"/>
  <c r="L13" i="47"/>
  <c r="AJ53" i="27" s="1"/>
  <c r="AJ47" i="27"/>
  <c r="AJ28" i="27" s="1"/>
  <c r="L10" i="47"/>
  <c r="AJ48" i="27"/>
  <c r="D28" i="18"/>
  <c r="H9" i="52" s="1"/>
  <c r="H21" i="18"/>
  <c r="E28" i="26"/>
  <c r="O36" i="24"/>
  <c r="J43" i="23"/>
  <c r="J36" i="23"/>
  <c r="G65" i="18"/>
  <c r="C45" i="26"/>
  <c r="C47" i="26" s="1"/>
  <c r="C50" i="26" s="1"/>
  <c r="J30" i="26"/>
  <c r="J45" i="26" s="1"/>
  <c r="J47" i="26" s="1"/>
  <c r="J50" i="26" s="1"/>
  <c r="K36" i="26"/>
  <c r="O36" i="26" s="1"/>
  <c r="H28" i="25"/>
  <c r="I28" i="25" s="1"/>
  <c r="R63" i="31"/>
  <c r="R68" i="31"/>
  <c r="Q69" i="31"/>
  <c r="Q74" i="31"/>
  <c r="P74" i="31"/>
  <c r="P69" i="31"/>
  <c r="M69" i="31"/>
  <c r="M74" i="31"/>
  <c r="E63" i="31"/>
  <c r="E68" i="31"/>
  <c r="L69" i="31"/>
  <c r="L74" i="31"/>
  <c r="O84" i="31"/>
  <c r="O89" i="31" s="1"/>
  <c r="O104" i="31" s="1"/>
  <c r="O107" i="31" s="1"/>
  <c r="O108" i="31" s="1"/>
  <c r="O80" i="31"/>
  <c r="G68" i="31"/>
  <c r="G63" i="31"/>
  <c r="F63" i="31"/>
  <c r="F68" i="31"/>
  <c r="H68" i="31"/>
  <c r="H63" i="31"/>
  <c r="K141" i="31"/>
  <c r="K143" i="31" s="1"/>
  <c r="K75" i="31"/>
  <c r="K79" i="31"/>
  <c r="J68" i="31"/>
  <c r="J63" i="31"/>
  <c r="C30" i="18"/>
  <c r="E28" i="17"/>
  <c r="F50" i="16"/>
  <c r="I26" i="6"/>
  <c r="G65" i="26" l="1"/>
  <c r="G65" i="24"/>
  <c r="H65" i="24" s="1"/>
  <c r="J5" i="51"/>
  <c r="J11" i="51" s="1"/>
  <c r="C11" i="51"/>
  <c r="K26" i="51"/>
  <c r="O26" i="51" s="1"/>
  <c r="H26" i="51"/>
  <c r="H25" i="51"/>
  <c r="K25" i="51"/>
  <c r="O25" i="51" s="1"/>
  <c r="C19" i="51"/>
  <c r="J17" i="51"/>
  <c r="J19" i="51" s="1"/>
  <c r="K27" i="51"/>
  <c r="O27" i="51" s="1"/>
  <c r="H27" i="51"/>
  <c r="H23" i="51"/>
  <c r="K23" i="51"/>
  <c r="O23" i="51" s="1"/>
  <c r="K22" i="51"/>
  <c r="H22" i="51"/>
  <c r="D28" i="51"/>
  <c r="H28" i="51" s="1"/>
  <c r="K33" i="51"/>
  <c r="H33" i="51"/>
  <c r="D36" i="51"/>
  <c r="H36" i="51" s="1"/>
  <c r="H34" i="51"/>
  <c r="K34" i="51"/>
  <c r="O34" i="51" s="1"/>
  <c r="H39" i="51"/>
  <c r="K39" i="51"/>
  <c r="D43" i="51"/>
  <c r="H61" i="52"/>
  <c r="K40" i="51"/>
  <c r="O40" i="51" s="1"/>
  <c r="H40" i="51"/>
  <c r="H58" i="52"/>
  <c r="I58" i="52"/>
  <c r="E28" i="51"/>
  <c r="L21" i="51"/>
  <c r="L28" i="51" s="1"/>
  <c r="L33" i="51"/>
  <c r="L36" i="51" s="1"/>
  <c r="E36" i="51"/>
  <c r="C17" i="52"/>
  <c r="N56" i="24"/>
  <c r="C56" i="24"/>
  <c r="C10" i="40"/>
  <c r="I47" i="27"/>
  <c r="K10" i="37"/>
  <c r="K13" i="37"/>
  <c r="I53" i="27" s="1"/>
  <c r="C11" i="41"/>
  <c r="C16" i="41"/>
  <c r="K10" i="45"/>
  <c r="O48" i="27"/>
  <c r="C10" i="45"/>
  <c r="K13" i="45"/>
  <c r="O53" i="27" s="1"/>
  <c r="O47" i="27"/>
  <c r="L47" i="27"/>
  <c r="L33" i="27" s="1"/>
  <c r="L36" i="27" s="1"/>
  <c r="L45" i="27" s="1"/>
  <c r="K13" i="40"/>
  <c r="L53" i="27" s="1"/>
  <c r="K10" i="40"/>
  <c r="C10" i="37"/>
  <c r="C10" i="39"/>
  <c r="K8" i="39"/>
  <c r="J48" i="27" s="1"/>
  <c r="K13" i="38"/>
  <c r="K53" i="27" s="1"/>
  <c r="K47" i="27"/>
  <c r="K31" i="41"/>
  <c r="M71" i="27" s="1"/>
  <c r="K10" i="41"/>
  <c r="M47" i="27"/>
  <c r="K13" i="41"/>
  <c r="M53" i="27" s="1"/>
  <c r="C10" i="42"/>
  <c r="C11" i="42" s="1"/>
  <c r="K8" i="42"/>
  <c r="N48" i="27" s="1"/>
  <c r="K31" i="42"/>
  <c r="K13" i="42"/>
  <c r="N53" i="27" s="1"/>
  <c r="N47" i="27"/>
  <c r="N34" i="27" s="1"/>
  <c r="N36" i="27" s="1"/>
  <c r="N45" i="27" s="1"/>
  <c r="C16" i="40"/>
  <c r="C11" i="40"/>
  <c r="K13" i="39"/>
  <c r="J53" i="27" s="1"/>
  <c r="J47" i="27"/>
  <c r="C10" i="38"/>
  <c r="K8" i="38"/>
  <c r="H28" i="18"/>
  <c r="M10" i="47"/>
  <c r="BD48" i="27"/>
  <c r="L16" i="47"/>
  <c r="L11" i="47"/>
  <c r="AJ24" i="27"/>
  <c r="AJ21" i="27"/>
  <c r="AJ27" i="27"/>
  <c r="AJ26" i="27"/>
  <c r="AJ25" i="27"/>
  <c r="AJ22" i="27"/>
  <c r="AJ23" i="27"/>
  <c r="AJ30" i="27"/>
  <c r="AJ45" i="27" s="1"/>
  <c r="D16" i="47"/>
  <c r="D11" i="47"/>
  <c r="AJ50" i="27"/>
  <c r="E11" i="47"/>
  <c r="E16" i="47"/>
  <c r="BD26" i="27"/>
  <c r="BD25" i="27"/>
  <c r="BD22" i="27"/>
  <c r="BD21" i="27"/>
  <c r="BD27" i="27"/>
  <c r="BD23" i="27"/>
  <c r="BD24" i="27"/>
  <c r="BD30" i="27"/>
  <c r="BD45" i="27" s="1"/>
  <c r="H65" i="18"/>
  <c r="J56" i="26"/>
  <c r="J51" i="26"/>
  <c r="C56" i="26"/>
  <c r="C51" i="26"/>
  <c r="N62" i="24"/>
  <c r="N57" i="24"/>
  <c r="C57" i="24"/>
  <c r="C62" i="24"/>
  <c r="H74" i="31"/>
  <c r="H69" i="31"/>
  <c r="F74" i="31"/>
  <c r="F69" i="31"/>
  <c r="G74" i="31"/>
  <c r="G69" i="31"/>
  <c r="O149" i="31"/>
  <c r="P106" i="31"/>
  <c r="L75" i="31"/>
  <c r="L79" i="31"/>
  <c r="L141" i="31"/>
  <c r="L143" i="31" s="1"/>
  <c r="E74" i="31"/>
  <c r="E69" i="31"/>
  <c r="M75" i="31"/>
  <c r="M141" i="31"/>
  <c r="M143" i="31" s="1"/>
  <c r="M79" i="31"/>
  <c r="P75" i="31"/>
  <c r="P141" i="31"/>
  <c r="P143" i="31" s="1"/>
  <c r="P79" i="31"/>
  <c r="J69" i="31"/>
  <c r="J74" i="31"/>
  <c r="Q75" i="31"/>
  <c r="Q141" i="31"/>
  <c r="Q143" i="31" s="1"/>
  <c r="Q79" i="31"/>
  <c r="K80" i="31"/>
  <c r="K84" i="31"/>
  <c r="K89" i="31" s="1"/>
  <c r="K104" i="31" s="1"/>
  <c r="K107" i="31" s="1"/>
  <c r="R69" i="31"/>
  <c r="R74" i="31"/>
  <c r="C45" i="18"/>
  <c r="F56" i="16"/>
  <c r="F51" i="16"/>
  <c r="J26" i="6"/>
  <c r="J34" i="6"/>
  <c r="H30" i="54" l="1"/>
  <c r="G12" i="49"/>
  <c r="G24" i="54"/>
  <c r="N65" i="26"/>
  <c r="H65" i="26"/>
  <c r="O22" i="51"/>
  <c r="K28" i="51"/>
  <c r="O28" i="51" s="1"/>
  <c r="C30" i="51"/>
  <c r="C45" i="51" s="1"/>
  <c r="C47" i="51" s="1"/>
  <c r="C50" i="51" s="1"/>
  <c r="J30" i="51"/>
  <c r="J45" i="51" s="1"/>
  <c r="J47" i="51" s="1"/>
  <c r="J50" i="51" s="1"/>
  <c r="O39" i="51"/>
  <c r="K43" i="51"/>
  <c r="O33" i="51"/>
  <c r="K36" i="51"/>
  <c r="O36" i="51" s="1"/>
  <c r="G14" i="49"/>
  <c r="L50" i="27"/>
  <c r="L51" i="27" s="1"/>
  <c r="K10" i="42"/>
  <c r="K11" i="42" s="1"/>
  <c r="C16" i="42"/>
  <c r="C17" i="42" s="1"/>
  <c r="J32" i="27"/>
  <c r="J36" i="27" s="1"/>
  <c r="J45" i="27" s="1"/>
  <c r="J50" i="27"/>
  <c r="K11" i="40"/>
  <c r="K16" i="40"/>
  <c r="C16" i="38"/>
  <c r="C11" i="38"/>
  <c r="C11" i="45"/>
  <c r="C16" i="45"/>
  <c r="K10" i="38"/>
  <c r="K48" i="27"/>
  <c r="K50" i="27" s="1"/>
  <c r="K11" i="45"/>
  <c r="K16" i="45"/>
  <c r="C22" i="40"/>
  <c r="C17" i="40"/>
  <c r="N50" i="27"/>
  <c r="C22" i="41"/>
  <c r="C17" i="41"/>
  <c r="C11" i="37"/>
  <c r="C16" i="37"/>
  <c r="K33" i="27"/>
  <c r="K36" i="27" s="1"/>
  <c r="K45" i="27" s="1"/>
  <c r="K10" i="39"/>
  <c r="O34" i="27"/>
  <c r="O36" i="27" s="1"/>
  <c r="O45" i="27" s="1"/>
  <c r="O50" i="27"/>
  <c r="C11" i="39"/>
  <c r="C16" i="39"/>
  <c r="N71" i="27"/>
  <c r="K37" i="42"/>
  <c r="N77" i="27" s="1"/>
  <c r="M50" i="27"/>
  <c r="M34" i="27"/>
  <c r="M36" i="27" s="1"/>
  <c r="M45" i="27" s="1"/>
  <c r="K16" i="37"/>
  <c r="K11" i="37"/>
  <c r="K16" i="41"/>
  <c r="K11" i="41"/>
  <c r="I32" i="27"/>
  <c r="I36" i="27" s="1"/>
  <c r="I45" i="27" s="1"/>
  <c r="I50" i="27"/>
  <c r="I51" i="27" s="1"/>
  <c r="D22" i="47"/>
  <c r="D17" i="47"/>
  <c r="L22" i="47"/>
  <c r="L17" i="47"/>
  <c r="E22" i="47"/>
  <c r="E17" i="47"/>
  <c r="BD50" i="27"/>
  <c r="AJ56" i="27"/>
  <c r="AJ51" i="27"/>
  <c r="M11" i="47"/>
  <c r="M16" i="47"/>
  <c r="C57" i="26"/>
  <c r="C62" i="26"/>
  <c r="J57" i="26"/>
  <c r="J62" i="26"/>
  <c r="N63" i="24"/>
  <c r="N68" i="24"/>
  <c r="C63" i="24"/>
  <c r="C68" i="24"/>
  <c r="P80" i="31"/>
  <c r="P84" i="31"/>
  <c r="P89" i="31" s="1"/>
  <c r="P104" i="31" s="1"/>
  <c r="P107" i="31" s="1"/>
  <c r="P108" i="31" s="1"/>
  <c r="M80" i="31"/>
  <c r="M84" i="31"/>
  <c r="M89" i="31" s="1"/>
  <c r="M104" i="31" s="1"/>
  <c r="M107" i="31" s="1"/>
  <c r="E75" i="31"/>
  <c r="E141" i="31"/>
  <c r="E143" i="31" s="1"/>
  <c r="E79" i="31"/>
  <c r="L80" i="31"/>
  <c r="L84" i="31"/>
  <c r="L89" i="31" s="1"/>
  <c r="L104" i="31" s="1"/>
  <c r="L107" i="31" s="1"/>
  <c r="R75" i="31"/>
  <c r="R141" i="31"/>
  <c r="R143" i="31" s="1"/>
  <c r="R79" i="31"/>
  <c r="G75" i="31"/>
  <c r="G141" i="31"/>
  <c r="G143" i="31" s="1"/>
  <c r="G79" i="31"/>
  <c r="Q84" i="31"/>
  <c r="Q89" i="31" s="1"/>
  <c r="Q104" i="31" s="1"/>
  <c r="Q107" i="31" s="1"/>
  <c r="Q80" i="31"/>
  <c r="F75" i="31"/>
  <c r="F141" i="31"/>
  <c r="F143" i="31" s="1"/>
  <c r="F79" i="31"/>
  <c r="J141" i="31"/>
  <c r="J143" i="31" s="1"/>
  <c r="J75" i="31"/>
  <c r="J79" i="31"/>
  <c r="H75" i="31"/>
  <c r="H79" i="31"/>
  <c r="H80" i="31" s="1"/>
  <c r="C47" i="18"/>
  <c r="F62" i="16"/>
  <c r="F57" i="16"/>
  <c r="G10" i="49" l="1"/>
  <c r="G22" i="54"/>
  <c r="G9" i="49"/>
  <c r="G21" i="54"/>
  <c r="G15" i="49"/>
  <c r="G29" i="54"/>
  <c r="G13" i="49"/>
  <c r="G25" i="54"/>
  <c r="G11" i="49"/>
  <c r="G23" i="54"/>
  <c r="G65" i="51"/>
  <c r="O65" i="26"/>
  <c r="J51" i="51"/>
  <c r="J56" i="51"/>
  <c r="C56" i="51"/>
  <c r="C51" i="51"/>
  <c r="C22" i="42"/>
  <c r="C28" i="42" s="1"/>
  <c r="M14" i="49"/>
  <c r="M26" i="54"/>
  <c r="L56" i="27"/>
  <c r="L57" i="27" s="1"/>
  <c r="K16" i="42"/>
  <c r="K17" i="42" s="1"/>
  <c r="I56" i="27"/>
  <c r="K56" i="27"/>
  <c r="K51" i="27"/>
  <c r="C23" i="40"/>
  <c r="C28" i="40"/>
  <c r="K17" i="37"/>
  <c r="K22" i="37"/>
  <c r="I62" i="27"/>
  <c r="I57" i="27"/>
  <c r="C17" i="45"/>
  <c r="C22" i="45"/>
  <c r="C28" i="41"/>
  <c r="C23" i="41"/>
  <c r="K17" i="45"/>
  <c r="K22" i="45"/>
  <c r="K17" i="41"/>
  <c r="K22" i="41"/>
  <c r="N56" i="27"/>
  <c r="N51" i="27"/>
  <c r="K11" i="39"/>
  <c r="K16" i="39"/>
  <c r="C22" i="38"/>
  <c r="C17" i="38"/>
  <c r="K17" i="40"/>
  <c r="K22" i="40"/>
  <c r="C22" i="37"/>
  <c r="C17" i="37"/>
  <c r="K16" i="38"/>
  <c r="K11" i="38"/>
  <c r="O56" i="27"/>
  <c r="O51" i="27"/>
  <c r="J51" i="27"/>
  <c r="J56" i="27"/>
  <c r="M51" i="27"/>
  <c r="M56" i="27"/>
  <c r="C22" i="39"/>
  <c r="C17" i="39"/>
  <c r="M17" i="47"/>
  <c r="M22" i="47"/>
  <c r="L23" i="47"/>
  <c r="L28" i="47"/>
  <c r="E28" i="47"/>
  <c r="L16" i="49" s="1"/>
  <c r="N16" i="49" s="1"/>
  <c r="E23" i="47"/>
  <c r="AJ62" i="27"/>
  <c r="AJ57" i="27"/>
  <c r="BD51" i="27"/>
  <c r="BD56" i="27"/>
  <c r="D23" i="47"/>
  <c r="D28" i="47"/>
  <c r="J63" i="26"/>
  <c r="J68" i="26"/>
  <c r="C63" i="26"/>
  <c r="C68" i="26"/>
  <c r="N69" i="24"/>
  <c r="N73" i="24"/>
  <c r="N74" i="24" s="1"/>
  <c r="C69" i="24"/>
  <c r="C73" i="24"/>
  <c r="C74" i="24" s="1"/>
  <c r="G80" i="31"/>
  <c r="G84" i="31"/>
  <c r="G89" i="31" s="1"/>
  <c r="G104" i="31" s="1"/>
  <c r="G107" i="31" s="1"/>
  <c r="G108" i="31" s="1"/>
  <c r="R84" i="31"/>
  <c r="R89" i="31" s="1"/>
  <c r="R104" i="31" s="1"/>
  <c r="R107" i="31" s="1"/>
  <c r="R80" i="31"/>
  <c r="E80" i="31"/>
  <c r="E84" i="31"/>
  <c r="E89" i="31" s="1"/>
  <c r="E104" i="31" s="1"/>
  <c r="E107" i="31" s="1"/>
  <c r="E108" i="31" s="1"/>
  <c r="E149" i="31" s="1"/>
  <c r="J80" i="31"/>
  <c r="J84" i="31"/>
  <c r="J89" i="31" s="1"/>
  <c r="J104" i="31" s="1"/>
  <c r="J107" i="31" s="1"/>
  <c r="J108" i="31" s="1"/>
  <c r="P149" i="31"/>
  <c r="Q106" i="31"/>
  <c r="Q108" i="31" s="1"/>
  <c r="F80" i="31"/>
  <c r="F84" i="31"/>
  <c r="F89" i="31" s="1"/>
  <c r="F104" i="31" s="1"/>
  <c r="F107" i="31" s="1"/>
  <c r="F108" i="31" s="1"/>
  <c r="F149" i="31" s="1"/>
  <c r="C50" i="18"/>
  <c r="F68" i="16"/>
  <c r="F63" i="16"/>
  <c r="L62" i="27" l="1"/>
  <c r="N65" i="51"/>
  <c r="O65" i="51" s="1"/>
  <c r="H65" i="51"/>
  <c r="C62" i="51"/>
  <c r="C57" i="51"/>
  <c r="J57" i="51"/>
  <c r="J62" i="51"/>
  <c r="C23" i="42"/>
  <c r="K22" i="42"/>
  <c r="K28" i="41"/>
  <c r="K23" i="41"/>
  <c r="O62" i="27"/>
  <c r="O57" i="27"/>
  <c r="C33" i="41"/>
  <c r="C34" i="41" s="1"/>
  <c r="C29" i="41"/>
  <c r="I63" i="27"/>
  <c r="I68" i="27"/>
  <c r="J21" i="54" s="1"/>
  <c r="K23" i="37"/>
  <c r="K28" i="37"/>
  <c r="C33" i="40"/>
  <c r="C34" i="40" s="1"/>
  <c r="C29" i="40"/>
  <c r="L68" i="27"/>
  <c r="J24" i="54" s="1"/>
  <c r="L63" i="27"/>
  <c r="M62" i="27"/>
  <c r="M57" i="27"/>
  <c r="J62" i="27"/>
  <c r="J57" i="27"/>
  <c r="C28" i="45"/>
  <c r="C23" i="45"/>
  <c r="K17" i="38"/>
  <c r="K22" i="38"/>
  <c r="K23" i="40"/>
  <c r="K28" i="40"/>
  <c r="C28" i="38"/>
  <c r="C23" i="38"/>
  <c r="C29" i="42"/>
  <c r="C33" i="42"/>
  <c r="C34" i="42" s="1"/>
  <c r="C28" i="39"/>
  <c r="C23" i="39"/>
  <c r="K28" i="45"/>
  <c r="K23" i="45"/>
  <c r="K28" i="42"/>
  <c r="K23" i="42"/>
  <c r="K17" i="39"/>
  <c r="K22" i="39"/>
  <c r="N57" i="27"/>
  <c r="N62" i="27"/>
  <c r="C23" i="37"/>
  <c r="C28" i="37"/>
  <c r="K57" i="27"/>
  <c r="K62" i="27"/>
  <c r="AJ63" i="27"/>
  <c r="AJ68" i="27"/>
  <c r="D29" i="47"/>
  <c r="D33" i="47"/>
  <c r="D34" i="47" s="1"/>
  <c r="E33" i="47"/>
  <c r="E34" i="47" s="1"/>
  <c r="E29" i="47"/>
  <c r="M23" i="47"/>
  <c r="M28" i="47"/>
  <c r="L29" i="47"/>
  <c r="L33" i="47"/>
  <c r="L34" i="47" s="1"/>
  <c r="BD57" i="27"/>
  <c r="BD62" i="27"/>
  <c r="C69" i="26"/>
  <c r="C73" i="26"/>
  <c r="C74" i="26" s="1"/>
  <c r="J69" i="26"/>
  <c r="J73" i="26"/>
  <c r="J74" i="26" s="1"/>
  <c r="Q149" i="31"/>
  <c r="R106" i="31"/>
  <c r="K106" i="31"/>
  <c r="K108" i="31" s="1"/>
  <c r="J149" i="31"/>
  <c r="R108" i="31"/>
  <c r="R149" i="31" s="1"/>
  <c r="G149" i="31"/>
  <c r="I106" i="31"/>
  <c r="I108" i="31" s="1"/>
  <c r="C56" i="18"/>
  <c r="C51" i="18"/>
  <c r="F73" i="16"/>
  <c r="F74" i="16" s="1"/>
  <c r="F69" i="16"/>
  <c r="J63" i="51" l="1"/>
  <c r="J68" i="51"/>
  <c r="C68" i="51"/>
  <c r="C63" i="51"/>
  <c r="C29" i="45"/>
  <c r="C33" i="45"/>
  <c r="C34" i="45" s="1"/>
  <c r="K29" i="42"/>
  <c r="K33" i="42"/>
  <c r="K34" i="42" s="1"/>
  <c r="J12" i="49"/>
  <c r="L69" i="27"/>
  <c r="L73" i="27"/>
  <c r="L74" i="27" s="1"/>
  <c r="J68" i="27"/>
  <c r="J22" i="54" s="1"/>
  <c r="J63" i="27"/>
  <c r="C33" i="39"/>
  <c r="C34" i="39" s="1"/>
  <c r="C29" i="39"/>
  <c r="C29" i="37"/>
  <c r="C33" i="37"/>
  <c r="C34" i="37" s="1"/>
  <c r="J9" i="49"/>
  <c r="I73" i="27"/>
  <c r="I74" i="27" s="1"/>
  <c r="I69" i="27"/>
  <c r="K33" i="37"/>
  <c r="K34" i="37" s="1"/>
  <c r="K29" i="37"/>
  <c r="C29" i="38"/>
  <c r="C33" i="38"/>
  <c r="C34" i="38" s="1"/>
  <c r="K23" i="39"/>
  <c r="K28" i="39"/>
  <c r="K33" i="45"/>
  <c r="K34" i="45" s="1"/>
  <c r="K29" i="45"/>
  <c r="K29" i="40"/>
  <c r="K33" i="40"/>
  <c r="K34" i="40" s="1"/>
  <c r="M68" i="27"/>
  <c r="J25" i="54" s="1"/>
  <c r="M63" i="27"/>
  <c r="O63" i="27"/>
  <c r="O68" i="27"/>
  <c r="J29" i="54" s="1"/>
  <c r="K63" i="27"/>
  <c r="K68" i="27"/>
  <c r="J23" i="54" s="1"/>
  <c r="K28" i="38"/>
  <c r="K23" i="38"/>
  <c r="N63" i="27"/>
  <c r="N68" i="27"/>
  <c r="K29" i="41"/>
  <c r="K33" i="41"/>
  <c r="K34" i="41" s="1"/>
  <c r="BD63" i="27"/>
  <c r="BD68" i="27"/>
  <c r="AJ69" i="27"/>
  <c r="AJ73" i="27"/>
  <c r="AJ74" i="27" s="1"/>
  <c r="M29" i="47"/>
  <c r="M33" i="47"/>
  <c r="M34" i="47" s="1"/>
  <c r="K149" i="31"/>
  <c r="L106" i="31"/>
  <c r="L108" i="31" s="1"/>
  <c r="C62" i="18"/>
  <c r="C57" i="18"/>
  <c r="K30" i="54" l="1"/>
  <c r="C69" i="51"/>
  <c r="C73" i="51"/>
  <c r="J69" i="51"/>
  <c r="J73" i="51"/>
  <c r="J74" i="51" s="1"/>
  <c r="K29" i="38"/>
  <c r="K33" i="38"/>
  <c r="K34" i="38" s="1"/>
  <c r="J11" i="49"/>
  <c r="K69" i="27"/>
  <c r="K73" i="27"/>
  <c r="K74" i="27" s="1"/>
  <c r="J14" i="49"/>
  <c r="N73" i="27"/>
  <c r="N74" i="27" s="1"/>
  <c r="N69" i="27"/>
  <c r="J15" i="49"/>
  <c r="O73" i="27"/>
  <c r="O74" i="27" s="1"/>
  <c r="O69" i="27"/>
  <c r="J10" i="49"/>
  <c r="J69" i="27"/>
  <c r="J73" i="27"/>
  <c r="J74" i="27" s="1"/>
  <c r="J13" i="49"/>
  <c r="M73" i="27"/>
  <c r="M74" i="27" s="1"/>
  <c r="M69" i="27"/>
  <c r="K29" i="39"/>
  <c r="K33" i="39"/>
  <c r="K34" i="39" s="1"/>
  <c r="BD73" i="27"/>
  <c r="BD74" i="27" s="1"/>
  <c r="BD69" i="27"/>
  <c r="L149" i="31"/>
  <c r="M106" i="31"/>
  <c r="M108" i="31" s="1"/>
  <c r="M149" i="31" s="1"/>
  <c r="C68" i="18"/>
  <c r="C63" i="18"/>
  <c r="C82" i="51" l="1"/>
  <c r="C74" i="51"/>
  <c r="C73" i="18"/>
  <c r="C4" i="20" s="1"/>
  <c r="C82" i="26" s="1"/>
  <c r="C69" i="18"/>
  <c r="J82" i="51" l="1"/>
  <c r="J87" i="51" s="1"/>
  <c r="J103" i="51" s="1"/>
  <c r="J106" i="51" s="1"/>
  <c r="J107" i="51" s="1"/>
  <c r="C87" i="51"/>
  <c r="C103" i="51" s="1"/>
  <c r="C106" i="51" s="1"/>
  <c r="C107" i="51" s="1"/>
  <c r="D105" i="51" s="1"/>
  <c r="K105" i="51" s="1"/>
  <c r="J82" i="26"/>
  <c r="J87" i="26" s="1"/>
  <c r="J103" i="26" s="1"/>
  <c r="J106" i="26" s="1"/>
  <c r="J107" i="26" s="1"/>
  <c r="C82" i="24"/>
  <c r="C9" i="20"/>
  <c r="C25" i="20" s="1"/>
  <c r="C28" i="20" s="1"/>
  <c r="C29" i="20" s="1"/>
  <c r="C74" i="18"/>
  <c r="C87" i="24" l="1"/>
  <c r="C103" i="24" s="1"/>
  <c r="C106" i="24" s="1"/>
  <c r="C107" i="24" s="1"/>
  <c r="D105" i="24" s="1"/>
  <c r="N82" i="24"/>
  <c r="N87" i="24" s="1"/>
  <c r="N103" i="24" s="1"/>
  <c r="N106" i="24" s="1"/>
  <c r="N107" i="24" s="1"/>
  <c r="D27" i="20"/>
  <c r="C28" i="19"/>
  <c r="C87" i="26"/>
  <c r="C103" i="26" s="1"/>
  <c r="C106" i="26" s="1"/>
  <c r="C107" i="26" s="1"/>
  <c r="D105" i="26" s="1"/>
  <c r="K105" i="26" s="1"/>
  <c r="O105" i="24" l="1"/>
  <c r="H22" i="4" l="1"/>
  <c r="H23" i="4"/>
  <c r="H24" i="4"/>
  <c r="H25" i="4"/>
  <c r="H26" i="4"/>
  <c r="H27" i="4"/>
  <c r="H31" i="4"/>
  <c r="H32" i="4"/>
  <c r="H33" i="4"/>
  <c r="H35" i="4"/>
  <c r="G39" i="4"/>
  <c r="H39" i="4" s="1"/>
  <c r="G38" i="4"/>
  <c r="H38" i="4" s="1"/>
  <c r="G37" i="4"/>
  <c r="H37" i="4" s="1"/>
  <c r="G27" i="4"/>
  <c r="G22" i="4"/>
  <c r="G23" i="4"/>
  <c r="G24" i="4"/>
  <c r="G25" i="4"/>
  <c r="G26" i="4"/>
  <c r="G31" i="4"/>
  <c r="G35" i="4" s="1"/>
  <c r="G32" i="4"/>
  <c r="G33" i="4"/>
  <c r="G17" i="4"/>
  <c r="G13" i="4"/>
  <c r="G12" i="4"/>
  <c r="G14" i="4" s="1"/>
  <c r="G5" i="4"/>
  <c r="G4" i="4"/>
  <c r="F40" i="4"/>
  <c r="F39" i="4"/>
  <c r="F38" i="4"/>
  <c r="F37" i="4"/>
  <c r="F31" i="4"/>
  <c r="F32" i="4"/>
  <c r="F33" i="4"/>
  <c r="F35" i="4"/>
  <c r="F22" i="4"/>
  <c r="F23" i="4"/>
  <c r="F24" i="4"/>
  <c r="F25" i="4"/>
  <c r="F26" i="4"/>
  <c r="F27" i="4"/>
  <c r="F17" i="4"/>
  <c r="F13" i="4"/>
  <c r="F12" i="4"/>
  <c r="F14" i="4" s="1"/>
  <c r="F9" i="4"/>
  <c r="P42" i="1"/>
  <c r="S42" i="1" s="1"/>
  <c r="F7" i="4"/>
  <c r="G7" i="4" s="1"/>
  <c r="F6" i="4"/>
  <c r="G6" i="4" s="1"/>
  <c r="F5" i="4"/>
  <c r="F4" i="4"/>
  <c r="C13" i="16"/>
  <c r="D44" i="4"/>
  <c r="D42" i="4"/>
  <c r="D35" i="4"/>
  <c r="D29" i="4"/>
  <c r="D27" i="4"/>
  <c r="D18" i="4"/>
  <c r="D14" i="4"/>
  <c r="D10" i="4"/>
  <c r="G40" i="4" l="1"/>
  <c r="O40" i="4"/>
  <c r="L40" i="4"/>
  <c r="M40" i="4"/>
  <c r="P40" i="4"/>
  <c r="S40" i="4"/>
  <c r="N40" i="4"/>
  <c r="Q40" i="4"/>
  <c r="R40" i="4"/>
  <c r="W40" i="4"/>
  <c r="T40" i="4"/>
  <c r="U40" i="4"/>
  <c r="V40" i="4"/>
  <c r="H39" i="6"/>
  <c r="H41" i="6" s="1"/>
  <c r="C41" i="25"/>
  <c r="C41" i="23"/>
  <c r="C41" i="17"/>
  <c r="K40" i="7"/>
  <c r="F7" i="18"/>
  <c r="F7" i="26"/>
  <c r="M7" i="26" s="1"/>
  <c r="F7" i="51" s="1"/>
  <c r="M7" i="51" s="1"/>
  <c r="F7" i="24"/>
  <c r="L6" i="7"/>
  <c r="Q6" i="7" s="1"/>
  <c r="I5" i="6"/>
  <c r="H6" i="4"/>
  <c r="F8" i="26"/>
  <c r="M8" i="26" s="1"/>
  <c r="F8" i="51" s="1"/>
  <c r="M8" i="51" s="1"/>
  <c r="F8" i="24"/>
  <c r="I6" i="6"/>
  <c r="L7" i="7"/>
  <c r="Q7" i="7" s="1"/>
  <c r="F8" i="18"/>
  <c r="H7" i="4"/>
  <c r="F6" i="26"/>
  <c r="M6" i="26" s="1"/>
  <c r="F6" i="51" s="1"/>
  <c r="M6" i="51" s="1"/>
  <c r="L5" i="7"/>
  <c r="Q5" i="7" s="1"/>
  <c r="F6" i="24"/>
  <c r="I4" i="6"/>
  <c r="F6" i="18"/>
  <c r="L13" i="7"/>
  <c r="Q13" i="7" s="1"/>
  <c r="F14" i="18"/>
  <c r="I12" i="6"/>
  <c r="F14" i="26"/>
  <c r="M14" i="26" s="1"/>
  <c r="F14" i="51" s="1"/>
  <c r="M14" i="51" s="1"/>
  <c r="F14" i="24"/>
  <c r="H8" i="6"/>
  <c r="C10" i="25"/>
  <c r="C10" i="23"/>
  <c r="K9" i="7"/>
  <c r="P9" i="7" s="1"/>
  <c r="C10" i="17"/>
  <c r="H5" i="4"/>
  <c r="K5" i="7"/>
  <c r="P5" i="7" s="1"/>
  <c r="H4" i="6"/>
  <c r="C6" i="23"/>
  <c r="C6" i="25"/>
  <c r="C6" i="17"/>
  <c r="C15" i="16"/>
  <c r="D13" i="25"/>
  <c r="D13" i="24"/>
  <c r="G13" i="16"/>
  <c r="D13" i="18"/>
  <c r="D13" i="17"/>
  <c r="D15" i="17" s="1"/>
  <c r="D13" i="26"/>
  <c r="D13" i="23"/>
  <c r="F13" i="24"/>
  <c r="L12" i="7"/>
  <c r="F13" i="18"/>
  <c r="I11" i="6"/>
  <c r="F13" i="26"/>
  <c r="F18" i="24"/>
  <c r="F18" i="18"/>
  <c r="L17" i="7"/>
  <c r="Q17" i="7" s="1"/>
  <c r="F18" i="26"/>
  <c r="M18" i="26" s="1"/>
  <c r="F18" i="51" s="1"/>
  <c r="M18" i="51" s="1"/>
  <c r="I16" i="6"/>
  <c r="K4" i="7"/>
  <c r="C5" i="17"/>
  <c r="C5" i="23"/>
  <c r="H3" i="6"/>
  <c r="C5" i="25"/>
  <c r="H6" i="6"/>
  <c r="C8" i="17"/>
  <c r="C8" i="23"/>
  <c r="C8" i="25"/>
  <c r="K7" i="7"/>
  <c r="P7" i="7" s="1"/>
  <c r="H13" i="4"/>
  <c r="H16" i="6"/>
  <c r="C18" i="17"/>
  <c r="K17" i="7"/>
  <c r="P17" i="7" s="1"/>
  <c r="C18" i="23"/>
  <c r="E18" i="23" s="1"/>
  <c r="E18" i="16"/>
  <c r="C18" i="25"/>
  <c r="H12" i="4"/>
  <c r="I3" i="6"/>
  <c r="F5" i="26"/>
  <c r="L4" i="7"/>
  <c r="F5" i="24"/>
  <c r="F5" i="18"/>
  <c r="C7" i="23"/>
  <c r="K6" i="7"/>
  <c r="P6" i="7" s="1"/>
  <c r="C7" i="25"/>
  <c r="H5" i="6"/>
  <c r="C7" i="17"/>
  <c r="H17" i="4"/>
  <c r="H4" i="4"/>
  <c r="K12" i="7"/>
  <c r="C13" i="25"/>
  <c r="C13" i="17"/>
  <c r="H11" i="6"/>
  <c r="H13" i="6" s="1"/>
  <c r="C13" i="23"/>
  <c r="E13" i="16"/>
  <c r="C14" i="23"/>
  <c r="E14" i="23" s="1"/>
  <c r="K13" i="7"/>
  <c r="P13" i="7" s="1"/>
  <c r="C14" i="17"/>
  <c r="H12" i="6"/>
  <c r="C14" i="25"/>
  <c r="G9" i="4"/>
  <c r="F42" i="4"/>
  <c r="G42" i="4"/>
  <c r="D43" i="16" l="1"/>
  <c r="E43" i="16" s="1"/>
  <c r="E41" i="16"/>
  <c r="G41" i="25"/>
  <c r="C43" i="25"/>
  <c r="E43" i="25" s="1"/>
  <c r="E41" i="25"/>
  <c r="V42" i="4"/>
  <c r="W41" i="17"/>
  <c r="W43" i="17" s="1"/>
  <c r="AF40" i="7"/>
  <c r="AF42" i="7" s="1"/>
  <c r="X39" i="6"/>
  <c r="X41" i="6" s="1"/>
  <c r="T41" i="17"/>
  <c r="T43" i="17" s="1"/>
  <c r="AC40" i="7"/>
  <c r="AC42" i="7" s="1"/>
  <c r="S42" i="4"/>
  <c r="U39" i="6"/>
  <c r="U41" i="6" s="1"/>
  <c r="E41" i="26"/>
  <c r="E41" i="18"/>
  <c r="E41" i="24"/>
  <c r="E43" i="24" s="1"/>
  <c r="C43" i="17"/>
  <c r="E43" i="17" s="1"/>
  <c r="E41" i="17"/>
  <c r="T39" i="6"/>
  <c r="T41" i="6" s="1"/>
  <c r="AB40" i="7"/>
  <c r="AB42" i="7" s="1"/>
  <c r="R42" i="4"/>
  <c r="S41" i="17"/>
  <c r="S43" i="17" s="1"/>
  <c r="P39" i="6"/>
  <c r="P41" i="6" s="1"/>
  <c r="N42" i="4"/>
  <c r="O41" i="17"/>
  <c r="O43" i="17" s="1"/>
  <c r="X40" i="7"/>
  <c r="X42" i="7" s="1"/>
  <c r="N39" i="6"/>
  <c r="N41" i="6" s="1"/>
  <c r="M41" i="17"/>
  <c r="M43" i="17" s="1"/>
  <c r="V40" i="7"/>
  <c r="V42" i="7" s="1"/>
  <c r="L42" i="4"/>
  <c r="K42" i="7"/>
  <c r="P40" i="7"/>
  <c r="P42" i="7" s="1"/>
  <c r="AD40" i="7"/>
  <c r="AD42" i="7" s="1"/>
  <c r="U41" i="17"/>
  <c r="U43" i="17" s="1"/>
  <c r="T42" i="4"/>
  <c r="V39" i="6"/>
  <c r="V41" i="6" s="1"/>
  <c r="AG40" i="7"/>
  <c r="AG42" i="7" s="1"/>
  <c r="X41" i="17"/>
  <c r="X43" i="17" s="1"/>
  <c r="W42" i="4"/>
  <c r="Y39" i="6"/>
  <c r="Y41" i="6" s="1"/>
  <c r="R41" i="17"/>
  <c r="R43" i="17" s="1"/>
  <c r="S39" i="6"/>
  <c r="S41" i="6" s="1"/>
  <c r="AA40" i="7"/>
  <c r="AA42" i="7" s="1"/>
  <c r="Q42" i="4"/>
  <c r="Z40" i="7"/>
  <c r="Z42" i="7" s="1"/>
  <c r="P42" i="4"/>
  <c r="Q41" i="17"/>
  <c r="Q43" i="17" s="1"/>
  <c r="R39" i="6"/>
  <c r="R41" i="6" s="1"/>
  <c r="P41" i="17"/>
  <c r="P43" i="17" s="1"/>
  <c r="Q39" i="6"/>
  <c r="Q41" i="6" s="1"/>
  <c r="Y40" i="7"/>
  <c r="Y42" i="7" s="1"/>
  <c r="O42" i="4"/>
  <c r="E41" i="23"/>
  <c r="C43" i="23"/>
  <c r="E43" i="23" s="1"/>
  <c r="U42" i="4"/>
  <c r="V41" i="17"/>
  <c r="V43" i="17" s="1"/>
  <c r="AE40" i="7"/>
  <c r="AE42" i="7" s="1"/>
  <c r="W39" i="6"/>
  <c r="W41" i="6" s="1"/>
  <c r="O39" i="6"/>
  <c r="O41" i="6" s="1"/>
  <c r="M42" i="4"/>
  <c r="W40" i="7"/>
  <c r="W42" i="7" s="1"/>
  <c r="N41" i="17"/>
  <c r="N43" i="17" s="1"/>
  <c r="H40" i="4"/>
  <c r="I39" i="6"/>
  <c r="I41" i="6" s="1"/>
  <c r="F41" i="26"/>
  <c r="F41" i="18"/>
  <c r="F43" i="18" s="1"/>
  <c r="F41" i="24"/>
  <c r="F43" i="24" s="1"/>
  <c r="L40" i="7"/>
  <c r="F10" i="26"/>
  <c r="M10" i="26" s="1"/>
  <c r="F10" i="51" s="1"/>
  <c r="M10" i="51" s="1"/>
  <c r="F10" i="24"/>
  <c r="I8" i="6"/>
  <c r="L9" i="7"/>
  <c r="Q9" i="7" s="1"/>
  <c r="F10" i="18"/>
  <c r="H9" i="4"/>
  <c r="J12" i="6"/>
  <c r="M13" i="7"/>
  <c r="R13" i="7" s="1"/>
  <c r="G14" i="18"/>
  <c r="H14" i="18" s="1"/>
  <c r="G14" i="26"/>
  <c r="G14" i="24"/>
  <c r="H14" i="24" s="1"/>
  <c r="F15" i="18"/>
  <c r="G8" i="18"/>
  <c r="G8" i="26"/>
  <c r="N8" i="26" s="1"/>
  <c r="G8" i="51" s="1"/>
  <c r="N8" i="51" s="1"/>
  <c r="J6" i="6"/>
  <c r="M7" i="7"/>
  <c r="R7" i="7" s="1"/>
  <c r="G8" i="24"/>
  <c r="G6" i="25"/>
  <c r="F15" i="26"/>
  <c r="M13" i="26"/>
  <c r="G8" i="25"/>
  <c r="K13" i="26"/>
  <c r="D15" i="26"/>
  <c r="E10" i="26"/>
  <c r="L10" i="26" s="1"/>
  <c r="E10" i="51" s="1"/>
  <c r="L10" i="51" s="1"/>
  <c r="E10" i="24"/>
  <c r="E10" i="18"/>
  <c r="P4" i="7"/>
  <c r="G18" i="24"/>
  <c r="G18" i="26"/>
  <c r="G18" i="18"/>
  <c r="H18" i="18" s="1"/>
  <c r="M17" i="7"/>
  <c r="R17" i="7" s="1"/>
  <c r="J16" i="6"/>
  <c r="J13" i="23"/>
  <c r="J15" i="23" s="1"/>
  <c r="D15" i="23"/>
  <c r="G7" i="18"/>
  <c r="G7" i="24"/>
  <c r="G7" i="26"/>
  <c r="N7" i="26" s="1"/>
  <c r="G7" i="51" s="1"/>
  <c r="N7" i="51" s="1"/>
  <c r="J5" i="6"/>
  <c r="M6" i="7"/>
  <c r="R6" i="7" s="1"/>
  <c r="H14" i="4"/>
  <c r="G13" i="18"/>
  <c r="M12" i="7"/>
  <c r="J11" i="6"/>
  <c r="G13" i="26"/>
  <c r="G13" i="24"/>
  <c r="E6" i="26"/>
  <c r="L6" i="26" s="1"/>
  <c r="E6" i="51" s="1"/>
  <c r="L6" i="51" s="1"/>
  <c r="E6" i="24"/>
  <c r="E6" i="18"/>
  <c r="F15" i="24"/>
  <c r="C15" i="25"/>
  <c r="G14" i="25"/>
  <c r="I14" i="25" s="1"/>
  <c r="E14" i="25"/>
  <c r="E13" i="26"/>
  <c r="E13" i="18"/>
  <c r="E15" i="18" s="1"/>
  <c r="E13" i="17"/>
  <c r="E13" i="24"/>
  <c r="C15" i="17"/>
  <c r="E15" i="17" s="1"/>
  <c r="G13" i="25"/>
  <c r="G15" i="25" s="1"/>
  <c r="E13" i="25"/>
  <c r="P12" i="7"/>
  <c r="P14" i="7" s="1"/>
  <c r="K14" i="7"/>
  <c r="G6" i="24"/>
  <c r="M5" i="7"/>
  <c r="R5" i="7" s="1"/>
  <c r="G6" i="18"/>
  <c r="G6" i="26"/>
  <c r="N6" i="26" s="1"/>
  <c r="G6" i="51" s="1"/>
  <c r="N6" i="51" s="1"/>
  <c r="J4" i="6"/>
  <c r="E14" i="17"/>
  <c r="E14" i="26"/>
  <c r="L14" i="26" s="1"/>
  <c r="E14" i="51" s="1"/>
  <c r="L14" i="51" s="1"/>
  <c r="E14" i="24"/>
  <c r="E14" i="18"/>
  <c r="G10" i="25"/>
  <c r="G18" i="25"/>
  <c r="I18" i="25" s="1"/>
  <c r="E18" i="25"/>
  <c r="E18" i="17"/>
  <c r="E18" i="26"/>
  <c r="L18" i="26" s="1"/>
  <c r="E18" i="51" s="1"/>
  <c r="L18" i="51" s="1"/>
  <c r="E18" i="24"/>
  <c r="E18" i="18"/>
  <c r="G5" i="26"/>
  <c r="N5" i="26" s="1"/>
  <c r="J3" i="6"/>
  <c r="G5" i="24"/>
  <c r="M4" i="7"/>
  <c r="G5" i="18"/>
  <c r="O13" i="24"/>
  <c r="H13" i="24"/>
  <c r="D15" i="24"/>
  <c r="E13" i="23"/>
  <c r="C15" i="23"/>
  <c r="G7" i="25"/>
  <c r="E8" i="18"/>
  <c r="E8" i="26"/>
  <c r="L8" i="26" s="1"/>
  <c r="E8" i="51" s="1"/>
  <c r="L8" i="51" s="1"/>
  <c r="E8" i="24"/>
  <c r="H13" i="18"/>
  <c r="D15" i="18"/>
  <c r="D15" i="16"/>
  <c r="E15" i="16" s="1"/>
  <c r="E14" i="16"/>
  <c r="M5" i="26"/>
  <c r="H13" i="25"/>
  <c r="D15" i="25"/>
  <c r="I13" i="6"/>
  <c r="E7" i="26"/>
  <c r="L7" i="26" s="1"/>
  <c r="E7" i="51" s="1"/>
  <c r="L7" i="51" s="1"/>
  <c r="E7" i="18"/>
  <c r="E7" i="24"/>
  <c r="Q12" i="7"/>
  <c r="Q14" i="7" s="1"/>
  <c r="L14" i="7"/>
  <c r="G5" i="25"/>
  <c r="Q4" i="7"/>
  <c r="E5" i="26"/>
  <c r="E5" i="24"/>
  <c r="E5" i="18"/>
  <c r="G15" i="16"/>
  <c r="D18" i="56" l="1"/>
  <c r="D19" i="56" s="1"/>
  <c r="E43" i="18"/>
  <c r="M41" i="26"/>
  <c r="F43" i="26"/>
  <c r="Q40" i="7"/>
  <c r="Q42" i="7" s="1"/>
  <c r="L42" i="7"/>
  <c r="G41" i="24"/>
  <c r="G41" i="26"/>
  <c r="G41" i="18"/>
  <c r="M40" i="7"/>
  <c r="J39" i="6"/>
  <c r="J41" i="6" s="1"/>
  <c r="H42" i="4"/>
  <c r="G43" i="25"/>
  <c r="I43" i="25" s="1"/>
  <c r="I41" i="25"/>
  <c r="L41" i="26"/>
  <c r="E43" i="26"/>
  <c r="E15" i="23"/>
  <c r="O15" i="24"/>
  <c r="F5" i="51"/>
  <c r="H15" i="24"/>
  <c r="H15" i="18"/>
  <c r="H5" i="52"/>
  <c r="H18" i="26"/>
  <c r="N18" i="26"/>
  <c r="H18" i="24"/>
  <c r="D13" i="51"/>
  <c r="K15" i="26"/>
  <c r="E15" i="24"/>
  <c r="G10" i="24"/>
  <c r="J8" i="6"/>
  <c r="M9" i="7"/>
  <c r="R9" i="7" s="1"/>
  <c r="G10" i="18"/>
  <c r="G10" i="26"/>
  <c r="N10" i="26" s="1"/>
  <c r="G10" i="51" s="1"/>
  <c r="N10" i="51" s="1"/>
  <c r="R4" i="7"/>
  <c r="F13" i="51"/>
  <c r="M15" i="26"/>
  <c r="E15" i="25"/>
  <c r="N13" i="26"/>
  <c r="O13" i="26" s="1"/>
  <c r="G15" i="26"/>
  <c r="L13" i="26"/>
  <c r="E15" i="26"/>
  <c r="L5" i="26"/>
  <c r="J13" i="6"/>
  <c r="N14" i="26"/>
  <c r="H14" i="26"/>
  <c r="G15" i="24"/>
  <c r="R12" i="7"/>
  <c r="R14" i="7" s="1"/>
  <c r="M14" i="7"/>
  <c r="I13" i="25"/>
  <c r="H15" i="25"/>
  <c r="I15" i="25" s="1"/>
  <c r="G5" i="51"/>
  <c r="G15" i="18"/>
  <c r="I5" i="52" s="1"/>
  <c r="H13" i="26"/>
  <c r="R40" i="7" l="1"/>
  <c r="R42" i="7" s="1"/>
  <c r="M42" i="7"/>
  <c r="N41" i="26"/>
  <c r="H41" i="26"/>
  <c r="G43" i="26"/>
  <c r="H43" i="26" s="1"/>
  <c r="E41" i="51"/>
  <c r="L43" i="26"/>
  <c r="E18" i="56"/>
  <c r="I22" i="52"/>
  <c r="I24" i="52" s="1"/>
  <c r="I46" i="52" s="1"/>
  <c r="G43" i="18"/>
  <c r="H43" i="18" s="1"/>
  <c r="H41" i="18"/>
  <c r="F41" i="51"/>
  <c r="M43" i="26"/>
  <c r="G43" i="24"/>
  <c r="H43" i="24" s="1"/>
  <c r="H41" i="24"/>
  <c r="E13" i="51"/>
  <c r="L15" i="26"/>
  <c r="O15" i="26"/>
  <c r="N5" i="51"/>
  <c r="E5" i="51"/>
  <c r="H13" i="51"/>
  <c r="D15" i="51"/>
  <c r="K13" i="51"/>
  <c r="F15" i="51"/>
  <c r="M13" i="51"/>
  <c r="M15" i="51" s="1"/>
  <c r="M5" i="51"/>
  <c r="G14" i="51"/>
  <c r="O14" i="26"/>
  <c r="G18" i="51"/>
  <c r="O18" i="26"/>
  <c r="H15" i="26"/>
  <c r="G13" i="51"/>
  <c r="N15" i="26"/>
  <c r="L41" i="51" l="1"/>
  <c r="L43" i="51" s="1"/>
  <c r="E43" i="51"/>
  <c r="M41" i="51"/>
  <c r="M43" i="51" s="1"/>
  <c r="F43" i="51"/>
  <c r="E19" i="56"/>
  <c r="F18" i="56"/>
  <c r="G41" i="51"/>
  <c r="N43" i="26"/>
  <c r="O43" i="26" s="1"/>
  <c r="O41" i="26"/>
  <c r="K46" i="52"/>
  <c r="J46" i="52"/>
  <c r="J61" i="52" s="1"/>
  <c r="I61" i="52"/>
  <c r="H15" i="51"/>
  <c r="L13" i="51"/>
  <c r="L15" i="51" s="1"/>
  <c r="E15" i="51"/>
  <c r="N14" i="51"/>
  <c r="H14" i="51"/>
  <c r="N18" i="51"/>
  <c r="O18" i="51" s="1"/>
  <c r="H18" i="51"/>
  <c r="L5" i="51"/>
  <c r="G15" i="51"/>
  <c r="N13" i="51"/>
  <c r="O13" i="51"/>
  <c r="K15" i="51"/>
  <c r="N41" i="51" l="1"/>
  <c r="G43" i="51"/>
  <c r="H43" i="51" s="1"/>
  <c r="H41" i="51"/>
  <c r="K61" i="52"/>
  <c r="L61" i="52"/>
  <c r="N15" i="51"/>
  <c r="O14" i="51"/>
  <c r="O15" i="51"/>
  <c r="N43" i="51" l="1"/>
  <c r="O43" i="51" s="1"/>
  <c r="O41" i="51"/>
  <c r="C10" i="4"/>
  <c r="C10" i="16"/>
  <c r="C9" i="16"/>
  <c r="C8" i="16"/>
  <c r="C7" i="16"/>
  <c r="C42" i="4"/>
  <c r="C35" i="4"/>
  <c r="C27" i="4"/>
  <c r="C18" i="4"/>
  <c r="C14" i="4"/>
  <c r="C29" i="4" s="1"/>
  <c r="C44" i="4" s="1"/>
  <c r="D9" i="18" l="1"/>
  <c r="D9" i="17"/>
  <c r="D9" i="23"/>
  <c r="J9" i="23" s="1"/>
  <c r="D9" i="24"/>
  <c r="D9" i="25"/>
  <c r="H9" i="25" s="1"/>
  <c r="D9" i="26"/>
  <c r="G9" i="16"/>
  <c r="G8" i="16"/>
  <c r="D8" i="23"/>
  <c r="D8" i="17"/>
  <c r="E8" i="17" s="1"/>
  <c r="D8" i="18"/>
  <c r="H8" i="18" s="1"/>
  <c r="D8" i="25"/>
  <c r="D8" i="24"/>
  <c r="D8" i="26"/>
  <c r="E8" i="16"/>
  <c r="G10" i="16"/>
  <c r="D10" i="17"/>
  <c r="E10" i="17" s="1"/>
  <c r="D10" i="25"/>
  <c r="D10" i="26"/>
  <c r="D10" i="18"/>
  <c r="H10" i="18" s="1"/>
  <c r="D10" i="24"/>
  <c r="D10" i="23"/>
  <c r="E10" i="16"/>
  <c r="E7" i="16"/>
  <c r="D7" i="26"/>
  <c r="D7" i="25"/>
  <c r="D7" i="18"/>
  <c r="H7" i="18" s="1"/>
  <c r="D7" i="17"/>
  <c r="E7" i="17" s="1"/>
  <c r="D7" i="23"/>
  <c r="D7" i="24"/>
  <c r="G7" i="16"/>
  <c r="O65" i="1"/>
  <c r="P65" i="1"/>
  <c r="S65" i="1" s="1"/>
  <c r="R65" i="1"/>
  <c r="T65" i="1"/>
  <c r="P62" i="1"/>
  <c r="S62" i="1" s="1"/>
  <c r="T62" i="1"/>
  <c r="P63" i="1"/>
  <c r="T63" i="1"/>
  <c r="P64" i="1"/>
  <c r="T64" i="1"/>
  <c r="H64" i="1"/>
  <c r="O64" i="1" s="1"/>
  <c r="R64" i="1" s="1"/>
  <c r="AJ65" i="1" l="1"/>
  <c r="AC65" i="1"/>
  <c r="AE65" i="1"/>
  <c r="Z65" i="1"/>
  <c r="AB65" i="1"/>
  <c r="AD65" i="1"/>
  <c r="AF65" i="1"/>
  <c r="AG65" i="1"/>
  <c r="AA65" i="1"/>
  <c r="Y65" i="1"/>
  <c r="AH65" i="1"/>
  <c r="AI65" i="1"/>
  <c r="U65" i="1"/>
  <c r="H8" i="25"/>
  <c r="I8" i="25" s="1"/>
  <c r="E8" i="25"/>
  <c r="H8" i="24"/>
  <c r="O8" i="24"/>
  <c r="O9" i="24"/>
  <c r="J10" i="23"/>
  <c r="E10" i="23"/>
  <c r="H7" i="24"/>
  <c r="O7" i="24"/>
  <c r="K9" i="26"/>
  <c r="J8" i="23"/>
  <c r="E8" i="23"/>
  <c r="H10" i="24"/>
  <c r="O10" i="24"/>
  <c r="J7" i="23"/>
  <c r="E7" i="23"/>
  <c r="K10" i="26"/>
  <c r="H10" i="26"/>
  <c r="H7" i="25"/>
  <c r="I7" i="25" s="1"/>
  <c r="E7" i="25"/>
  <c r="K7" i="26"/>
  <c r="H7" i="26"/>
  <c r="H10" i="25"/>
  <c r="I10" i="25" s="1"/>
  <c r="E10" i="25"/>
  <c r="K8" i="26"/>
  <c r="H8" i="26"/>
  <c r="D9" i="51" l="1"/>
  <c r="O7" i="26"/>
  <c r="D7" i="51"/>
  <c r="O8" i="26"/>
  <c r="D8" i="51"/>
  <c r="O10" i="26"/>
  <c r="D10" i="51"/>
  <c r="K64" i="1"/>
  <c r="S64" i="1" s="1"/>
  <c r="J64" i="1"/>
  <c r="G64" i="1"/>
  <c r="Q66" i="1"/>
  <c r="L66" i="1"/>
  <c r="F66" i="1"/>
  <c r="E66" i="1"/>
  <c r="D66" i="1"/>
  <c r="C66" i="1"/>
  <c r="K65" i="1"/>
  <c r="J65" i="1"/>
  <c r="G65" i="1"/>
  <c r="V65" i="1" s="1"/>
  <c r="K63" i="1"/>
  <c r="S63" i="1" s="1"/>
  <c r="J63" i="1"/>
  <c r="H63" i="1"/>
  <c r="O63" i="1" s="1"/>
  <c r="R63" i="1" s="1"/>
  <c r="G63" i="1"/>
  <c r="K62" i="1"/>
  <c r="J62" i="1"/>
  <c r="H62" i="1"/>
  <c r="O62" i="1" s="1"/>
  <c r="R62" i="1" s="1"/>
  <c r="G62" i="1"/>
  <c r="T61" i="1"/>
  <c r="P61" i="1"/>
  <c r="K61" i="1"/>
  <c r="J61" i="1"/>
  <c r="H61" i="1"/>
  <c r="O61" i="1" s="1"/>
  <c r="G61" i="1"/>
  <c r="Q52" i="1"/>
  <c r="L52" i="1"/>
  <c r="F52" i="1"/>
  <c r="E52" i="1"/>
  <c r="D52" i="1"/>
  <c r="C52" i="1"/>
  <c r="T51" i="1"/>
  <c r="T52" i="1" s="1"/>
  <c r="P51" i="1"/>
  <c r="K51" i="1"/>
  <c r="K52" i="1" s="1"/>
  <c r="J51" i="1"/>
  <c r="J52" i="1" s="1"/>
  <c r="H51" i="1"/>
  <c r="O51" i="1" s="1"/>
  <c r="G51" i="1"/>
  <c r="G52" i="1" s="1"/>
  <c r="J41" i="1"/>
  <c r="K41" i="1"/>
  <c r="P41" i="1"/>
  <c r="S41" i="1" s="1"/>
  <c r="T41" i="1"/>
  <c r="G41" i="1"/>
  <c r="H41" i="1"/>
  <c r="O41" i="1" s="1"/>
  <c r="R41" i="1" s="1"/>
  <c r="G42" i="1"/>
  <c r="U64" i="1" l="1"/>
  <c r="V64" i="1" s="1"/>
  <c r="AE64" i="1"/>
  <c r="AJ64" i="1"/>
  <c r="AD64" i="1"/>
  <c r="AF64" i="1"/>
  <c r="AG64" i="1"/>
  <c r="AI64" i="1"/>
  <c r="Y64" i="1"/>
  <c r="AB64" i="1"/>
  <c r="AH64" i="1"/>
  <c r="Z64" i="1"/>
  <c r="AC64" i="1"/>
  <c r="AA64" i="1"/>
  <c r="Y63" i="1"/>
  <c r="AG63" i="1"/>
  <c r="AE63" i="1"/>
  <c r="AA63" i="1"/>
  <c r="AI63" i="1"/>
  <c r="U63" i="1"/>
  <c r="Z63" i="1"/>
  <c r="AF63" i="1"/>
  <c r="AB63" i="1"/>
  <c r="AH63" i="1"/>
  <c r="AD63" i="1"/>
  <c r="AJ63" i="1"/>
  <c r="AC63" i="1"/>
  <c r="V63" i="1"/>
  <c r="AA62" i="1"/>
  <c r="AD62" i="1"/>
  <c r="U62" i="1"/>
  <c r="V62" i="1" s="1"/>
  <c r="AB62" i="1"/>
  <c r="AE62" i="1"/>
  <c r="AF62" i="1"/>
  <c r="AH62" i="1"/>
  <c r="AJ62" i="1"/>
  <c r="Y62" i="1"/>
  <c r="AC62" i="1"/>
  <c r="Z62" i="1"/>
  <c r="AI62" i="1"/>
  <c r="AG62" i="1"/>
  <c r="K8" i="51"/>
  <c r="O8" i="51" s="1"/>
  <c r="H8" i="51"/>
  <c r="K10" i="51"/>
  <c r="O10" i="51" s="1"/>
  <c r="H10" i="51"/>
  <c r="H7" i="51"/>
  <c r="K7" i="51"/>
  <c r="O7" i="51" s="1"/>
  <c r="K9" i="51"/>
  <c r="P66" i="1"/>
  <c r="J66" i="1"/>
  <c r="G66" i="1"/>
  <c r="K66" i="1"/>
  <c r="H66" i="1"/>
  <c r="T66" i="1"/>
  <c r="O66" i="1"/>
  <c r="R61" i="1"/>
  <c r="AF61" i="1" s="1"/>
  <c r="S61" i="1"/>
  <c r="S66" i="1" s="1"/>
  <c r="H52" i="1"/>
  <c r="U41" i="1"/>
  <c r="S51" i="1"/>
  <c r="P52" i="1"/>
  <c r="R51" i="1"/>
  <c r="O52" i="1"/>
  <c r="AF66" i="1" l="1"/>
  <c r="S16" i="4" s="1"/>
  <c r="AI61" i="1"/>
  <c r="AI66" i="1" s="1"/>
  <c r="V16" i="4" s="1"/>
  <c r="W17" i="17" s="1"/>
  <c r="W19" i="17" s="1"/>
  <c r="W30" i="17" s="1"/>
  <c r="W45" i="17" s="1"/>
  <c r="W47" i="17" s="1"/>
  <c r="Y61" i="1"/>
  <c r="Y66" i="1" s="1"/>
  <c r="L16" i="4" s="1"/>
  <c r="AJ61" i="1"/>
  <c r="AJ66" i="1" s="1"/>
  <c r="W16" i="4" s="1"/>
  <c r="X17" i="17" s="1"/>
  <c r="X19" i="17" s="1"/>
  <c r="X30" i="17" s="1"/>
  <c r="X45" i="17" s="1"/>
  <c r="X47" i="17" s="1"/>
  <c r="AD61" i="1"/>
  <c r="AD66" i="1" s="1"/>
  <c r="Q16" i="4" s="1"/>
  <c r="R17" i="17" s="1"/>
  <c r="R19" i="17" s="1"/>
  <c r="R30" i="17" s="1"/>
  <c r="R45" i="17" s="1"/>
  <c r="R47" i="17" s="1"/>
  <c r="Z61" i="1"/>
  <c r="Z66" i="1" s="1"/>
  <c r="M16" i="4" s="1"/>
  <c r="N17" i="17" s="1"/>
  <c r="N19" i="17" s="1"/>
  <c r="N30" i="17" s="1"/>
  <c r="N45" i="17" s="1"/>
  <c r="N47" i="17" s="1"/>
  <c r="AH61" i="1"/>
  <c r="AH66" i="1" s="1"/>
  <c r="U16" i="4" s="1"/>
  <c r="W15" i="6" s="1"/>
  <c r="W17" i="6" s="1"/>
  <c r="W28" i="6" s="1"/>
  <c r="W43" i="6" s="1"/>
  <c r="AC61" i="1"/>
  <c r="AC66" i="1" s="1"/>
  <c r="P16" i="4" s="1"/>
  <c r="Q17" i="17" s="1"/>
  <c r="Q19" i="17" s="1"/>
  <c r="Q30" i="17" s="1"/>
  <c r="Q45" i="17" s="1"/>
  <c r="Q47" i="17" s="1"/>
  <c r="AE61" i="1"/>
  <c r="AE66" i="1" s="1"/>
  <c r="R16" i="4" s="1"/>
  <c r="S17" i="17" s="1"/>
  <c r="S19" i="17" s="1"/>
  <c r="S30" i="17" s="1"/>
  <c r="S45" i="17" s="1"/>
  <c r="S47" i="17" s="1"/>
  <c r="AG61" i="1"/>
  <c r="AG66" i="1" s="1"/>
  <c r="T16" i="4" s="1"/>
  <c r="AD16" i="7" s="1"/>
  <c r="AD18" i="7" s="1"/>
  <c r="AD29" i="7" s="1"/>
  <c r="AD44" i="7" s="1"/>
  <c r="AA61" i="1"/>
  <c r="AA66" i="1" s="1"/>
  <c r="N16" i="4" s="1"/>
  <c r="X16" i="7" s="1"/>
  <c r="X18" i="7" s="1"/>
  <c r="X29" i="7" s="1"/>
  <c r="X44" i="7" s="1"/>
  <c r="AB61" i="1"/>
  <c r="AB66" i="1" s="1"/>
  <c r="O16" i="4" s="1"/>
  <c r="Y16" i="7" s="1"/>
  <c r="Y18" i="7" s="1"/>
  <c r="Y29" i="7" s="1"/>
  <c r="Y44" i="7" s="1"/>
  <c r="M17" i="17"/>
  <c r="M19" i="17" s="1"/>
  <c r="M30" i="17" s="1"/>
  <c r="M45" i="17" s="1"/>
  <c r="M47" i="17" s="1"/>
  <c r="N15" i="6"/>
  <c r="N17" i="6" s="1"/>
  <c r="N28" i="6" s="1"/>
  <c r="N43" i="6" s="1"/>
  <c r="V16" i="7"/>
  <c r="V18" i="7" s="1"/>
  <c r="V29" i="7" s="1"/>
  <c r="V44" i="7" s="1"/>
  <c r="L18" i="4"/>
  <c r="L29" i="4" s="1"/>
  <c r="T17" i="17"/>
  <c r="T19" i="17" s="1"/>
  <c r="T30" i="17" s="1"/>
  <c r="T45" i="17" s="1"/>
  <c r="T47" i="17" s="1"/>
  <c r="AC16" i="7"/>
  <c r="AC18" i="7" s="1"/>
  <c r="AC29" i="7" s="1"/>
  <c r="AC44" i="7" s="1"/>
  <c r="U15" i="6"/>
  <c r="U17" i="6" s="1"/>
  <c r="U28" i="6" s="1"/>
  <c r="U43" i="6" s="1"/>
  <c r="S18" i="4"/>
  <c r="S29" i="4" s="1"/>
  <c r="AF16" i="7"/>
  <c r="AF18" i="7" s="1"/>
  <c r="AF29" i="7" s="1"/>
  <c r="AF44" i="7" s="1"/>
  <c r="X15" i="6"/>
  <c r="X17" i="6" s="1"/>
  <c r="X28" i="6" s="1"/>
  <c r="X43" i="6" s="1"/>
  <c r="V18" i="4"/>
  <c r="V29" i="4" s="1"/>
  <c r="C17" i="16"/>
  <c r="V41" i="1"/>
  <c r="F8" i="4" a="1"/>
  <c r="F8" i="4" s="1"/>
  <c r="R66" i="1"/>
  <c r="U61" i="1"/>
  <c r="S52" i="1"/>
  <c r="R52" i="1"/>
  <c r="U51" i="1"/>
  <c r="AA16" i="7" l="1"/>
  <c r="AA18" i="7" s="1"/>
  <c r="AA29" i="7" s="1"/>
  <c r="AA44" i="7" s="1"/>
  <c r="O18" i="4"/>
  <c r="O29" i="4" s="1"/>
  <c r="O44" i="4" s="1"/>
  <c r="Q18" i="4"/>
  <c r="Q29" i="4" s="1"/>
  <c r="S15" i="6"/>
  <c r="S17" i="6" s="1"/>
  <c r="S28" i="6" s="1"/>
  <c r="S43" i="6" s="1"/>
  <c r="AG16" i="7"/>
  <c r="AG18" i="7" s="1"/>
  <c r="AG29" i="7" s="1"/>
  <c r="AG44" i="7" s="1"/>
  <c r="R18" i="4"/>
  <c r="R29" i="4" s="1"/>
  <c r="R44" i="4" s="1"/>
  <c r="AB16" i="7"/>
  <c r="AB18" i="7" s="1"/>
  <c r="AB29" i="7" s="1"/>
  <c r="AB44" i="7" s="1"/>
  <c r="T15" i="6"/>
  <c r="T17" i="6" s="1"/>
  <c r="T28" i="6" s="1"/>
  <c r="T43" i="6" s="1"/>
  <c r="U18" i="4"/>
  <c r="U29" i="4" s="1"/>
  <c r="U44" i="4" s="1"/>
  <c r="AE16" i="7"/>
  <c r="AE18" i="7" s="1"/>
  <c r="AE29" i="7" s="1"/>
  <c r="AE44" i="7" s="1"/>
  <c r="V17" i="17"/>
  <c r="V19" i="17" s="1"/>
  <c r="V30" i="17" s="1"/>
  <c r="V45" i="17" s="1"/>
  <c r="V47" i="17" s="1"/>
  <c r="T9" i="19" s="1"/>
  <c r="M18" i="4"/>
  <c r="M29" i="4" s="1"/>
  <c r="M44" i="4" s="1"/>
  <c r="O15" i="6"/>
  <c r="O17" i="6" s="1"/>
  <c r="O28" i="6" s="1"/>
  <c r="O43" i="6" s="1"/>
  <c r="W16" i="7"/>
  <c r="W18" i="7" s="1"/>
  <c r="W29" i="7" s="1"/>
  <c r="W44" i="7" s="1"/>
  <c r="W18" i="4"/>
  <c r="W29" i="4" s="1"/>
  <c r="W44" i="4" s="1"/>
  <c r="P17" i="17"/>
  <c r="P19" i="17" s="1"/>
  <c r="P30" i="17" s="1"/>
  <c r="P45" i="17" s="1"/>
  <c r="P47" i="17" s="1"/>
  <c r="N9" i="19" s="1"/>
  <c r="Q15" i="6"/>
  <c r="Q17" i="6" s="1"/>
  <c r="Q28" i="6" s="1"/>
  <c r="Q43" i="6" s="1"/>
  <c r="P18" i="4"/>
  <c r="P29" i="4" s="1"/>
  <c r="P44" i="4" s="1"/>
  <c r="R15" i="6"/>
  <c r="R17" i="6" s="1"/>
  <c r="R28" i="6" s="1"/>
  <c r="R43" i="6" s="1"/>
  <c r="Z16" i="7"/>
  <c r="Z18" i="7" s="1"/>
  <c r="Z29" i="7" s="1"/>
  <c r="Z44" i="7" s="1"/>
  <c r="Y15" i="6"/>
  <c r="Y17" i="6" s="1"/>
  <c r="Y28" i="6" s="1"/>
  <c r="Y43" i="6" s="1"/>
  <c r="O17" i="17"/>
  <c r="O19" i="17" s="1"/>
  <c r="O30" i="17" s="1"/>
  <c r="O45" i="17" s="1"/>
  <c r="O47" i="17" s="1"/>
  <c r="M9" i="19" s="1"/>
  <c r="T18" i="4"/>
  <c r="T29" i="4" s="1"/>
  <c r="T44" i="4" s="1"/>
  <c r="V15" i="6"/>
  <c r="V17" i="6" s="1"/>
  <c r="V28" i="6" s="1"/>
  <c r="V43" i="6" s="1"/>
  <c r="U17" i="17"/>
  <c r="U19" i="17" s="1"/>
  <c r="U30" i="17" s="1"/>
  <c r="U45" i="17" s="1"/>
  <c r="U47" i="17" s="1"/>
  <c r="S9" i="19" s="1"/>
  <c r="N18" i="4"/>
  <c r="N29" i="4" s="1"/>
  <c r="N44" i="4" s="1"/>
  <c r="P15" i="6"/>
  <c r="P17" i="6" s="1"/>
  <c r="P28" i="6" s="1"/>
  <c r="P43" i="6" s="1"/>
  <c r="Q44" i="4"/>
  <c r="S44" i="4"/>
  <c r="R9" i="19"/>
  <c r="O9" i="19"/>
  <c r="L9" i="19"/>
  <c r="P9" i="19"/>
  <c r="U9" i="19"/>
  <c r="Q9" i="19"/>
  <c r="L44" i="4"/>
  <c r="V44" i="4"/>
  <c r="K9" i="19"/>
  <c r="C9" i="25"/>
  <c r="H7" i="6"/>
  <c r="H9" i="6" s="1"/>
  <c r="C9" i="23"/>
  <c r="C9" i="17"/>
  <c r="K8" i="7"/>
  <c r="G8" i="4"/>
  <c r="F10" i="4"/>
  <c r="C19" i="16"/>
  <c r="D17" i="26"/>
  <c r="D17" i="25"/>
  <c r="D17" i="24"/>
  <c r="G17" i="16"/>
  <c r="D17" i="23"/>
  <c r="D17" i="17"/>
  <c r="D17" i="18"/>
  <c r="U66" i="1"/>
  <c r="V61" i="1"/>
  <c r="U52" i="1"/>
  <c r="V52" i="1" s="1"/>
  <c r="V51" i="1"/>
  <c r="V66" i="1" l="1"/>
  <c r="F16" i="4"/>
  <c r="D19" i="18"/>
  <c r="D19" i="17"/>
  <c r="D19" i="23"/>
  <c r="J17" i="23"/>
  <c r="J19" i="23" s="1"/>
  <c r="O17" i="24"/>
  <c r="D19" i="24"/>
  <c r="H17" i="25"/>
  <c r="D19" i="25"/>
  <c r="E9" i="18"/>
  <c r="E11" i="18" s="1"/>
  <c r="E9" i="17"/>
  <c r="E9" i="26"/>
  <c r="E9" i="24"/>
  <c r="E11" i="24" s="1"/>
  <c r="C11" i="17"/>
  <c r="D19" i="26"/>
  <c r="K17" i="26"/>
  <c r="D11" i="16"/>
  <c r="E9" i="16"/>
  <c r="P8" i="7"/>
  <c r="P10" i="7" s="1"/>
  <c r="K10" i="7"/>
  <c r="E9" i="23"/>
  <c r="C11" i="23"/>
  <c r="G19" i="16"/>
  <c r="F9" i="18"/>
  <c r="F11" i="18" s="1"/>
  <c r="I7" i="6"/>
  <c r="I9" i="6" s="1"/>
  <c r="L8" i="7"/>
  <c r="F9" i="26"/>
  <c r="F9" i="24"/>
  <c r="F11" i="24" s="1"/>
  <c r="H8" i="4"/>
  <c r="G10" i="4"/>
  <c r="E9" i="25"/>
  <c r="G9" i="25"/>
  <c r="C11" i="25"/>
  <c r="Q43" i="1"/>
  <c r="L43" i="1"/>
  <c r="F43" i="1"/>
  <c r="E43" i="1"/>
  <c r="D43" i="1"/>
  <c r="C43" i="1"/>
  <c r="T42" i="1"/>
  <c r="O42" i="1"/>
  <c r="K42" i="1"/>
  <c r="J42" i="1"/>
  <c r="T40" i="1"/>
  <c r="K40" i="1"/>
  <c r="J40" i="1"/>
  <c r="H40" i="1"/>
  <c r="O40" i="1" s="1"/>
  <c r="G40" i="1"/>
  <c r="T39" i="1"/>
  <c r="P39" i="1"/>
  <c r="K39" i="1"/>
  <c r="J39" i="1"/>
  <c r="H39" i="1"/>
  <c r="O39" i="1" s="1"/>
  <c r="R39" i="1" s="1"/>
  <c r="G39" i="1"/>
  <c r="Q32" i="1"/>
  <c r="L32" i="1"/>
  <c r="F32" i="1"/>
  <c r="E32" i="1"/>
  <c r="D32" i="1"/>
  <c r="C32" i="1"/>
  <c r="T31" i="1"/>
  <c r="K31" i="1"/>
  <c r="S31" i="1" s="1"/>
  <c r="J31" i="1"/>
  <c r="O31" i="1"/>
  <c r="G31" i="1"/>
  <c r="T30" i="1"/>
  <c r="P30" i="1"/>
  <c r="K30" i="1"/>
  <c r="J30" i="1"/>
  <c r="H30" i="1"/>
  <c r="O30" i="1" s="1"/>
  <c r="G30" i="1"/>
  <c r="T29" i="1"/>
  <c r="P29" i="1"/>
  <c r="K29" i="1"/>
  <c r="J29" i="1"/>
  <c r="H29" i="1"/>
  <c r="O29" i="1" s="1"/>
  <c r="G29" i="1"/>
  <c r="P20" i="1"/>
  <c r="Q22" i="1"/>
  <c r="L22" i="1"/>
  <c r="F22" i="1"/>
  <c r="E22" i="1"/>
  <c r="D22" i="1"/>
  <c r="C22" i="1"/>
  <c r="T21" i="1"/>
  <c r="K21" i="1"/>
  <c r="S21" i="1" s="1"/>
  <c r="J21" i="1"/>
  <c r="H21" i="1"/>
  <c r="O21" i="1" s="1"/>
  <c r="G21" i="1"/>
  <c r="T20" i="1"/>
  <c r="K20" i="1"/>
  <c r="J20" i="1"/>
  <c r="H20" i="1"/>
  <c r="O20" i="1" s="1"/>
  <c r="R20" i="1" s="1"/>
  <c r="G20" i="1"/>
  <c r="T19" i="1"/>
  <c r="P19" i="1"/>
  <c r="K19" i="1"/>
  <c r="J19" i="1"/>
  <c r="H19" i="1"/>
  <c r="O19" i="1" s="1"/>
  <c r="G19" i="1"/>
  <c r="Q12" i="1"/>
  <c r="L12" i="1"/>
  <c r="T6" i="1"/>
  <c r="T7" i="1"/>
  <c r="T8" i="1"/>
  <c r="T9" i="1"/>
  <c r="T10" i="1"/>
  <c r="T11" i="1"/>
  <c r="T5" i="1"/>
  <c r="P7" i="1"/>
  <c r="P8" i="1"/>
  <c r="P9" i="1"/>
  <c r="P5" i="1"/>
  <c r="O5" i="1"/>
  <c r="K5" i="1"/>
  <c r="K6" i="1"/>
  <c r="S6" i="1" s="1"/>
  <c r="K7" i="1"/>
  <c r="K8" i="1"/>
  <c r="K9" i="1"/>
  <c r="K10" i="1"/>
  <c r="S10" i="1" s="1"/>
  <c r="K11" i="1"/>
  <c r="S11" i="1" s="1"/>
  <c r="J6" i="1"/>
  <c r="J7" i="1"/>
  <c r="J8" i="1"/>
  <c r="J9" i="1"/>
  <c r="J10" i="1"/>
  <c r="J11" i="1"/>
  <c r="J5" i="1"/>
  <c r="D12" i="1"/>
  <c r="C12" i="1"/>
  <c r="H5" i="1"/>
  <c r="H6" i="1"/>
  <c r="O6" i="1" s="1"/>
  <c r="H7" i="1"/>
  <c r="O7" i="1" s="1"/>
  <c r="H8" i="1"/>
  <c r="O8" i="1" s="1"/>
  <c r="H9" i="1"/>
  <c r="O9" i="1" s="1"/>
  <c r="H10" i="1"/>
  <c r="O10" i="1" s="1"/>
  <c r="H11" i="1"/>
  <c r="O11" i="1" s="1"/>
  <c r="G16" i="4" l="1"/>
  <c r="H15" i="6"/>
  <c r="H17" i="6" s="1"/>
  <c r="H28" i="6" s="1"/>
  <c r="H43" i="6" s="1"/>
  <c r="F18" i="4"/>
  <c r="F29" i="4" s="1"/>
  <c r="K16" i="7"/>
  <c r="C17" i="23"/>
  <c r="C17" i="25"/>
  <c r="C17" i="17"/>
  <c r="D17" i="51"/>
  <c r="K19" i="26"/>
  <c r="J7" i="6"/>
  <c r="J9" i="6" s="1"/>
  <c r="G9" i="26"/>
  <c r="G9" i="24"/>
  <c r="G9" i="18"/>
  <c r="M8" i="7"/>
  <c r="H10" i="4"/>
  <c r="M9" i="26"/>
  <c r="F11" i="26"/>
  <c r="L9" i="26"/>
  <c r="E11" i="26"/>
  <c r="C7" i="32"/>
  <c r="Q8" i="7"/>
  <c r="Q10" i="7" s="1"/>
  <c r="L10" i="7"/>
  <c r="O19" i="24"/>
  <c r="D7" i="32"/>
  <c r="H19" i="25"/>
  <c r="G11" i="25"/>
  <c r="I9" i="25"/>
  <c r="H7" i="52"/>
  <c r="H38" i="52" s="1"/>
  <c r="J12" i="1"/>
  <c r="K43" i="1"/>
  <c r="S9" i="1"/>
  <c r="R10" i="1"/>
  <c r="S8" i="1"/>
  <c r="S40" i="1"/>
  <c r="R7" i="1"/>
  <c r="R6" i="1"/>
  <c r="S7" i="1"/>
  <c r="R30" i="1"/>
  <c r="R42" i="1"/>
  <c r="U42" i="1" s="1"/>
  <c r="V42" i="1" s="1"/>
  <c r="J43" i="1"/>
  <c r="K12" i="1"/>
  <c r="P22" i="1"/>
  <c r="S5" i="1"/>
  <c r="P43" i="1"/>
  <c r="U10" i="1"/>
  <c r="S39" i="1"/>
  <c r="U39" i="1" s="1"/>
  <c r="T43" i="1"/>
  <c r="S29" i="1"/>
  <c r="G43" i="1"/>
  <c r="R11" i="1"/>
  <c r="H43" i="1"/>
  <c r="R31" i="1"/>
  <c r="U31" i="1" s="1"/>
  <c r="V31" i="1" s="1"/>
  <c r="R40" i="1"/>
  <c r="U40" i="1" s="1"/>
  <c r="V40" i="1" s="1"/>
  <c r="T12" i="1"/>
  <c r="O43" i="1"/>
  <c r="T32" i="1"/>
  <c r="G32" i="1"/>
  <c r="P32" i="1"/>
  <c r="K32" i="1"/>
  <c r="H32" i="1"/>
  <c r="J32" i="1"/>
  <c r="R29" i="1"/>
  <c r="O32" i="1"/>
  <c r="S30" i="1"/>
  <c r="K22" i="1"/>
  <c r="U11" i="1"/>
  <c r="S12" i="1"/>
  <c r="P12" i="1"/>
  <c r="R5" i="1"/>
  <c r="S19" i="1"/>
  <c r="T22" i="1"/>
  <c r="R9" i="1"/>
  <c r="U9" i="1" s="1"/>
  <c r="G22" i="1"/>
  <c r="C6" i="16" s="1"/>
  <c r="R8" i="1"/>
  <c r="J22" i="1"/>
  <c r="R21" i="1"/>
  <c r="U21" i="1" s="1"/>
  <c r="V21" i="1" s="1"/>
  <c r="H22" i="1"/>
  <c r="R19" i="1"/>
  <c r="O22" i="1"/>
  <c r="S20" i="1"/>
  <c r="U20" i="1" s="1"/>
  <c r="V20" i="1" s="1"/>
  <c r="U6" i="1"/>
  <c r="O12" i="1"/>
  <c r="U7" i="1"/>
  <c r="D19" i="16" l="1"/>
  <c r="E17" i="16"/>
  <c r="F6" i="14"/>
  <c r="E8" i="19" s="1"/>
  <c r="V8" i="19" s="1"/>
  <c r="C48" i="23"/>
  <c r="C48" i="17"/>
  <c r="C19" i="25"/>
  <c r="G17" i="25"/>
  <c r="E17" i="25"/>
  <c r="F44" i="4"/>
  <c r="H4" i="58"/>
  <c r="H6" i="58" s="1"/>
  <c r="P65" i="17" s="1"/>
  <c r="E4" i="58"/>
  <c r="E6" i="58" s="1"/>
  <c r="M65" i="17" s="1"/>
  <c r="P4" i="58"/>
  <c r="P6" i="58" s="1"/>
  <c r="X65" i="17" s="1"/>
  <c r="F4" i="58"/>
  <c r="F6" i="58" s="1"/>
  <c r="N65" i="17" s="1"/>
  <c r="O4" i="58"/>
  <c r="O6" i="58" s="1"/>
  <c r="W65" i="17" s="1"/>
  <c r="G4" i="58"/>
  <c r="G6" i="58" s="1"/>
  <c r="O65" i="17" s="1"/>
  <c r="N4" i="58"/>
  <c r="N6" i="58" s="1"/>
  <c r="V65" i="17" s="1"/>
  <c r="M4" i="58"/>
  <c r="M6" i="58" s="1"/>
  <c r="U65" i="17" s="1"/>
  <c r="J4" i="58"/>
  <c r="J6" i="58" s="1"/>
  <c r="R65" i="17" s="1"/>
  <c r="I4" i="58"/>
  <c r="I6" i="58" s="1"/>
  <c r="Q65" i="17" s="1"/>
  <c r="L4" i="58"/>
  <c r="L6" i="58" s="1"/>
  <c r="T65" i="17" s="1"/>
  <c r="K4" i="58"/>
  <c r="K6" i="58" s="1"/>
  <c r="S65" i="17" s="1"/>
  <c r="E17" i="26"/>
  <c r="E17" i="24"/>
  <c r="E19" i="24" s="1"/>
  <c r="E30" i="24" s="1"/>
  <c r="E45" i="24" s="1"/>
  <c r="E47" i="24" s="1"/>
  <c r="E17" i="18"/>
  <c r="C19" i="17"/>
  <c r="E17" i="17"/>
  <c r="C19" i="23"/>
  <c r="E17" i="23"/>
  <c r="K18" i="7"/>
  <c r="K29" i="7" s="1"/>
  <c r="K44" i="7" s="1"/>
  <c r="P16" i="7"/>
  <c r="P18" i="7" s="1"/>
  <c r="P29" i="7" s="1"/>
  <c r="P44" i="7" s="1"/>
  <c r="G18" i="4"/>
  <c r="G29" i="4" s="1"/>
  <c r="G44" i="4" s="1"/>
  <c r="G4" i="14" s="1"/>
  <c r="F9" i="19" s="1"/>
  <c r="F17" i="26"/>
  <c r="H16" i="4"/>
  <c r="F17" i="18"/>
  <c r="I15" i="6"/>
  <c r="I17" i="6" s="1"/>
  <c r="I28" i="6" s="1"/>
  <c r="I43" i="6" s="1"/>
  <c r="L16" i="7"/>
  <c r="F17" i="24"/>
  <c r="F19" i="24" s="1"/>
  <c r="F30" i="24" s="1"/>
  <c r="F45" i="24" s="1"/>
  <c r="F47" i="24" s="1"/>
  <c r="E9" i="51"/>
  <c r="L11" i="26"/>
  <c r="H57" i="52"/>
  <c r="C3" i="52"/>
  <c r="C25" i="32"/>
  <c r="C8" i="32"/>
  <c r="K8" i="32" s="1"/>
  <c r="C48" i="27" s="1"/>
  <c r="K7" i="32"/>
  <c r="C13" i="32"/>
  <c r="C10" i="32"/>
  <c r="F9" i="51"/>
  <c r="M11" i="26"/>
  <c r="G11" i="26"/>
  <c r="N9" i="26"/>
  <c r="H9" i="26"/>
  <c r="E6" i="16"/>
  <c r="G6" i="16"/>
  <c r="D6" i="23"/>
  <c r="D6" i="26"/>
  <c r="D6" i="24"/>
  <c r="D6" i="18"/>
  <c r="H6" i="18" s="1"/>
  <c r="D6" i="17"/>
  <c r="E6" i="17" s="1"/>
  <c r="D6" i="25"/>
  <c r="G11" i="18"/>
  <c r="H9" i="18"/>
  <c r="G11" i="24"/>
  <c r="H9" i="24"/>
  <c r="R8" i="7"/>
  <c r="R10" i="7" s="1"/>
  <c r="M10" i="7"/>
  <c r="D3" i="52"/>
  <c r="L7" i="32"/>
  <c r="D8" i="32"/>
  <c r="L8" i="32" s="1"/>
  <c r="W48" i="27" s="1"/>
  <c r="D14" i="32"/>
  <c r="D13" i="32"/>
  <c r="D25" i="32"/>
  <c r="K17" i="51"/>
  <c r="D19" i="51"/>
  <c r="U8" i="1"/>
  <c r="S32" i="1"/>
  <c r="S43" i="1"/>
  <c r="U5" i="1"/>
  <c r="R43" i="1"/>
  <c r="R12" i="1"/>
  <c r="U43" i="1"/>
  <c r="V43" i="1" s="1"/>
  <c r="V39" i="1"/>
  <c r="R32" i="1"/>
  <c r="U29" i="1"/>
  <c r="U30" i="1"/>
  <c r="V30" i="1" s="1"/>
  <c r="S22" i="1"/>
  <c r="U19" i="1"/>
  <c r="R22" i="1"/>
  <c r="U12" i="1"/>
  <c r="J15" i="6" l="1"/>
  <c r="J17" i="6" s="1"/>
  <c r="J28" i="6" s="1"/>
  <c r="J43" i="6" s="1"/>
  <c r="H18" i="4"/>
  <c r="H29" i="4" s="1"/>
  <c r="H44" i="4" s="1"/>
  <c r="H4" i="14" s="1"/>
  <c r="G9" i="19" s="1"/>
  <c r="G17" i="24"/>
  <c r="G17" i="18"/>
  <c r="M16" i="7"/>
  <c r="G17" i="26"/>
  <c r="M17" i="26"/>
  <c r="F19" i="26"/>
  <c r="F30" i="26" s="1"/>
  <c r="F45" i="26" s="1"/>
  <c r="F47" i="26" s="1"/>
  <c r="C30" i="17"/>
  <c r="C45" i="17" s="1"/>
  <c r="C47" i="17" s="1"/>
  <c r="E19" i="17"/>
  <c r="C48" i="25"/>
  <c r="G48" i="25" s="1"/>
  <c r="L48" i="26" s="1"/>
  <c r="E48" i="18"/>
  <c r="E48" i="26" s="1"/>
  <c r="E50" i="26" s="1"/>
  <c r="E48" i="24"/>
  <c r="E50" i="24" s="1"/>
  <c r="E51" i="24" s="1"/>
  <c r="C30" i="23"/>
  <c r="C45" i="23" s="1"/>
  <c r="C47" i="23" s="1"/>
  <c r="E19" i="23"/>
  <c r="C54" i="23"/>
  <c r="E54" i="23" s="1"/>
  <c r="C54" i="17"/>
  <c r="C53" i="17"/>
  <c r="C53" i="23"/>
  <c r="E53" i="23" s="1"/>
  <c r="G19" i="25"/>
  <c r="I17" i="25"/>
  <c r="L17" i="26"/>
  <c r="E19" i="26"/>
  <c r="E30" i="26" s="1"/>
  <c r="E45" i="26" s="1"/>
  <c r="E47" i="26" s="1"/>
  <c r="Q16" i="7"/>
  <c r="Q18" i="7" s="1"/>
  <c r="Q29" i="7" s="1"/>
  <c r="Q44" i="7" s="1"/>
  <c r="F54" i="18" s="1"/>
  <c r="L18" i="7"/>
  <c r="L29" i="7" s="1"/>
  <c r="L44" i="7" s="1"/>
  <c r="F53" i="18" s="1"/>
  <c r="F4" i="14"/>
  <c r="E9" i="19" s="1"/>
  <c r="V9" i="19" s="1"/>
  <c r="R46" i="4"/>
  <c r="N46" i="4"/>
  <c r="V46" i="4"/>
  <c r="L46" i="4"/>
  <c r="M46" i="4"/>
  <c r="S46" i="4"/>
  <c r="Q46" i="4"/>
  <c r="T46" i="4"/>
  <c r="U46" i="4"/>
  <c r="P46" i="4"/>
  <c r="W46" i="4"/>
  <c r="O46" i="4"/>
  <c r="C7" i="35"/>
  <c r="C7" i="34"/>
  <c r="C7" i="33"/>
  <c r="E19" i="18"/>
  <c r="E19" i="25"/>
  <c r="C30" i="25"/>
  <c r="C45" i="25" s="1"/>
  <c r="G6" i="14"/>
  <c r="F8" i="19" s="1"/>
  <c r="F48" i="18"/>
  <c r="F19" i="18"/>
  <c r="F30" i="18" s="1"/>
  <c r="F45" i="18" s="1"/>
  <c r="D7" i="34"/>
  <c r="D7" i="33"/>
  <c r="D7" i="35"/>
  <c r="E19" i="16"/>
  <c r="D30" i="16"/>
  <c r="D45" i="16" s="1"/>
  <c r="D47" i="16" s="1"/>
  <c r="D48" i="16" s="1"/>
  <c r="D50" i="16" s="1"/>
  <c r="J6" i="23"/>
  <c r="E6" i="23"/>
  <c r="O6" i="24"/>
  <c r="H6" i="24"/>
  <c r="E7" i="32"/>
  <c r="I3" i="52"/>
  <c r="D10" i="32"/>
  <c r="C47" i="25"/>
  <c r="M9" i="51"/>
  <c r="M11" i="51" s="1"/>
  <c r="F11" i="51"/>
  <c r="C16" i="32"/>
  <c r="C11" i="32"/>
  <c r="H6" i="25"/>
  <c r="I6" i="25" s="1"/>
  <c r="E6" i="25"/>
  <c r="L10" i="32"/>
  <c r="L13" i="32"/>
  <c r="W53" i="27" s="1"/>
  <c r="W47" i="27"/>
  <c r="L25" i="32"/>
  <c r="W65" i="27" s="1"/>
  <c r="L14" i="32"/>
  <c r="W54" i="27" s="1"/>
  <c r="L9" i="51"/>
  <c r="L11" i="51" s="1"/>
  <c r="E11" i="51"/>
  <c r="K19" i="51"/>
  <c r="G9" i="51"/>
  <c r="N11" i="26"/>
  <c r="O9" i="26"/>
  <c r="C47" i="27"/>
  <c r="K13" i="32"/>
  <c r="C53" i="27" s="1"/>
  <c r="K10" i="32"/>
  <c r="K25" i="32"/>
  <c r="C65" i="27" s="1"/>
  <c r="K6" i="26"/>
  <c r="H6" i="26"/>
  <c r="U32" i="1"/>
  <c r="V32" i="1" s="1"/>
  <c r="V29" i="1"/>
  <c r="V19" i="1"/>
  <c r="U22" i="1"/>
  <c r="V22" i="1" s="1"/>
  <c r="N48" i="17" l="1"/>
  <c r="P54" i="17"/>
  <c r="M53" i="17"/>
  <c r="M54" i="17"/>
  <c r="W54" i="17"/>
  <c r="X48" i="17"/>
  <c r="X50" i="17" s="1"/>
  <c r="O53" i="17"/>
  <c r="O48" i="17"/>
  <c r="R53" i="17"/>
  <c r="O54" i="17"/>
  <c r="R54" i="17"/>
  <c r="T53" i="17"/>
  <c r="S53" i="17"/>
  <c r="U53" i="17"/>
  <c r="M48" i="17"/>
  <c r="X54" i="17"/>
  <c r="P48" i="17"/>
  <c r="T48" i="17"/>
  <c r="U54" i="17"/>
  <c r="V54" i="17"/>
  <c r="V53" i="17"/>
  <c r="S54" i="17"/>
  <c r="U48" i="17"/>
  <c r="P53" i="17"/>
  <c r="Q53" i="17"/>
  <c r="Q48" i="17"/>
  <c r="W53" i="17"/>
  <c r="N53" i="17"/>
  <c r="Q54" i="17"/>
  <c r="W48" i="17"/>
  <c r="V48" i="17"/>
  <c r="N54" i="17"/>
  <c r="R48" i="17"/>
  <c r="T54" i="17"/>
  <c r="X53" i="17"/>
  <c r="S48" i="17"/>
  <c r="E51" i="26"/>
  <c r="D7" i="52"/>
  <c r="D11" i="52" s="1"/>
  <c r="D19" i="33"/>
  <c r="D20" i="33" s="1"/>
  <c r="D8" i="33"/>
  <c r="L8" i="33" s="1"/>
  <c r="Y48" i="27" s="1"/>
  <c r="D13" i="33"/>
  <c r="L7" i="33"/>
  <c r="D8" i="34"/>
  <c r="L8" i="34" s="1"/>
  <c r="Z48" i="27" s="1"/>
  <c r="D13" i="34"/>
  <c r="D31" i="34"/>
  <c r="D19" i="34"/>
  <c r="D20" i="34" s="1"/>
  <c r="L7" i="34"/>
  <c r="D10" i="34"/>
  <c r="F53" i="24"/>
  <c r="F53" i="26"/>
  <c r="M53" i="26" s="1"/>
  <c r="F53" i="51" s="1"/>
  <c r="M53" i="51" s="1"/>
  <c r="K7" i="33"/>
  <c r="C13" i="33"/>
  <c r="C19" i="33"/>
  <c r="C20" i="33" s="1"/>
  <c r="C37" i="33" s="1"/>
  <c r="C8" i="33"/>
  <c r="K8" i="33" s="1"/>
  <c r="E48" i="27" s="1"/>
  <c r="C7" i="52"/>
  <c r="C11" i="52" s="1"/>
  <c r="M19" i="26"/>
  <c r="M30" i="26" s="1"/>
  <c r="M45" i="26" s="1"/>
  <c r="M47" i="26" s="1"/>
  <c r="F17" i="51"/>
  <c r="M18" i="7"/>
  <c r="M29" i="7" s="1"/>
  <c r="M44" i="7" s="1"/>
  <c r="G53" i="18" s="1"/>
  <c r="R16" i="7"/>
  <c r="R18" i="7" s="1"/>
  <c r="R29" i="7" s="1"/>
  <c r="R44" i="7" s="1"/>
  <c r="G54" i="18" s="1"/>
  <c r="F54" i="26"/>
  <c r="M54" i="26" s="1"/>
  <c r="F54" i="51" s="1"/>
  <c r="M54" i="51" s="1"/>
  <c r="F54" i="24"/>
  <c r="E7" i="35"/>
  <c r="E7" i="33"/>
  <c r="E7" i="34"/>
  <c r="G19" i="18"/>
  <c r="H17" i="18"/>
  <c r="F47" i="18"/>
  <c r="F50" i="18" s="1"/>
  <c r="D7" i="46"/>
  <c r="D7" i="43"/>
  <c r="D6" i="56"/>
  <c r="D8" i="56" s="1"/>
  <c r="D21" i="56" s="1"/>
  <c r="E30" i="18"/>
  <c r="E45" i="18" s="1"/>
  <c r="G30" i="25"/>
  <c r="G45" i="25" s="1"/>
  <c r="I19" i="25"/>
  <c r="G19" i="24"/>
  <c r="H17" i="24"/>
  <c r="G19" i="26"/>
  <c r="N17" i="26"/>
  <c r="H17" i="26"/>
  <c r="E17" i="51"/>
  <c r="L19" i="26"/>
  <c r="L30" i="26" s="1"/>
  <c r="L45" i="26" s="1"/>
  <c r="L47" i="26" s="1"/>
  <c r="L50" i="26" s="1"/>
  <c r="L51" i="26" s="1"/>
  <c r="D56" i="16"/>
  <c r="D51" i="16"/>
  <c r="F48" i="24"/>
  <c r="F50" i="24" s="1"/>
  <c r="F48" i="26"/>
  <c r="M48" i="26" s="1"/>
  <c r="F48" i="51" s="1"/>
  <c r="M48" i="51" s="1"/>
  <c r="G5" i="14"/>
  <c r="F14" i="19" s="1"/>
  <c r="F17" i="19" s="1"/>
  <c r="E53" i="24"/>
  <c r="C53" i="25"/>
  <c r="E53" i="18"/>
  <c r="E53" i="26" s="1"/>
  <c r="E53" i="17"/>
  <c r="G48" i="18"/>
  <c r="H6" i="14"/>
  <c r="G8" i="19" s="1"/>
  <c r="C13" i="34"/>
  <c r="C31" i="34"/>
  <c r="C37" i="34" s="1"/>
  <c r="C8" i="34"/>
  <c r="K8" i="34" s="1"/>
  <c r="F48" i="27" s="1"/>
  <c r="K7" i="34"/>
  <c r="C19" i="34"/>
  <c r="C20" i="34" s="1"/>
  <c r="C25" i="35"/>
  <c r="C8" i="35"/>
  <c r="K8" i="35" s="1"/>
  <c r="G48" i="27" s="1"/>
  <c r="C13" i="35"/>
  <c r="K7" i="35"/>
  <c r="D25" i="35"/>
  <c r="L7" i="35"/>
  <c r="D8" i="35"/>
  <c r="L8" i="35" s="1"/>
  <c r="AA48" i="27" s="1"/>
  <c r="D13" i="35"/>
  <c r="E54" i="24"/>
  <c r="E54" i="18"/>
  <c r="E54" i="26" s="1"/>
  <c r="C54" i="25"/>
  <c r="E54" i="17"/>
  <c r="O6" i="26"/>
  <c r="D6" i="51"/>
  <c r="I47" i="23"/>
  <c r="C50" i="23"/>
  <c r="N9" i="51"/>
  <c r="G11" i="51"/>
  <c r="H9" i="51"/>
  <c r="D16" i="32"/>
  <c r="D11" i="32"/>
  <c r="C11" i="27"/>
  <c r="C50" i="27"/>
  <c r="E48" i="51"/>
  <c r="L48" i="51" s="1"/>
  <c r="K11" i="32"/>
  <c r="K16" i="32"/>
  <c r="C50" i="17"/>
  <c r="G47" i="25"/>
  <c r="C50" i="25"/>
  <c r="C22" i="32"/>
  <c r="C17" i="32"/>
  <c r="W11" i="27"/>
  <c r="W50" i="27"/>
  <c r="L16" i="32"/>
  <c r="L11" i="32"/>
  <c r="I36" i="52"/>
  <c r="E3" i="52"/>
  <c r="I4" i="54"/>
  <c r="I5" i="54"/>
  <c r="E13" i="32"/>
  <c r="I3" i="49"/>
  <c r="E14" i="32"/>
  <c r="E25" i="32"/>
  <c r="M7" i="32"/>
  <c r="E8" i="32"/>
  <c r="M8" i="32" s="1"/>
  <c r="AQ48" i="27" s="1"/>
  <c r="G6" i="1"/>
  <c r="V6" i="1" s="1"/>
  <c r="G7" i="1"/>
  <c r="V7" i="1" s="1"/>
  <c r="G8" i="1"/>
  <c r="V8" i="1" s="1"/>
  <c r="G9" i="1"/>
  <c r="V9" i="1" s="1"/>
  <c r="G10" i="1"/>
  <c r="V10" i="1" s="1"/>
  <c r="G11" i="1"/>
  <c r="V11" i="1" s="1"/>
  <c r="G5" i="1"/>
  <c r="V5" i="1" s="1"/>
  <c r="F12" i="1"/>
  <c r="E12" i="1"/>
  <c r="H12" i="1" s="1"/>
  <c r="D10" i="35" l="1"/>
  <c r="F50" i="26"/>
  <c r="E56" i="26"/>
  <c r="C10" i="35"/>
  <c r="C16" i="35" s="1"/>
  <c r="E56" i="24"/>
  <c r="F56" i="24"/>
  <c r="F57" i="24" s="1"/>
  <c r="E62" i="26"/>
  <c r="E57" i="26"/>
  <c r="C7" i="43"/>
  <c r="E47" i="18"/>
  <c r="E50" i="18" s="1"/>
  <c r="C7" i="46"/>
  <c r="C10" i="33"/>
  <c r="T50" i="17"/>
  <c r="R14" i="19"/>
  <c r="R17" i="19" s="1"/>
  <c r="E57" i="24"/>
  <c r="E62" i="24"/>
  <c r="E53" i="25"/>
  <c r="G53" i="25"/>
  <c r="P14" i="19"/>
  <c r="P17" i="19" s="1"/>
  <c r="R50" i="17"/>
  <c r="D11" i="34"/>
  <c r="D16" i="34"/>
  <c r="L19" i="34"/>
  <c r="L10" i="34"/>
  <c r="L13" i="34"/>
  <c r="Z53" i="27" s="1"/>
  <c r="L31" i="34"/>
  <c r="Z71" i="27" s="1"/>
  <c r="K71" i="24" s="1"/>
  <c r="Q71" i="24" s="1"/>
  <c r="Z47" i="27"/>
  <c r="D14" i="43"/>
  <c r="L14" i="43" s="1"/>
  <c r="AN54" i="27" s="1"/>
  <c r="L7" i="43"/>
  <c r="D13" i="43"/>
  <c r="L13" i="43" s="1"/>
  <c r="AN53" i="27" s="1"/>
  <c r="D25" i="43"/>
  <c r="D26" i="52"/>
  <c r="D28" i="52" s="1"/>
  <c r="K8" i="19"/>
  <c r="K14" i="19"/>
  <c r="K17" i="19" s="1"/>
  <c r="M50" i="17"/>
  <c r="I7" i="52"/>
  <c r="E6" i="56"/>
  <c r="H19" i="18"/>
  <c r="G30" i="18"/>
  <c r="G45" i="18" s="1"/>
  <c r="F5" i="14"/>
  <c r="E14" i="19" s="1"/>
  <c r="H54" i="18"/>
  <c r="G54" i="26"/>
  <c r="G54" i="24"/>
  <c r="H54" i="24" s="1"/>
  <c r="H53" i="18"/>
  <c r="G53" i="26"/>
  <c r="G53" i="24"/>
  <c r="H53" i="24" s="1"/>
  <c r="L13" i="33"/>
  <c r="Y53" i="27" s="1"/>
  <c r="L19" i="33"/>
  <c r="Y47" i="27"/>
  <c r="L10" i="33"/>
  <c r="F56" i="26"/>
  <c r="F51" i="26"/>
  <c r="Q14" i="19"/>
  <c r="Q17" i="19" s="1"/>
  <c r="S50" i="17"/>
  <c r="D14" i="46"/>
  <c r="L14" i="46" s="1"/>
  <c r="AO54" i="27" s="1"/>
  <c r="D13" i="46"/>
  <c r="L13" i="46" s="1"/>
  <c r="AO53" i="27" s="1"/>
  <c r="L7" i="46"/>
  <c r="D25" i="46"/>
  <c r="G12" i="54"/>
  <c r="K19" i="33"/>
  <c r="K10" i="33"/>
  <c r="K13" i="33"/>
  <c r="E53" i="27" s="1"/>
  <c r="E47" i="27"/>
  <c r="I17" i="54"/>
  <c r="E8" i="34"/>
  <c r="M8" i="34" s="1"/>
  <c r="AT48" i="27" s="1"/>
  <c r="E31" i="34"/>
  <c r="E19" i="34"/>
  <c r="E20" i="34" s="1"/>
  <c r="M7" i="34"/>
  <c r="I6" i="49"/>
  <c r="E13" i="34"/>
  <c r="T14" i="19"/>
  <c r="T17" i="19" s="1"/>
  <c r="V50" i="17"/>
  <c r="F51" i="24"/>
  <c r="K19" i="34"/>
  <c r="K13" i="34"/>
  <c r="F53" i="27" s="1"/>
  <c r="K10" i="34"/>
  <c r="F47" i="27"/>
  <c r="K31" i="34"/>
  <c r="G17" i="54"/>
  <c r="G17" i="51"/>
  <c r="N19" i="26"/>
  <c r="O17" i="26"/>
  <c r="O14" i="19"/>
  <c r="O17" i="19" s="1"/>
  <c r="Q50" i="17"/>
  <c r="C10" i="34"/>
  <c r="H19" i="24"/>
  <c r="G30" i="24"/>
  <c r="G45" i="24" s="1"/>
  <c r="G47" i="24" s="1"/>
  <c r="S14" i="19"/>
  <c r="S17" i="19" s="1"/>
  <c r="U50" i="17"/>
  <c r="D11" i="35"/>
  <c r="D16" i="35"/>
  <c r="D62" i="16"/>
  <c r="D57" i="16"/>
  <c r="E19" i="51"/>
  <c r="E30" i="51" s="1"/>
  <c r="E45" i="51" s="1"/>
  <c r="E47" i="51" s="1"/>
  <c r="E50" i="51" s="1"/>
  <c r="E51" i="51" s="1"/>
  <c r="L17" i="51"/>
  <c r="L19" i="51" s="1"/>
  <c r="L30" i="51" s="1"/>
  <c r="L45" i="51" s="1"/>
  <c r="L47" i="51" s="1"/>
  <c r="L50" i="51" s="1"/>
  <c r="L51" i="51" s="1"/>
  <c r="O50" i="17"/>
  <c r="M14" i="19"/>
  <c r="M17" i="19" s="1"/>
  <c r="M17" i="51"/>
  <c r="M19" i="51" s="1"/>
  <c r="M30" i="51" s="1"/>
  <c r="M45" i="51" s="1"/>
  <c r="M47" i="51" s="1"/>
  <c r="M50" i="51" s="1"/>
  <c r="F19" i="51"/>
  <c r="F30" i="51" s="1"/>
  <c r="F45" i="51" s="1"/>
  <c r="F47" i="51" s="1"/>
  <c r="F50" i="51" s="1"/>
  <c r="F51" i="51" s="1"/>
  <c r="C11" i="35"/>
  <c r="U14" i="19"/>
  <c r="U17" i="19" s="1"/>
  <c r="W50" i="17"/>
  <c r="I19" i="54"/>
  <c r="M7" i="35"/>
  <c r="E8" i="35"/>
  <c r="M8" i="35" s="1"/>
  <c r="AU48" i="27" s="1"/>
  <c r="E13" i="35"/>
  <c r="I7" i="49"/>
  <c r="I18" i="54"/>
  <c r="E25" i="35"/>
  <c r="M50" i="26"/>
  <c r="L14" i="19"/>
  <c r="L17" i="19" s="1"/>
  <c r="N50" i="17"/>
  <c r="P50" i="17"/>
  <c r="N14" i="19"/>
  <c r="N17" i="19" s="1"/>
  <c r="L13" i="35"/>
  <c r="AA53" i="27" s="1"/>
  <c r="L25" i="35"/>
  <c r="AA65" i="27" s="1"/>
  <c r="AA47" i="27"/>
  <c r="L10" i="35"/>
  <c r="F56" i="18"/>
  <c r="F51" i="18"/>
  <c r="D8" i="46" s="1"/>
  <c r="L8" i="46" s="1"/>
  <c r="AO48" i="27" s="1"/>
  <c r="G47" i="27"/>
  <c r="K10" i="35"/>
  <c r="K13" i="35"/>
  <c r="G53" i="27" s="1"/>
  <c r="K25" i="35"/>
  <c r="G65" i="27" s="1"/>
  <c r="I12" i="54"/>
  <c r="E7" i="52"/>
  <c r="K7" i="52" s="1"/>
  <c r="I5" i="49"/>
  <c r="M7" i="33"/>
  <c r="E13" i="33"/>
  <c r="E19" i="33"/>
  <c r="E20" i="33" s="1"/>
  <c r="E8" i="33"/>
  <c r="M8" i="33" s="1"/>
  <c r="AS48" i="27" s="1"/>
  <c r="X51" i="17"/>
  <c r="X56" i="17"/>
  <c r="H19" i="26"/>
  <c r="G30" i="26"/>
  <c r="G45" i="26" s="1"/>
  <c r="G47" i="26" s="1"/>
  <c r="G54" i="25"/>
  <c r="E54" i="25"/>
  <c r="G48" i="26"/>
  <c r="N48" i="26" s="1"/>
  <c r="G48" i="51" s="1"/>
  <c r="N48" i="51" s="1"/>
  <c r="G48" i="24"/>
  <c r="H5" i="14"/>
  <c r="G14" i="19" s="1"/>
  <c r="G17" i="19" s="1"/>
  <c r="D10" i="33"/>
  <c r="W30" i="27"/>
  <c r="W45" i="27" s="1"/>
  <c r="W8" i="27"/>
  <c r="W7" i="27"/>
  <c r="W6" i="27"/>
  <c r="W10" i="27"/>
  <c r="W5" i="27"/>
  <c r="W9" i="27"/>
  <c r="E68" i="26"/>
  <c r="E63" i="26"/>
  <c r="C30" i="27"/>
  <c r="C45" i="27" s="1"/>
  <c r="C10" i="27"/>
  <c r="C8" i="27"/>
  <c r="C9" i="27"/>
  <c r="C6" i="27"/>
  <c r="C7" i="27"/>
  <c r="C5" i="27"/>
  <c r="D17" i="32"/>
  <c r="D22" i="32"/>
  <c r="K6" i="51"/>
  <c r="O6" i="51" s="1"/>
  <c r="H6" i="51"/>
  <c r="L17" i="32"/>
  <c r="L22" i="32"/>
  <c r="E10" i="32"/>
  <c r="J3" i="52"/>
  <c r="M25" i="32"/>
  <c r="AQ65" i="27" s="1"/>
  <c r="AQ47" i="27"/>
  <c r="M13" i="32"/>
  <c r="AQ53" i="27" s="1"/>
  <c r="M10" i="32"/>
  <c r="M14" i="32"/>
  <c r="AQ54" i="27" s="1"/>
  <c r="W56" i="27"/>
  <c r="W51" i="27"/>
  <c r="C51" i="17"/>
  <c r="C56" i="17"/>
  <c r="N11" i="51"/>
  <c r="O9" i="51"/>
  <c r="C51" i="27"/>
  <c r="C56" i="27"/>
  <c r="F62" i="24"/>
  <c r="J36" i="52"/>
  <c r="C23" i="32"/>
  <c r="C28" i="32"/>
  <c r="K3" i="52"/>
  <c r="C51" i="25"/>
  <c r="C56" i="25"/>
  <c r="C56" i="23"/>
  <c r="C51" i="23"/>
  <c r="K17" i="32"/>
  <c r="K22" i="32"/>
  <c r="G50" i="25"/>
  <c r="G12" i="1"/>
  <c r="E10" i="35" l="1"/>
  <c r="E11" i="52"/>
  <c r="E10" i="33"/>
  <c r="G50" i="24"/>
  <c r="G51" i="24" s="1"/>
  <c r="E10" i="34"/>
  <c r="E11" i="34" s="1"/>
  <c r="G6" i="20"/>
  <c r="K11" i="52"/>
  <c r="G50" i="26"/>
  <c r="G51" i="26" s="1"/>
  <c r="D8" i="43"/>
  <c r="L8" i="43" s="1"/>
  <c r="AN48" i="27" s="1"/>
  <c r="K48" i="24" s="1"/>
  <c r="Q48" i="24" s="1"/>
  <c r="X57" i="17"/>
  <c r="X62" i="17"/>
  <c r="E7" i="46"/>
  <c r="E7" i="43"/>
  <c r="G47" i="18"/>
  <c r="G50" i="18" s="1"/>
  <c r="R56" i="17"/>
  <c r="R51" i="17"/>
  <c r="F62" i="18"/>
  <c r="F57" i="18"/>
  <c r="C22" i="35"/>
  <c r="C17" i="35"/>
  <c r="E17" i="27"/>
  <c r="E19" i="27" s="1"/>
  <c r="E30" i="27" s="1"/>
  <c r="E45" i="27" s="1"/>
  <c r="G5" i="49" s="1"/>
  <c r="E50" i="27"/>
  <c r="L54" i="26"/>
  <c r="E54" i="51" s="1"/>
  <c r="L54" i="51" s="1"/>
  <c r="I54" i="25"/>
  <c r="L11" i="35"/>
  <c r="L16" i="35"/>
  <c r="O19" i="26"/>
  <c r="N30" i="26"/>
  <c r="N45" i="26" s="1"/>
  <c r="N47" i="26" s="1"/>
  <c r="N50" i="26" s="1"/>
  <c r="N54" i="26"/>
  <c r="H54" i="26"/>
  <c r="L11" i="34"/>
  <c r="L16" i="34"/>
  <c r="K11" i="33"/>
  <c r="K16" i="33"/>
  <c r="V10" i="34"/>
  <c r="V20" i="34" s="1"/>
  <c r="AA10" i="34"/>
  <c r="AA20" i="34" s="1"/>
  <c r="W10" i="34"/>
  <c r="W20" i="34" s="1"/>
  <c r="AB10" i="34"/>
  <c r="AB20" i="34" s="1"/>
  <c r="AE10" i="34"/>
  <c r="AE20" i="34" s="1"/>
  <c r="X10" i="34"/>
  <c r="X20" i="34" s="1"/>
  <c r="Y10" i="34"/>
  <c r="Y20" i="34" s="1"/>
  <c r="Z10" i="34"/>
  <c r="Z20" i="34" s="1"/>
  <c r="AD10" i="34"/>
  <c r="AD20" i="34" s="1"/>
  <c r="AF10" i="34"/>
  <c r="AF20" i="34" s="1"/>
  <c r="AC10" i="34"/>
  <c r="AC20" i="34" s="1"/>
  <c r="U10" i="34"/>
  <c r="K16" i="34"/>
  <c r="K11" i="34"/>
  <c r="N51" i="17"/>
  <c r="N56" i="17"/>
  <c r="S56" i="17"/>
  <c r="S51" i="17"/>
  <c r="D68" i="16"/>
  <c r="D63" i="16"/>
  <c r="D17" i="35"/>
  <c r="D22" i="35"/>
  <c r="E16" i="34"/>
  <c r="F57" i="26"/>
  <c r="F62" i="26"/>
  <c r="T51" i="17"/>
  <c r="T56" i="17"/>
  <c r="AA17" i="27"/>
  <c r="AA19" i="27" s="1"/>
  <c r="AA30" i="27" s="1"/>
  <c r="AA45" i="27" s="1"/>
  <c r="AA50" i="27"/>
  <c r="Z59" i="27"/>
  <c r="L20" i="34"/>
  <c r="Z60" i="27" s="1"/>
  <c r="AB11" i="33"/>
  <c r="AB21" i="33" s="1"/>
  <c r="AE11" i="33"/>
  <c r="AE21" i="33" s="1"/>
  <c r="AC11" i="33"/>
  <c r="AC21" i="33" s="1"/>
  <c r="Z11" i="33"/>
  <c r="Z21" i="33" s="1"/>
  <c r="AA11" i="33"/>
  <c r="AA21" i="33" s="1"/>
  <c r="AD11" i="33"/>
  <c r="AD21" i="33" s="1"/>
  <c r="U11" i="33"/>
  <c r="Y11" i="33"/>
  <c r="Y21" i="33" s="1"/>
  <c r="V11" i="33"/>
  <c r="AF11" i="33"/>
  <c r="AF21" i="33" s="1"/>
  <c r="W11" i="33"/>
  <c r="W21" i="33" s="1"/>
  <c r="X11" i="33"/>
  <c r="X21" i="33" s="1"/>
  <c r="O56" i="17"/>
  <c r="O51" i="17"/>
  <c r="AO47" i="27"/>
  <c r="L25" i="46"/>
  <c r="AO65" i="27" s="1"/>
  <c r="L10" i="46"/>
  <c r="K20" i="34"/>
  <c r="F60" i="27" s="1"/>
  <c r="F59" i="27"/>
  <c r="M51" i="26"/>
  <c r="M56" i="26"/>
  <c r="G56" i="26"/>
  <c r="M51" i="51"/>
  <c r="M56" i="51"/>
  <c r="M13" i="33"/>
  <c r="AS53" i="27" s="1"/>
  <c r="J7" i="52"/>
  <c r="M19" i="33"/>
  <c r="H12" i="54"/>
  <c r="AS47" i="27"/>
  <c r="M10" i="33"/>
  <c r="E16" i="35"/>
  <c r="E11" i="35"/>
  <c r="L8" i="19"/>
  <c r="K6" i="20"/>
  <c r="M19" i="34"/>
  <c r="M13" i="34"/>
  <c r="AT53" i="27" s="1"/>
  <c r="H17" i="54"/>
  <c r="M10" i="34"/>
  <c r="AT47" i="27"/>
  <c r="M31" i="34"/>
  <c r="AT71" i="27" s="1"/>
  <c r="L71" i="24" s="1"/>
  <c r="R71" i="24" s="1"/>
  <c r="S71" i="24" s="1"/>
  <c r="L20" i="33"/>
  <c r="Y60" i="27" s="1"/>
  <c r="Y59" i="27"/>
  <c r="E56" i="18"/>
  <c r="E51" i="18"/>
  <c r="C8" i="43" s="1"/>
  <c r="K8" i="43" s="1"/>
  <c r="T48" i="27" s="1"/>
  <c r="V14" i="19"/>
  <c r="V17" i="19" s="1"/>
  <c r="E6" i="20"/>
  <c r="F6" i="20"/>
  <c r="E17" i="19"/>
  <c r="F50" i="27"/>
  <c r="F17" i="27"/>
  <c r="F19" i="27" s="1"/>
  <c r="F30" i="27" s="1"/>
  <c r="F45" i="27" s="1"/>
  <c r="G6" i="49" s="1"/>
  <c r="E11" i="33"/>
  <c r="E16" i="33"/>
  <c r="P51" i="17"/>
  <c r="P56" i="17"/>
  <c r="F6" i="56"/>
  <c r="E8" i="56"/>
  <c r="E21" i="56" s="1"/>
  <c r="I38" i="52"/>
  <c r="K38" i="52" s="1"/>
  <c r="I11" i="52"/>
  <c r="I28" i="52" s="1"/>
  <c r="V56" i="17"/>
  <c r="V51" i="17"/>
  <c r="L16" i="33"/>
  <c r="L11" i="33"/>
  <c r="C11" i="33"/>
  <c r="C16" i="33"/>
  <c r="D16" i="33"/>
  <c r="D11" i="33"/>
  <c r="M13" i="35"/>
  <c r="AU53" i="27" s="1"/>
  <c r="AU47" i="27"/>
  <c r="M10" i="35"/>
  <c r="M25" i="35"/>
  <c r="AU65" i="27" s="1"/>
  <c r="K53" i="24"/>
  <c r="Q53" i="24" s="1"/>
  <c r="L25" i="43"/>
  <c r="AN65" i="27" s="1"/>
  <c r="AN47" i="27"/>
  <c r="C25" i="43"/>
  <c r="C26" i="52"/>
  <c r="C28" i="52" s="1"/>
  <c r="K7" i="43"/>
  <c r="C14" i="43"/>
  <c r="K14" i="43" s="1"/>
  <c r="T54" i="27" s="1"/>
  <c r="C13" i="43"/>
  <c r="K13" i="43" s="1"/>
  <c r="T53" i="27" s="1"/>
  <c r="E59" i="27"/>
  <c r="K20" i="33"/>
  <c r="K37" i="34"/>
  <c r="F77" i="27" s="1"/>
  <c r="F71" i="27"/>
  <c r="L53" i="26"/>
  <c r="I53" i="25"/>
  <c r="E68" i="24"/>
  <c r="E63" i="24"/>
  <c r="U51" i="17"/>
  <c r="U56" i="17"/>
  <c r="Y50" i="27"/>
  <c r="Y17" i="27"/>
  <c r="Y19" i="27" s="1"/>
  <c r="Y30" i="27" s="1"/>
  <c r="Y45" i="27" s="1"/>
  <c r="F56" i="51"/>
  <c r="F57" i="51" s="1"/>
  <c r="K11" i="35"/>
  <c r="K16" i="35"/>
  <c r="C16" i="34"/>
  <c r="C11" i="34"/>
  <c r="K54" i="24"/>
  <c r="Q54" i="24" s="1"/>
  <c r="D10" i="46"/>
  <c r="C13" i="46"/>
  <c r="K13" i="46" s="1"/>
  <c r="U53" i="27" s="1"/>
  <c r="C25" i="46"/>
  <c r="K7" i="46"/>
  <c r="C14" i="46"/>
  <c r="K14" i="46" s="1"/>
  <c r="U54" i="27" s="1"/>
  <c r="G56" i="24"/>
  <c r="G62" i="24" s="1"/>
  <c r="G50" i="27"/>
  <c r="G17" i="27"/>
  <c r="G19" i="27" s="1"/>
  <c r="G30" i="27" s="1"/>
  <c r="G45" i="27" s="1"/>
  <c r="W56" i="17"/>
  <c r="W51" i="17"/>
  <c r="Q51" i="17"/>
  <c r="Q56" i="17"/>
  <c r="N53" i="26"/>
  <c r="H53" i="26"/>
  <c r="Z17" i="27"/>
  <c r="Z19" i="27" s="1"/>
  <c r="Z30" i="27" s="1"/>
  <c r="Z45" i="27" s="1"/>
  <c r="Z50" i="27"/>
  <c r="N17" i="51"/>
  <c r="G19" i="51"/>
  <c r="H17" i="51"/>
  <c r="D17" i="34"/>
  <c r="D22" i="34"/>
  <c r="M51" i="17"/>
  <c r="M56" i="17"/>
  <c r="K23" i="32"/>
  <c r="K28" i="32"/>
  <c r="C29" i="32"/>
  <c r="C33" i="32"/>
  <c r="C34" i="32" s="1"/>
  <c r="G51" i="25"/>
  <c r="G56" i="25"/>
  <c r="G3" i="49"/>
  <c r="G5" i="54"/>
  <c r="G4" i="54"/>
  <c r="L28" i="32"/>
  <c r="L23" i="32"/>
  <c r="E69" i="26"/>
  <c r="E73" i="26"/>
  <c r="E74" i="26" s="1"/>
  <c r="M11" i="32"/>
  <c r="M16" i="32"/>
  <c r="K36" i="52"/>
  <c r="W62" i="27"/>
  <c r="W57" i="27"/>
  <c r="D28" i="32"/>
  <c r="D23" i="32"/>
  <c r="F63" i="24"/>
  <c r="F68" i="24"/>
  <c r="C57" i="17"/>
  <c r="C62" i="17"/>
  <c r="AQ11" i="27"/>
  <c r="AQ50" i="27"/>
  <c r="C62" i="25"/>
  <c r="C57" i="25"/>
  <c r="E11" i="32"/>
  <c r="E16" i="32"/>
  <c r="J56" i="52"/>
  <c r="C57" i="23"/>
  <c r="C62" i="23"/>
  <c r="C57" i="27"/>
  <c r="C62" i="27"/>
  <c r="V12" i="1"/>
  <c r="K8" i="47"/>
  <c r="P48" i="27" s="1"/>
  <c r="K7" i="47"/>
  <c r="C13" i="47"/>
  <c r="K60" i="24" l="1"/>
  <c r="Q60" i="24" s="1"/>
  <c r="L10" i="43"/>
  <c r="L11" i="43" s="1"/>
  <c r="D10" i="43"/>
  <c r="C8" i="46"/>
  <c r="K8" i="46" s="1"/>
  <c r="U48" i="27" s="1"/>
  <c r="G84" i="26"/>
  <c r="N84" i="26" s="1"/>
  <c r="G84" i="51" s="1"/>
  <c r="N84" i="51" s="1"/>
  <c r="G84" i="24"/>
  <c r="K59" i="24"/>
  <c r="Q59" i="24" s="1"/>
  <c r="J38" i="52"/>
  <c r="J57" i="52" s="1"/>
  <c r="F62" i="51"/>
  <c r="F68" i="51" s="1"/>
  <c r="L57" i="52"/>
  <c r="O62" i="17"/>
  <c r="O57" i="17"/>
  <c r="L56" i="26"/>
  <c r="E53" i="51"/>
  <c r="G57" i="26"/>
  <c r="G62" i="26"/>
  <c r="E17" i="35"/>
  <c r="L18" i="54" s="1"/>
  <c r="N18" i="54" s="1"/>
  <c r="E22" i="35"/>
  <c r="G7" i="49"/>
  <c r="G19" i="54"/>
  <c r="G18" i="54"/>
  <c r="M16" i="33"/>
  <c r="M11" i="33"/>
  <c r="Y51" i="27"/>
  <c r="Y56" i="27"/>
  <c r="E22" i="33"/>
  <c r="E17" i="33"/>
  <c r="M8" i="19"/>
  <c r="N8" i="19" s="1"/>
  <c r="K65" i="24"/>
  <c r="Q65" i="24" s="1"/>
  <c r="O54" i="26"/>
  <c r="G54" i="51"/>
  <c r="U57" i="17"/>
  <c r="U62" i="17"/>
  <c r="AO40" i="27"/>
  <c r="AO22" i="27"/>
  <c r="AO9" i="27"/>
  <c r="AO41" i="27"/>
  <c r="AO23" i="27"/>
  <c r="AO32" i="27"/>
  <c r="AO27" i="27"/>
  <c r="AO34" i="27"/>
  <c r="AO18" i="27"/>
  <c r="AO33" i="27"/>
  <c r="AO39" i="27"/>
  <c r="AO17" i="27"/>
  <c r="AO7" i="27"/>
  <c r="AO6" i="27"/>
  <c r="AO14" i="27"/>
  <c r="AO25" i="27"/>
  <c r="AO50" i="27"/>
  <c r="AO13" i="27"/>
  <c r="AO38" i="27"/>
  <c r="AO21" i="27"/>
  <c r="AO24" i="27"/>
  <c r="AO26" i="27"/>
  <c r="AO8" i="27"/>
  <c r="AO10" i="27"/>
  <c r="AO5" i="27"/>
  <c r="T62" i="17"/>
  <c r="T57" i="17"/>
  <c r="K22" i="34"/>
  <c r="K17" i="34"/>
  <c r="N51" i="26"/>
  <c r="N56" i="26"/>
  <c r="F51" i="27"/>
  <c r="F56" i="27"/>
  <c r="G56" i="27"/>
  <c r="G51" i="27"/>
  <c r="AU17" i="27"/>
  <c r="AU19" i="27" s="1"/>
  <c r="AU30" i="27" s="1"/>
  <c r="AU45" i="27" s="1"/>
  <c r="AU50" i="27"/>
  <c r="AS17" i="27"/>
  <c r="AS19" i="27" s="1"/>
  <c r="AS30" i="27" s="1"/>
  <c r="AS45" i="27" s="1"/>
  <c r="H5" i="49" s="1"/>
  <c r="AS50" i="27"/>
  <c r="F63" i="26"/>
  <c r="F68" i="26"/>
  <c r="E17" i="34"/>
  <c r="E22" i="34"/>
  <c r="E51" i="27"/>
  <c r="E56" i="27"/>
  <c r="M16" i="35"/>
  <c r="M11" i="35"/>
  <c r="M62" i="17"/>
  <c r="M57" i="17"/>
  <c r="G71" i="23"/>
  <c r="I71" i="23" s="1"/>
  <c r="K71" i="23" s="1"/>
  <c r="J71" i="24"/>
  <c r="P71" i="24" s="1"/>
  <c r="C17" i="33"/>
  <c r="C22" i="33"/>
  <c r="AJ10" i="34"/>
  <c r="U20" i="34"/>
  <c r="AJ20" i="34" s="1"/>
  <c r="F84" i="24"/>
  <c r="F84" i="26"/>
  <c r="M84" i="26" s="1"/>
  <c r="F84" i="51" s="1"/>
  <c r="M84" i="51" s="1"/>
  <c r="E84" i="26"/>
  <c r="L84" i="26" s="1"/>
  <c r="E84" i="51" s="1"/>
  <c r="L84" i="51" s="1"/>
  <c r="E84" i="24"/>
  <c r="P84" i="24" s="1"/>
  <c r="J84" i="24" s="1"/>
  <c r="D22" i="33"/>
  <c r="D17" i="33"/>
  <c r="K25" i="46"/>
  <c r="U65" i="27" s="1"/>
  <c r="K10" i="46"/>
  <c r="U47" i="27"/>
  <c r="M13" i="54"/>
  <c r="M6" i="49"/>
  <c r="E62" i="18"/>
  <c r="E57" i="18"/>
  <c r="M57" i="51"/>
  <c r="M62" i="51"/>
  <c r="D23" i="34"/>
  <c r="D28" i="34"/>
  <c r="K37" i="33"/>
  <c r="E77" i="27" s="1"/>
  <c r="E60" i="27"/>
  <c r="U21" i="33"/>
  <c r="AJ21" i="33" s="1"/>
  <c r="AJ11" i="33"/>
  <c r="C28" i="35"/>
  <c r="C23" i="35"/>
  <c r="D28" i="35"/>
  <c r="D23" i="35"/>
  <c r="F68" i="18"/>
  <c r="F63" i="18"/>
  <c r="D73" i="16"/>
  <c r="D74" i="16" s="1"/>
  <c r="D69" i="16"/>
  <c r="R57" i="17"/>
  <c r="R62" i="17"/>
  <c r="K22" i="33"/>
  <c r="K17" i="33"/>
  <c r="G56" i="18"/>
  <c r="G51" i="18"/>
  <c r="I34" i="54"/>
  <c r="E13" i="43"/>
  <c r="M13" i="43" s="1"/>
  <c r="BH53" i="27" s="1"/>
  <c r="E14" i="43"/>
  <c r="M14" i="43" s="1"/>
  <c r="BH54" i="27" s="1"/>
  <c r="E26" i="52"/>
  <c r="I20" i="49"/>
  <c r="E25" i="43"/>
  <c r="M7" i="43"/>
  <c r="G59" i="23"/>
  <c r="I59" i="23" s="1"/>
  <c r="K59" i="23" s="1"/>
  <c r="J59" i="24"/>
  <c r="P59" i="24" s="1"/>
  <c r="D11" i="46"/>
  <c r="D16" i="46"/>
  <c r="C10" i="43"/>
  <c r="V62" i="17"/>
  <c r="V57" i="17"/>
  <c r="N19" i="51"/>
  <c r="O17" i="51"/>
  <c r="G57" i="24"/>
  <c r="M20" i="34"/>
  <c r="AT60" i="27" s="1"/>
  <c r="AT59" i="27"/>
  <c r="S62" i="17"/>
  <c r="S57" i="17"/>
  <c r="L22" i="34"/>
  <c r="L17" i="34"/>
  <c r="M7" i="46"/>
  <c r="E14" i="46"/>
  <c r="M14" i="46" s="1"/>
  <c r="BI54" i="27" s="1"/>
  <c r="E13" i="46"/>
  <c r="M13" i="46" s="1"/>
  <c r="BI53" i="27" s="1"/>
  <c r="I35" i="54"/>
  <c r="I21" i="49"/>
  <c r="E25" i="46"/>
  <c r="L21" i="49"/>
  <c r="L35" i="54"/>
  <c r="D11" i="43"/>
  <c r="D16" i="43"/>
  <c r="L22" i="33"/>
  <c r="L17" i="33"/>
  <c r="M11" i="34"/>
  <c r="M16" i="34"/>
  <c r="Z56" i="27"/>
  <c r="Z51" i="27"/>
  <c r="K22" i="35"/>
  <c r="K17" i="35"/>
  <c r="O53" i="26"/>
  <c r="G53" i="51"/>
  <c r="AN33" i="27"/>
  <c r="AN6" i="27"/>
  <c r="AN39" i="27"/>
  <c r="AN14" i="27"/>
  <c r="AN18" i="27"/>
  <c r="AN25" i="27"/>
  <c r="AN27" i="27"/>
  <c r="AN34" i="27"/>
  <c r="AN7" i="27"/>
  <c r="AN9" i="27"/>
  <c r="AN22" i="27"/>
  <c r="AN13" i="27"/>
  <c r="AN26" i="27"/>
  <c r="K26" i="24" s="1"/>
  <c r="Q26" i="24" s="1"/>
  <c r="AN40" i="27"/>
  <c r="K40" i="24" s="1"/>
  <c r="Q40" i="24" s="1"/>
  <c r="AN5" i="27"/>
  <c r="AN24" i="27"/>
  <c r="AN50" i="27"/>
  <c r="AN8" i="27"/>
  <c r="AN10" i="27"/>
  <c r="AN38" i="27"/>
  <c r="AN32" i="27"/>
  <c r="AN17" i="27"/>
  <c r="AN41" i="27"/>
  <c r="AN21" i="27"/>
  <c r="AN23" i="27"/>
  <c r="P62" i="17"/>
  <c r="P57" i="17"/>
  <c r="L6" i="20"/>
  <c r="J11" i="52"/>
  <c r="N57" i="17"/>
  <c r="N62" i="17"/>
  <c r="X63" i="17"/>
  <c r="X68" i="17"/>
  <c r="W57" i="17"/>
  <c r="W62" i="17"/>
  <c r="L17" i="35"/>
  <c r="L22" i="35"/>
  <c r="E73" i="24"/>
  <c r="E74" i="24" s="1"/>
  <c r="E69" i="24"/>
  <c r="AS59" i="27"/>
  <c r="M20" i="33"/>
  <c r="AS60" i="27" s="1"/>
  <c r="H19" i="51"/>
  <c r="G30" i="51"/>
  <c r="G45" i="51" s="1"/>
  <c r="G47" i="51" s="1"/>
  <c r="G50" i="51" s="1"/>
  <c r="AT17" i="27"/>
  <c r="AT19" i="27" s="1"/>
  <c r="AT30" i="27" s="1"/>
  <c r="AT45" i="27" s="1"/>
  <c r="H6" i="49" s="1"/>
  <c r="AT50" i="27"/>
  <c r="G54" i="23"/>
  <c r="I54" i="23" s="1"/>
  <c r="K54" i="23" s="1"/>
  <c r="J54" i="24"/>
  <c r="P54" i="24" s="1"/>
  <c r="M62" i="26"/>
  <c r="M57" i="26"/>
  <c r="C22" i="34"/>
  <c r="C17" i="34"/>
  <c r="T47" i="27"/>
  <c r="K25" i="43"/>
  <c r="T65" i="27" s="1"/>
  <c r="K10" i="43"/>
  <c r="I57" i="52"/>
  <c r="I50" i="52"/>
  <c r="Q62" i="17"/>
  <c r="Q57" i="17"/>
  <c r="L16" i="43"/>
  <c r="L16" i="46"/>
  <c r="L11" i="46"/>
  <c r="AA56" i="27"/>
  <c r="AA51" i="27"/>
  <c r="C68" i="25"/>
  <c r="C63" i="25"/>
  <c r="AQ51" i="27"/>
  <c r="AQ56" i="27"/>
  <c r="G62" i="25"/>
  <c r="G57" i="25"/>
  <c r="E22" i="32"/>
  <c r="E17" i="32"/>
  <c r="L4" i="54" s="1"/>
  <c r="C68" i="17"/>
  <c r="C63" i="17"/>
  <c r="C68" i="27"/>
  <c r="C63" i="27"/>
  <c r="K56" i="52"/>
  <c r="L56" i="52"/>
  <c r="K29" i="32"/>
  <c r="K33" i="32"/>
  <c r="K34" i="32" s="1"/>
  <c r="L33" i="32"/>
  <c r="L34" i="32" s="1"/>
  <c r="L29" i="32"/>
  <c r="F73" i="24"/>
  <c r="F74" i="24" s="1"/>
  <c r="F69" i="24"/>
  <c r="D29" i="32"/>
  <c r="D33" i="32"/>
  <c r="D34" i="32" s="1"/>
  <c r="J4" i="54"/>
  <c r="W68" i="27"/>
  <c r="W63" i="27"/>
  <c r="M17" i="32"/>
  <c r="M22" i="32"/>
  <c r="AQ8" i="27"/>
  <c r="AQ7" i="27"/>
  <c r="AQ30" i="27"/>
  <c r="AQ45" i="27" s="1"/>
  <c r="AQ10" i="27"/>
  <c r="AQ9" i="27"/>
  <c r="AQ6" i="27"/>
  <c r="AQ5" i="27"/>
  <c r="C63" i="23"/>
  <c r="C68" i="23"/>
  <c r="G63" i="24"/>
  <c r="G68" i="24"/>
  <c r="E44" i="4"/>
  <c r="C5" i="16"/>
  <c r="K13" i="47"/>
  <c r="P53" i="27" s="1"/>
  <c r="P47" i="27"/>
  <c r="G48" i="23"/>
  <c r="I48" i="23" s="1"/>
  <c r="J48" i="24"/>
  <c r="P48" i="24" s="1"/>
  <c r="K10" i="47"/>
  <c r="C10" i="47"/>
  <c r="C10" i="46" l="1"/>
  <c r="F63" i="51"/>
  <c r="J18" i="54"/>
  <c r="K9" i="24"/>
  <c r="Q9" i="24" s="1"/>
  <c r="K57" i="52"/>
  <c r="K6" i="24"/>
  <c r="Q6" i="24" s="1"/>
  <c r="K25" i="24"/>
  <c r="Q25" i="24" s="1"/>
  <c r="M6" i="20"/>
  <c r="K24" i="24"/>
  <c r="Q24" i="24" s="1"/>
  <c r="AO15" i="27"/>
  <c r="K14" i="24"/>
  <c r="Q14" i="24" s="1"/>
  <c r="AK10" i="34"/>
  <c r="AL10" i="34" s="1"/>
  <c r="AM10" i="34" s="1"/>
  <c r="AN10" i="34" s="1"/>
  <c r="AO10" i="34" s="1"/>
  <c r="AP10" i="34" s="1"/>
  <c r="AQ10" i="34" s="1"/>
  <c r="AR10" i="34" s="1"/>
  <c r="AS10" i="34" s="1"/>
  <c r="AT10" i="34" s="1"/>
  <c r="AU10" i="34" s="1"/>
  <c r="Y17" i="54"/>
  <c r="AK21" i="33"/>
  <c r="AL21" i="33" s="1"/>
  <c r="AM21" i="33" s="1"/>
  <c r="AN21" i="33" s="1"/>
  <c r="AO21" i="33" s="1"/>
  <c r="AP21" i="33" s="1"/>
  <c r="AQ21" i="33" s="1"/>
  <c r="AR21" i="33" s="1"/>
  <c r="AS21" i="33" s="1"/>
  <c r="AT21" i="33" s="1"/>
  <c r="AU21" i="33" s="1"/>
  <c r="AA7" i="54"/>
  <c r="AK20" i="34"/>
  <c r="AL20" i="34" s="1"/>
  <c r="AM20" i="34" s="1"/>
  <c r="AN20" i="34" s="1"/>
  <c r="AO20" i="34" s="1"/>
  <c r="AP20" i="34" s="1"/>
  <c r="AQ20" i="34" s="1"/>
  <c r="AR20" i="34" s="1"/>
  <c r="AS20" i="34" s="1"/>
  <c r="AT20" i="34" s="1"/>
  <c r="AU20" i="34" s="1"/>
  <c r="AA13" i="54"/>
  <c r="L53" i="24"/>
  <c r="R53" i="24" s="1"/>
  <c r="S53" i="24" s="1"/>
  <c r="N21" i="49"/>
  <c r="AK11" i="33"/>
  <c r="AL11" i="33" s="1"/>
  <c r="AM11" i="33" s="1"/>
  <c r="AN11" i="33" s="1"/>
  <c r="AO11" i="33" s="1"/>
  <c r="AP11" i="33" s="1"/>
  <c r="AQ11" i="33" s="1"/>
  <c r="AR11" i="33" s="1"/>
  <c r="AS11" i="33" s="1"/>
  <c r="AT11" i="33" s="1"/>
  <c r="AU11" i="33" s="1"/>
  <c r="Y12" i="54"/>
  <c r="AO11" i="27"/>
  <c r="K22" i="24"/>
  <c r="Q22" i="24" s="1"/>
  <c r="K7" i="24"/>
  <c r="Q7" i="24" s="1"/>
  <c r="K39" i="24"/>
  <c r="Q39" i="24" s="1"/>
  <c r="K11" i="43"/>
  <c r="K16" i="43"/>
  <c r="K23" i="35"/>
  <c r="K28" i="35"/>
  <c r="J19" i="54" s="1"/>
  <c r="L28" i="34"/>
  <c r="L23" i="34"/>
  <c r="D33" i="34"/>
  <c r="D34" i="34" s="1"/>
  <c r="D29" i="34"/>
  <c r="AO19" i="27"/>
  <c r="E23" i="33"/>
  <c r="E28" i="33"/>
  <c r="G65" i="23"/>
  <c r="I65" i="23" s="1"/>
  <c r="K65" i="23" s="1"/>
  <c r="J65" i="24"/>
  <c r="P65" i="24" s="1"/>
  <c r="W63" i="17"/>
  <c r="W68" i="17"/>
  <c r="K5" i="24"/>
  <c r="AN11" i="27"/>
  <c r="I37" i="54"/>
  <c r="N57" i="26"/>
  <c r="N62" i="26"/>
  <c r="Y57" i="27"/>
  <c r="Y62" i="27"/>
  <c r="M63" i="51"/>
  <c r="M68" i="51"/>
  <c r="X69" i="17"/>
  <c r="X73" i="17"/>
  <c r="C23" i="34"/>
  <c r="C28" i="34"/>
  <c r="K13" i="24"/>
  <c r="AN15" i="27"/>
  <c r="M17" i="34"/>
  <c r="M22" i="34"/>
  <c r="K28" i="34"/>
  <c r="K23" i="34"/>
  <c r="M17" i="35"/>
  <c r="M22" i="35"/>
  <c r="E62" i="27"/>
  <c r="E57" i="27"/>
  <c r="AT51" i="27"/>
  <c r="AT56" i="27"/>
  <c r="F73" i="18"/>
  <c r="F69" i="18"/>
  <c r="L22" i="46"/>
  <c r="L17" i="46"/>
  <c r="K21" i="24"/>
  <c r="AN28" i="27"/>
  <c r="D23" i="33"/>
  <c r="D28" i="33"/>
  <c r="AO28" i="27"/>
  <c r="U68" i="17"/>
  <c r="U63" i="17"/>
  <c r="E8" i="46"/>
  <c r="E8" i="43"/>
  <c r="M63" i="26"/>
  <c r="M68" i="26"/>
  <c r="T63" i="17"/>
  <c r="T68" i="17"/>
  <c r="L23" i="33"/>
  <c r="L28" i="33"/>
  <c r="O19" i="51"/>
  <c r="N30" i="51"/>
  <c r="N45" i="51" s="1"/>
  <c r="N47" i="51" s="1"/>
  <c r="N50" i="51" s="1"/>
  <c r="K27" i="24"/>
  <c r="Q27" i="24" s="1"/>
  <c r="E28" i="35"/>
  <c r="E23" i="35"/>
  <c r="AA57" i="27"/>
  <c r="AA62" i="27"/>
  <c r="G68" i="26"/>
  <c r="G63" i="26"/>
  <c r="N54" i="51"/>
  <c r="O54" i="51" s="1"/>
  <c r="H54" i="51"/>
  <c r="L62" i="26"/>
  <c r="L57" i="26"/>
  <c r="V63" i="17"/>
  <c r="V68" i="17"/>
  <c r="K23" i="24"/>
  <c r="Q23" i="24" s="1"/>
  <c r="K41" i="24"/>
  <c r="Q41" i="24" s="1"/>
  <c r="AS56" i="27"/>
  <c r="AS51" i="27"/>
  <c r="L53" i="51"/>
  <c r="L56" i="51" s="1"/>
  <c r="E56" i="51"/>
  <c r="K33" i="24"/>
  <c r="Q33" i="24" s="1"/>
  <c r="N35" i="54"/>
  <c r="BH47" i="27"/>
  <c r="M25" i="43"/>
  <c r="BH65" i="27" s="1"/>
  <c r="J26" i="52"/>
  <c r="J48" i="52" s="1"/>
  <c r="C29" i="35"/>
  <c r="C33" i="35"/>
  <c r="C34" i="35" s="1"/>
  <c r="AU56" i="27"/>
  <c r="AU51" i="27"/>
  <c r="AO51" i="27"/>
  <c r="AO56" i="27"/>
  <c r="D22" i="43"/>
  <c r="D17" i="43"/>
  <c r="C11" i="43"/>
  <c r="C16" i="43"/>
  <c r="G56" i="51"/>
  <c r="G51" i="51"/>
  <c r="D17" i="46"/>
  <c r="D22" i="46"/>
  <c r="L22" i="43"/>
  <c r="L17" i="43"/>
  <c r="L59" i="24"/>
  <c r="R59" i="24" s="1"/>
  <c r="S59" i="24" s="1"/>
  <c r="K32" i="24"/>
  <c r="AN36" i="27"/>
  <c r="Q68" i="17"/>
  <c r="Q63" i="17"/>
  <c r="K38" i="24"/>
  <c r="AN43" i="27"/>
  <c r="N53" i="51"/>
  <c r="O53" i="51" s="1"/>
  <c r="H53" i="51"/>
  <c r="H7" i="49"/>
  <c r="H19" i="54"/>
  <c r="H18" i="54"/>
  <c r="O68" i="17"/>
  <c r="O63" i="17"/>
  <c r="E63" i="18"/>
  <c r="E68" i="18"/>
  <c r="AO36" i="27"/>
  <c r="U27" i="27"/>
  <c r="U13" i="27"/>
  <c r="U14" i="27"/>
  <c r="U10" i="27"/>
  <c r="U41" i="27"/>
  <c r="U32" i="27"/>
  <c r="U17" i="27"/>
  <c r="U5" i="27"/>
  <c r="U21" i="27"/>
  <c r="U26" i="27"/>
  <c r="U25" i="27"/>
  <c r="U23" i="27"/>
  <c r="U22" i="27"/>
  <c r="U38" i="27"/>
  <c r="U6" i="27"/>
  <c r="U33" i="27"/>
  <c r="U24" i="27"/>
  <c r="U8" i="27"/>
  <c r="U34" i="27"/>
  <c r="U7" i="27"/>
  <c r="U50" i="27"/>
  <c r="U39" i="27"/>
  <c r="U9" i="27"/>
  <c r="U18" i="27"/>
  <c r="U40" i="27"/>
  <c r="E28" i="34"/>
  <c r="E23" i="34"/>
  <c r="L60" i="24"/>
  <c r="R60" i="24" s="1"/>
  <c r="S60" i="24" s="1"/>
  <c r="D29" i="35"/>
  <c r="D33" i="35"/>
  <c r="D34" i="35" s="1"/>
  <c r="K17" i="24"/>
  <c r="AN19" i="27"/>
  <c r="K10" i="24"/>
  <c r="Q10" i="24" s="1"/>
  <c r="I23" i="49"/>
  <c r="T26" i="27"/>
  <c r="T17" i="27"/>
  <c r="T40" i="27"/>
  <c r="T7" i="27"/>
  <c r="T8" i="27"/>
  <c r="T50" i="27"/>
  <c r="T13" i="27"/>
  <c r="T25" i="27"/>
  <c r="T21" i="27"/>
  <c r="T9" i="27"/>
  <c r="T18" i="27"/>
  <c r="T6" i="27"/>
  <c r="T32" i="27"/>
  <c r="T22" i="27"/>
  <c r="T38" i="27"/>
  <c r="T14" i="27"/>
  <c r="T10" i="27"/>
  <c r="T41" i="27"/>
  <c r="T34" i="27"/>
  <c r="T23" i="27"/>
  <c r="T33" i="27"/>
  <c r="T24" i="27"/>
  <c r="T5" i="27"/>
  <c r="T39" i="27"/>
  <c r="T27" i="27"/>
  <c r="S63" i="17"/>
  <c r="S68" i="17"/>
  <c r="M68" i="17"/>
  <c r="M63" i="17"/>
  <c r="R63" i="17"/>
  <c r="R68" i="17"/>
  <c r="K34" i="24"/>
  <c r="Q34" i="24" s="1"/>
  <c r="K18" i="24"/>
  <c r="Q18" i="24" s="1"/>
  <c r="K8" i="24"/>
  <c r="Q8" i="24" s="1"/>
  <c r="BI47" i="27"/>
  <c r="M25" i="46"/>
  <c r="BI65" i="27" s="1"/>
  <c r="K26" i="52"/>
  <c r="E28" i="52"/>
  <c r="J60" i="24"/>
  <c r="P60" i="24" s="1"/>
  <c r="G60" i="23"/>
  <c r="I60" i="23" s="1"/>
  <c r="K60" i="23" s="1"/>
  <c r="G57" i="27"/>
  <c r="G62" i="27"/>
  <c r="N6" i="20"/>
  <c r="O8" i="19"/>
  <c r="P8" i="19" s="1"/>
  <c r="Z62" i="27"/>
  <c r="Z57" i="27"/>
  <c r="G62" i="18"/>
  <c r="G57" i="18"/>
  <c r="N63" i="17"/>
  <c r="N68" i="17"/>
  <c r="K23" i="33"/>
  <c r="K28" i="33"/>
  <c r="M17" i="33"/>
  <c r="M22" i="33"/>
  <c r="K11" i="46"/>
  <c r="K16" i="46"/>
  <c r="P63" i="17"/>
  <c r="P68" i="17"/>
  <c r="F69" i="26"/>
  <c r="F73" i="26"/>
  <c r="F74" i="26" s="1"/>
  <c r="AO43" i="27"/>
  <c r="L28" i="35"/>
  <c r="L23" i="35"/>
  <c r="AN51" i="27"/>
  <c r="AN56" i="27"/>
  <c r="L54" i="24"/>
  <c r="R54" i="24" s="1"/>
  <c r="S54" i="24" s="1"/>
  <c r="M5" i="49"/>
  <c r="M23" i="49" s="1"/>
  <c r="M7" i="54"/>
  <c r="M37" i="54" s="1"/>
  <c r="G71" i="25"/>
  <c r="C28" i="33"/>
  <c r="C23" i="33"/>
  <c r="F57" i="27"/>
  <c r="F62" i="27"/>
  <c r="J3" i="49"/>
  <c r="C73" i="27"/>
  <c r="C74" i="27" s="1"/>
  <c r="C69" i="27"/>
  <c r="G73" i="24"/>
  <c r="G74" i="24" s="1"/>
  <c r="G69" i="24"/>
  <c r="AQ62" i="27"/>
  <c r="AQ57" i="27"/>
  <c r="J5" i="54"/>
  <c r="H3" i="49"/>
  <c r="H5" i="54"/>
  <c r="H4" i="54"/>
  <c r="F69" i="51"/>
  <c r="F73" i="51"/>
  <c r="C73" i="17"/>
  <c r="C69" i="17"/>
  <c r="M28" i="32"/>
  <c r="M23" i="32"/>
  <c r="L5" i="54"/>
  <c r="N5" i="54" s="1"/>
  <c r="N4" i="54"/>
  <c r="C73" i="25"/>
  <c r="C69" i="25"/>
  <c r="G5" i="16"/>
  <c r="D5" i="17"/>
  <c r="D5" i="18"/>
  <c r="D5" i="23"/>
  <c r="D5" i="24"/>
  <c r="D5" i="26"/>
  <c r="D5" i="25"/>
  <c r="E5" i="16"/>
  <c r="C11" i="16"/>
  <c r="E28" i="32"/>
  <c r="E23" i="32"/>
  <c r="G68" i="25"/>
  <c r="G63" i="25"/>
  <c r="C69" i="23"/>
  <c r="C73" i="23"/>
  <c r="W73" i="27"/>
  <c r="W74" i="27" s="1"/>
  <c r="W69" i="27"/>
  <c r="I50" i="23"/>
  <c r="P28" i="27"/>
  <c r="P50" i="27"/>
  <c r="G53" i="23"/>
  <c r="I53" i="23" s="1"/>
  <c r="K53" i="23" s="1"/>
  <c r="J53" i="24"/>
  <c r="P53" i="24" s="1"/>
  <c r="C11" i="47"/>
  <c r="C16" i="47"/>
  <c r="K16" i="47"/>
  <c r="K11" i="47"/>
  <c r="C16" i="46" l="1"/>
  <c r="C11" i="46"/>
  <c r="U19" i="27"/>
  <c r="K18" i="54"/>
  <c r="AO30" i="27"/>
  <c r="AO45" i="27" s="1"/>
  <c r="U43" i="27"/>
  <c r="U36" i="27"/>
  <c r="J28" i="52"/>
  <c r="AN30" i="27"/>
  <c r="AN45" i="27" s="1"/>
  <c r="V73" i="17"/>
  <c r="V69" i="17"/>
  <c r="F63" i="27"/>
  <c r="F68" i="27"/>
  <c r="G68" i="27"/>
  <c r="G63" i="27"/>
  <c r="T11" i="27"/>
  <c r="G5" i="23"/>
  <c r="J5" i="24"/>
  <c r="G40" i="23"/>
  <c r="I40" i="23" s="1"/>
  <c r="K40" i="23" s="1"/>
  <c r="J40" i="24"/>
  <c r="P40" i="24" s="1"/>
  <c r="N68" i="26"/>
  <c r="N63" i="26"/>
  <c r="T19" i="27"/>
  <c r="G17" i="23"/>
  <c r="J17" i="24"/>
  <c r="O73" i="17"/>
  <c r="O69" i="17"/>
  <c r="G62" i="51"/>
  <c r="G57" i="51"/>
  <c r="AS57" i="27"/>
  <c r="AS62" i="27"/>
  <c r="T69" i="17"/>
  <c r="T73" i="17"/>
  <c r="U69" i="17"/>
  <c r="U73" i="17"/>
  <c r="G32" i="23"/>
  <c r="T36" i="27"/>
  <c r="J32" i="24"/>
  <c r="N69" i="17"/>
  <c r="N73" i="17"/>
  <c r="R73" i="17"/>
  <c r="R69" i="17"/>
  <c r="J18" i="24"/>
  <c r="P18" i="24" s="1"/>
  <c r="G18" i="23"/>
  <c r="I18" i="23" s="1"/>
  <c r="K18" i="23" s="1"/>
  <c r="Q69" i="17"/>
  <c r="Q73" i="17"/>
  <c r="AA68" i="27"/>
  <c r="AA63" i="27"/>
  <c r="C29" i="34"/>
  <c r="C33" i="34"/>
  <c r="C34" i="34" s="1"/>
  <c r="P73" i="17"/>
  <c r="P69" i="17"/>
  <c r="M73" i="26"/>
  <c r="M69" i="26"/>
  <c r="G34" i="23"/>
  <c r="I34" i="23" s="1"/>
  <c r="K34" i="23" s="1"/>
  <c r="J34" i="24"/>
  <c r="P34" i="24" s="1"/>
  <c r="K11" i="24"/>
  <c r="Q5" i="24"/>
  <c r="Q11" i="24" s="1"/>
  <c r="W73" i="17"/>
  <c r="W69" i="17"/>
  <c r="M8" i="46"/>
  <c r="E10" i="46"/>
  <c r="AU62" i="27"/>
  <c r="AU57" i="27"/>
  <c r="D33" i="33"/>
  <c r="D34" i="33" s="1"/>
  <c r="D29" i="33"/>
  <c r="J6" i="24"/>
  <c r="P6" i="24" s="1"/>
  <c r="G6" i="23"/>
  <c r="I6" i="23" s="1"/>
  <c r="K6" i="23" s="1"/>
  <c r="E29" i="34"/>
  <c r="E33" i="34"/>
  <c r="E34" i="34" s="1"/>
  <c r="L6" i="49"/>
  <c r="N6" i="49" s="1"/>
  <c r="AN62" i="27"/>
  <c r="AN57" i="27"/>
  <c r="Q21" i="24"/>
  <c r="Q28" i="24" s="1"/>
  <c r="K28" i="24"/>
  <c r="X74" i="17"/>
  <c r="V4" i="20"/>
  <c r="M69" i="17"/>
  <c r="M73" i="17"/>
  <c r="U15" i="27"/>
  <c r="BH34" i="27"/>
  <c r="BH23" i="27"/>
  <c r="BH18" i="27"/>
  <c r="BH10" i="27"/>
  <c r="BH21" i="27"/>
  <c r="BH39" i="27"/>
  <c r="BH9" i="27"/>
  <c r="BH22" i="27"/>
  <c r="BH25" i="27"/>
  <c r="BH27" i="27"/>
  <c r="BH38" i="27"/>
  <c r="BH40" i="27"/>
  <c r="BH8" i="27"/>
  <c r="BH14" i="27"/>
  <c r="BH17" i="27"/>
  <c r="BH41" i="27"/>
  <c r="BH33" i="27"/>
  <c r="BH13" i="27"/>
  <c r="BH26" i="27"/>
  <c r="BH24" i="27"/>
  <c r="BH7" i="27"/>
  <c r="BH5" i="27"/>
  <c r="BH6" i="27"/>
  <c r="BH32" i="27"/>
  <c r="L19" i="54"/>
  <c r="N19" i="54" s="1"/>
  <c r="E33" i="35"/>
  <c r="E34" i="35" s="1"/>
  <c r="L7" i="49"/>
  <c r="N7" i="49" s="1"/>
  <c r="E29" i="35"/>
  <c r="L23" i="46"/>
  <c r="L28" i="46"/>
  <c r="L29" i="34"/>
  <c r="L33" i="34"/>
  <c r="L34" i="34" s="1"/>
  <c r="G69" i="26"/>
  <c r="G73" i="26"/>
  <c r="G74" i="26" s="1"/>
  <c r="J9" i="24"/>
  <c r="P9" i="24" s="1"/>
  <c r="G9" i="23"/>
  <c r="I9" i="23" s="1"/>
  <c r="K9" i="23" s="1"/>
  <c r="Z63" i="27"/>
  <c r="Z68" i="27"/>
  <c r="S69" i="17"/>
  <c r="S73" i="17"/>
  <c r="G13" i="23"/>
  <c r="J13" i="24"/>
  <c r="T15" i="27"/>
  <c r="U51" i="27"/>
  <c r="U56" i="27"/>
  <c r="M73" i="51"/>
  <c r="M69" i="51"/>
  <c r="K29" i="35"/>
  <c r="K33" i="35"/>
  <c r="K34" i="35" s="1"/>
  <c r="K22" i="46"/>
  <c r="K17" i="46"/>
  <c r="M23" i="35"/>
  <c r="M28" i="35"/>
  <c r="K48" i="52"/>
  <c r="K28" i="52"/>
  <c r="G41" i="23"/>
  <c r="I41" i="23" s="1"/>
  <c r="K41" i="23" s="1"/>
  <c r="J41" i="24"/>
  <c r="P41" i="24" s="1"/>
  <c r="D23" i="43"/>
  <c r="D28" i="43"/>
  <c r="J10" i="24"/>
  <c r="P10" i="24" s="1"/>
  <c r="G10" i="23"/>
  <c r="I10" i="23" s="1"/>
  <c r="K10" i="23" s="1"/>
  <c r="K19" i="24"/>
  <c r="Q17" i="24"/>
  <c r="Q19" i="24" s="1"/>
  <c r="M23" i="33"/>
  <c r="M28" i="33"/>
  <c r="BI41" i="27"/>
  <c r="BI32" i="27"/>
  <c r="BI6" i="27"/>
  <c r="BI40" i="27"/>
  <c r="BI23" i="27"/>
  <c r="BI26" i="27"/>
  <c r="BI34" i="27"/>
  <c r="BI7" i="27"/>
  <c r="BI10" i="27"/>
  <c r="BI38" i="27"/>
  <c r="BI5" i="27"/>
  <c r="BI9" i="27"/>
  <c r="BI24" i="27"/>
  <c r="BI33" i="27"/>
  <c r="BI17" i="27"/>
  <c r="BI39" i="27"/>
  <c r="BI18" i="27"/>
  <c r="BI13" i="27"/>
  <c r="BI25" i="27"/>
  <c r="BI27" i="27"/>
  <c r="BI21" i="27"/>
  <c r="BI14" i="27"/>
  <c r="BI22" i="27"/>
  <c r="BI8" i="27"/>
  <c r="G14" i="23"/>
  <c r="I14" i="23" s="1"/>
  <c r="K14" i="23" s="1"/>
  <c r="J14" i="24"/>
  <c r="P14" i="24" s="1"/>
  <c r="AO57" i="27"/>
  <c r="AO62" i="27"/>
  <c r="K29" i="34"/>
  <c r="K33" i="34"/>
  <c r="K34" i="34" s="1"/>
  <c r="U28" i="27"/>
  <c r="M23" i="34"/>
  <c r="M28" i="34"/>
  <c r="L71" i="51"/>
  <c r="L71" i="26"/>
  <c r="E71" i="51" s="1"/>
  <c r="I71" i="25"/>
  <c r="K36" i="24"/>
  <c r="Q32" i="24"/>
  <c r="Q36" i="24" s="1"/>
  <c r="L65" i="24"/>
  <c r="R65" i="24" s="1"/>
  <c r="S65" i="24" s="1"/>
  <c r="L33" i="35"/>
  <c r="L34" i="35" s="1"/>
  <c r="L29" i="35"/>
  <c r="O6" i="20"/>
  <c r="T51" i="27"/>
  <c r="T56" i="27"/>
  <c r="L23" i="43"/>
  <c r="L28" i="43"/>
  <c r="N51" i="51"/>
  <c r="N56" i="51"/>
  <c r="Q38" i="24"/>
  <c r="Q43" i="24" s="1"/>
  <c r="K43" i="24"/>
  <c r="K33" i="33"/>
  <c r="K34" i="33" s="1"/>
  <c r="K29" i="33"/>
  <c r="L5" i="49"/>
  <c r="N5" i="49" s="1"/>
  <c r="E29" i="33"/>
  <c r="E33" i="33"/>
  <c r="E34" i="33" s="1"/>
  <c r="P6" i="20"/>
  <c r="Q8" i="19"/>
  <c r="G8" i="23"/>
  <c r="I8" i="23" s="1"/>
  <c r="K8" i="23" s="1"/>
  <c r="J8" i="24"/>
  <c r="P8" i="24" s="1"/>
  <c r="E73" i="18"/>
  <c r="E69" i="18"/>
  <c r="D23" i="46"/>
  <c r="D28" i="46"/>
  <c r="E57" i="51"/>
  <c r="E62" i="51"/>
  <c r="F74" i="18"/>
  <c r="G9" i="14"/>
  <c r="F7" i="20" s="1"/>
  <c r="F4" i="20"/>
  <c r="Y63" i="27"/>
  <c r="Y68" i="27"/>
  <c r="K22" i="43"/>
  <c r="K17" i="43"/>
  <c r="G33" i="23"/>
  <c r="I33" i="23" s="1"/>
  <c r="K33" i="23" s="1"/>
  <c r="J33" i="24"/>
  <c r="P33" i="24" s="1"/>
  <c r="C22" i="43"/>
  <c r="C17" i="43"/>
  <c r="E63" i="27"/>
  <c r="E68" i="27"/>
  <c r="M8" i="43"/>
  <c r="E10" i="43"/>
  <c r="L63" i="26"/>
  <c r="L68" i="26"/>
  <c r="C29" i="33"/>
  <c r="C33" i="33"/>
  <c r="C34" i="33" s="1"/>
  <c r="T43" i="27"/>
  <c r="G38" i="23"/>
  <c r="J38" i="24"/>
  <c r="U11" i="27"/>
  <c r="K15" i="24"/>
  <c r="Q13" i="24"/>
  <c r="Q15" i="24" s="1"/>
  <c r="J62" i="52"/>
  <c r="J63" i="52" s="1"/>
  <c r="J50" i="52"/>
  <c r="G63" i="18"/>
  <c r="G68" i="18"/>
  <c r="T28" i="27"/>
  <c r="J39" i="24"/>
  <c r="P39" i="24" s="1"/>
  <c r="G39" i="23"/>
  <c r="I39" i="23" s="1"/>
  <c r="K39" i="23" s="1"/>
  <c r="J7" i="24"/>
  <c r="P7" i="24" s="1"/>
  <c r="G7" i="23"/>
  <c r="I7" i="23" s="1"/>
  <c r="K7" i="23" s="1"/>
  <c r="L62" i="51"/>
  <c r="L57" i="51"/>
  <c r="L33" i="33"/>
  <c r="L34" i="33" s="1"/>
  <c r="L29" i="33"/>
  <c r="AT62" i="27"/>
  <c r="AT57" i="27"/>
  <c r="AQ68" i="27"/>
  <c r="AQ63" i="27"/>
  <c r="E11" i="16"/>
  <c r="C30" i="16"/>
  <c r="G11" i="16"/>
  <c r="H5" i="25"/>
  <c r="D11" i="25"/>
  <c r="E5" i="25"/>
  <c r="K4" i="54"/>
  <c r="H5" i="26"/>
  <c r="K5" i="26"/>
  <c r="D11" i="26"/>
  <c r="C74" i="23"/>
  <c r="C74" i="25"/>
  <c r="O5" i="24"/>
  <c r="D11" i="24"/>
  <c r="H5" i="24"/>
  <c r="J5" i="23"/>
  <c r="D11" i="23"/>
  <c r="E5" i="23"/>
  <c r="H5" i="18"/>
  <c r="D11" i="18"/>
  <c r="D11" i="17"/>
  <c r="E5" i="17"/>
  <c r="F74" i="51"/>
  <c r="F82" i="51"/>
  <c r="C74" i="17"/>
  <c r="G73" i="25"/>
  <c r="G69" i="25"/>
  <c r="M29" i="32"/>
  <c r="M33" i="32"/>
  <c r="M34" i="32" s="1"/>
  <c r="L3" i="49"/>
  <c r="E33" i="32"/>
  <c r="E34" i="32" s="1"/>
  <c r="E29" i="32"/>
  <c r="P27" i="27"/>
  <c r="P23" i="27"/>
  <c r="P22" i="27"/>
  <c r="P24" i="27"/>
  <c r="P21" i="27"/>
  <c r="P25" i="27"/>
  <c r="P26" i="27"/>
  <c r="P30" i="27"/>
  <c r="P45" i="27" s="1"/>
  <c r="I51" i="23"/>
  <c r="I56" i="23"/>
  <c r="P56" i="27"/>
  <c r="P51" i="27"/>
  <c r="K17" i="47"/>
  <c r="K22" i="47"/>
  <c r="C22" i="47"/>
  <c r="C17" i="47"/>
  <c r="C17" i="46" l="1"/>
  <c r="C22" i="46"/>
  <c r="L23" i="24"/>
  <c r="R23" i="24" s="1"/>
  <c r="S23" i="24" s="1"/>
  <c r="L8" i="24"/>
  <c r="R8" i="24" s="1"/>
  <c r="S8" i="24" s="1"/>
  <c r="L7" i="24"/>
  <c r="R7" i="24" s="1"/>
  <c r="S7" i="24" s="1"/>
  <c r="L24" i="24"/>
  <c r="R24" i="24" s="1"/>
  <c r="S24" i="24" s="1"/>
  <c r="L26" i="24"/>
  <c r="R26" i="24" s="1"/>
  <c r="S26" i="24" s="1"/>
  <c r="L34" i="24"/>
  <c r="R34" i="24" s="1"/>
  <c r="S34" i="24" s="1"/>
  <c r="L10" i="24"/>
  <c r="R10" i="24" s="1"/>
  <c r="S10" i="24" s="1"/>
  <c r="L18" i="24"/>
  <c r="R18" i="24" s="1"/>
  <c r="S18" i="24" s="1"/>
  <c r="BI36" i="27"/>
  <c r="L9" i="24"/>
  <c r="R9" i="24" s="1"/>
  <c r="S9" i="24" s="1"/>
  <c r="L39" i="24"/>
  <c r="R39" i="24" s="1"/>
  <c r="S39" i="24" s="1"/>
  <c r="L25" i="24"/>
  <c r="R25" i="24" s="1"/>
  <c r="S25" i="24" s="1"/>
  <c r="L22" i="24"/>
  <c r="R22" i="24" s="1"/>
  <c r="S22" i="24" s="1"/>
  <c r="K4" i="20"/>
  <c r="K9" i="20" s="1"/>
  <c r="K25" i="20" s="1"/>
  <c r="K28" i="20" s="1"/>
  <c r="M74" i="17"/>
  <c r="U4" i="20"/>
  <c r="W74" i="17"/>
  <c r="L21" i="24"/>
  <c r="BH28" i="27"/>
  <c r="AU68" i="27"/>
  <c r="AU63" i="27"/>
  <c r="Y73" i="27"/>
  <c r="Y74" i="27" s="1"/>
  <c r="Y69" i="27"/>
  <c r="Z69" i="27"/>
  <c r="Z73" i="27"/>
  <c r="Z74" i="27" s="1"/>
  <c r="BH15" i="27"/>
  <c r="L13" i="24"/>
  <c r="Q30" i="24"/>
  <c r="Q45" i="24" s="1"/>
  <c r="Q47" i="24" s="1"/>
  <c r="Q50" i="24" s="1"/>
  <c r="J36" i="24"/>
  <c r="P32" i="24"/>
  <c r="P36" i="24" s="1"/>
  <c r="J11" i="24"/>
  <c r="P5" i="24"/>
  <c r="P11" i="24" s="1"/>
  <c r="E16" i="43"/>
  <c r="E11" i="43"/>
  <c r="M74" i="51"/>
  <c r="M82" i="51"/>
  <c r="BH36" i="27"/>
  <c r="L32" i="24"/>
  <c r="G15" i="23"/>
  <c r="I13" i="23"/>
  <c r="M29" i="34"/>
  <c r="M33" i="34"/>
  <c r="M34" i="34" s="1"/>
  <c r="L33" i="24"/>
  <c r="R33" i="24" s="1"/>
  <c r="S33" i="24" s="1"/>
  <c r="K30" i="24"/>
  <c r="K45" i="24" s="1"/>
  <c r="K47" i="24" s="1"/>
  <c r="K50" i="24" s="1"/>
  <c r="G11" i="23"/>
  <c r="I5" i="23"/>
  <c r="I11" i="23" s="1"/>
  <c r="F9" i="14"/>
  <c r="E7" i="20" s="1"/>
  <c r="E74" i="18"/>
  <c r="E4" i="20"/>
  <c r="G68" i="51"/>
  <c r="G63" i="51"/>
  <c r="O74" i="17"/>
  <c r="M4" i="20"/>
  <c r="M9" i="20" s="1"/>
  <c r="M25" i="20" s="1"/>
  <c r="M28" i="20" s="1"/>
  <c r="M33" i="33"/>
  <c r="M34" i="33" s="1"/>
  <c r="M29" i="33"/>
  <c r="G19" i="23"/>
  <c r="I17" i="23"/>
  <c r="L5" i="24"/>
  <c r="BH11" i="27"/>
  <c r="R74" i="17"/>
  <c r="P4" i="20"/>
  <c r="Q4" i="20"/>
  <c r="S74" i="17"/>
  <c r="BI11" i="27"/>
  <c r="U30" i="27"/>
  <c r="U45" i="27" s="1"/>
  <c r="F82" i="24"/>
  <c r="F9" i="20"/>
  <c r="F25" i="20" s="1"/>
  <c r="F28" i="20" s="1"/>
  <c r="F82" i="26"/>
  <c r="N57" i="51"/>
  <c r="N62" i="51"/>
  <c r="BI43" i="27"/>
  <c r="L41" i="24"/>
  <c r="R41" i="24" s="1"/>
  <c r="S41" i="24" s="1"/>
  <c r="I32" i="23"/>
  <c r="G36" i="23"/>
  <c r="T30" i="27"/>
  <c r="T45" i="27" s="1"/>
  <c r="BI15" i="27"/>
  <c r="BI19" i="27"/>
  <c r="N73" i="26"/>
  <c r="N69" i="26"/>
  <c r="J7" i="54"/>
  <c r="J11" i="54"/>
  <c r="J9" i="54"/>
  <c r="J8" i="54"/>
  <c r="J10" i="54"/>
  <c r="J12" i="54"/>
  <c r="BH19" i="27"/>
  <c r="L17" i="24"/>
  <c r="S4" i="20"/>
  <c r="U74" i="17"/>
  <c r="U57" i="27"/>
  <c r="U62" i="27"/>
  <c r="L6" i="24"/>
  <c r="R6" i="24" s="1"/>
  <c r="S6" i="24" s="1"/>
  <c r="K28" i="43"/>
  <c r="K23" i="43"/>
  <c r="D29" i="43"/>
  <c r="D33" i="43"/>
  <c r="D34" i="43" s="1"/>
  <c r="F85" i="24"/>
  <c r="F85" i="26"/>
  <c r="M85" i="26" s="1"/>
  <c r="F85" i="51" s="1"/>
  <c r="M85" i="51" s="1"/>
  <c r="J16" i="54"/>
  <c r="J13" i="54"/>
  <c r="J14" i="54"/>
  <c r="J15" i="54"/>
  <c r="J17" i="54"/>
  <c r="AO68" i="27"/>
  <c r="AO63" i="27"/>
  <c r="L62" i="52"/>
  <c r="L63" i="52" s="1"/>
  <c r="K62" i="52"/>
  <c r="K63" i="52" s="1"/>
  <c r="K50" i="52"/>
  <c r="L14" i="24"/>
  <c r="R14" i="24" s="1"/>
  <c r="S14" i="24" s="1"/>
  <c r="G73" i="27"/>
  <c r="G74" i="27" s="1"/>
  <c r="G69" i="27"/>
  <c r="J7" i="49"/>
  <c r="L14" i="54"/>
  <c r="N14" i="54" s="1"/>
  <c r="L16" i="54"/>
  <c r="N16" i="54" s="1"/>
  <c r="L13" i="54"/>
  <c r="N13" i="54" s="1"/>
  <c r="L15" i="54"/>
  <c r="N15" i="54" s="1"/>
  <c r="L17" i="54"/>
  <c r="N17" i="54" s="1"/>
  <c r="BH48" i="27"/>
  <c r="M10" i="43"/>
  <c r="J19" i="24"/>
  <c r="P17" i="24"/>
  <c r="P19" i="24" s="1"/>
  <c r="C28" i="43"/>
  <c r="C23" i="43"/>
  <c r="J15" i="24"/>
  <c r="P13" i="24"/>
  <c r="P15" i="24" s="1"/>
  <c r="E63" i="51"/>
  <c r="E68" i="51"/>
  <c r="K19" i="54"/>
  <c r="M33" i="35"/>
  <c r="M34" i="35" s="1"/>
  <c r="M29" i="35"/>
  <c r="M82" i="26"/>
  <c r="M74" i="26"/>
  <c r="R4" i="20"/>
  <c r="T74" i="17"/>
  <c r="F73" i="27"/>
  <c r="F74" i="27" s="1"/>
  <c r="J6" i="49"/>
  <c r="F69" i="27"/>
  <c r="L63" i="51"/>
  <c r="L68" i="51"/>
  <c r="J5" i="49"/>
  <c r="E73" i="27"/>
  <c r="E74" i="27" s="1"/>
  <c r="E69" i="27"/>
  <c r="Q6" i="20"/>
  <c r="R8" i="19"/>
  <c r="AT63" i="27"/>
  <c r="AT68" i="27"/>
  <c r="T57" i="27"/>
  <c r="T62" i="27"/>
  <c r="L40" i="24"/>
  <c r="R40" i="24" s="1"/>
  <c r="S40" i="24" s="1"/>
  <c r="AN68" i="27"/>
  <c r="AN63" i="27"/>
  <c r="L10" i="54"/>
  <c r="N10" i="54" s="1"/>
  <c r="L9" i="54"/>
  <c r="N9" i="54" s="1"/>
  <c r="L7" i="54"/>
  <c r="N7" i="54" s="1"/>
  <c r="L8" i="54"/>
  <c r="N8" i="54" s="1"/>
  <c r="L11" i="54"/>
  <c r="N11" i="54" s="1"/>
  <c r="L12" i="54"/>
  <c r="N12" i="54" s="1"/>
  <c r="BI48" i="27"/>
  <c r="BI50" i="27" s="1"/>
  <c r="M10" i="46"/>
  <c r="P38" i="24"/>
  <c r="P43" i="24" s="1"/>
  <c r="J43" i="24"/>
  <c r="G43" i="23"/>
  <c r="I38" i="23"/>
  <c r="L38" i="24"/>
  <c r="BH43" i="27"/>
  <c r="N4" i="20"/>
  <c r="P74" i="17"/>
  <c r="AS68" i="27"/>
  <c r="AS63" i="27"/>
  <c r="BI28" i="27"/>
  <c r="AA73" i="27"/>
  <c r="AA74" i="27" s="1"/>
  <c r="AA69" i="27"/>
  <c r="O4" i="20"/>
  <c r="O9" i="20" s="1"/>
  <c r="O25" i="20" s="1"/>
  <c r="O28" i="20" s="1"/>
  <c r="Q74" i="17"/>
  <c r="G73" i="18"/>
  <c r="G69" i="18"/>
  <c r="E11" i="46"/>
  <c r="E16" i="46"/>
  <c r="N74" i="17"/>
  <c r="L4" i="20"/>
  <c r="L33" i="43"/>
  <c r="L34" i="43" s="1"/>
  <c r="L29" i="43"/>
  <c r="D33" i="46"/>
  <c r="D34" i="46" s="1"/>
  <c r="D29" i="46"/>
  <c r="L69" i="26"/>
  <c r="L73" i="26"/>
  <c r="K28" i="46"/>
  <c r="K23" i="46"/>
  <c r="L33" i="46"/>
  <c r="L34" i="46" s="1"/>
  <c r="L29" i="46"/>
  <c r="L27" i="24"/>
  <c r="R27" i="24" s="1"/>
  <c r="S27" i="24" s="1"/>
  <c r="V74" i="17"/>
  <c r="T4" i="20"/>
  <c r="G30" i="54"/>
  <c r="H11" i="24"/>
  <c r="D30" i="24"/>
  <c r="O11" i="24"/>
  <c r="D30" i="23"/>
  <c r="E11" i="23"/>
  <c r="D5" i="51"/>
  <c r="K11" i="26"/>
  <c r="O5" i="26"/>
  <c r="G30" i="16"/>
  <c r="C45" i="16"/>
  <c r="E30" i="16"/>
  <c r="K5" i="54"/>
  <c r="N3" i="49"/>
  <c r="K3" i="49"/>
  <c r="AQ73" i="27"/>
  <c r="AQ74" i="27" s="1"/>
  <c r="AQ69" i="27"/>
  <c r="J11" i="23"/>
  <c r="D30" i="25"/>
  <c r="E11" i="25"/>
  <c r="H11" i="25"/>
  <c r="I5" i="25"/>
  <c r="D30" i="17"/>
  <c r="E11" i="17"/>
  <c r="H11" i="18"/>
  <c r="H3" i="52"/>
  <c r="D30" i="18"/>
  <c r="H11" i="26"/>
  <c r="D30" i="26"/>
  <c r="G74" i="25"/>
  <c r="J25" i="24"/>
  <c r="P25" i="24" s="1"/>
  <c r="G25" i="23"/>
  <c r="I57" i="23"/>
  <c r="I62" i="23"/>
  <c r="J22" i="24"/>
  <c r="P22" i="24" s="1"/>
  <c r="G22" i="23"/>
  <c r="I22" i="23" s="1"/>
  <c r="K22" i="23" s="1"/>
  <c r="G21" i="23"/>
  <c r="I21" i="23" s="1"/>
  <c r="J21" i="24"/>
  <c r="J23" i="24"/>
  <c r="P23" i="24" s="1"/>
  <c r="G23" i="23"/>
  <c r="I23" i="23" s="1"/>
  <c r="K23" i="23" s="1"/>
  <c r="P57" i="27"/>
  <c r="P62" i="27"/>
  <c r="G26" i="23"/>
  <c r="I26" i="23" s="1"/>
  <c r="K26" i="23" s="1"/>
  <c r="J26" i="24"/>
  <c r="P26" i="24" s="1"/>
  <c r="J24" i="24"/>
  <c r="P24" i="24" s="1"/>
  <c r="G24" i="23"/>
  <c r="I24" i="23" s="1"/>
  <c r="K24" i="23" s="1"/>
  <c r="G27" i="23"/>
  <c r="I27" i="23" s="1"/>
  <c r="K27" i="23" s="1"/>
  <c r="J27" i="24"/>
  <c r="P27" i="24" s="1"/>
  <c r="C28" i="47"/>
  <c r="C23" i="47"/>
  <c r="K28" i="47"/>
  <c r="K23" i="47"/>
  <c r="C23" i="46" l="1"/>
  <c r="C28" i="46"/>
  <c r="F87" i="51"/>
  <c r="F103" i="51" s="1"/>
  <c r="F106" i="51" s="1"/>
  <c r="Q9" i="20"/>
  <c r="Q25" i="20" s="1"/>
  <c r="Q28" i="20" s="1"/>
  <c r="F87" i="26"/>
  <c r="F103" i="26" s="1"/>
  <c r="F106" i="26" s="1"/>
  <c r="F87" i="24"/>
  <c r="F103" i="24" s="1"/>
  <c r="F106" i="24" s="1"/>
  <c r="BI30" i="27"/>
  <c r="BI45" i="27" s="1"/>
  <c r="M87" i="51"/>
  <c r="M103" i="51" s="1"/>
  <c r="M106" i="51" s="1"/>
  <c r="K5" i="23"/>
  <c r="Y16" i="33"/>
  <c r="Z16" i="33"/>
  <c r="U16" i="33"/>
  <c r="AJ16" i="33" s="1"/>
  <c r="V16" i="33"/>
  <c r="W16" i="33"/>
  <c r="AD16" i="33"/>
  <c r="AF16" i="33"/>
  <c r="AE16" i="33"/>
  <c r="X16" i="33"/>
  <c r="AB16" i="33"/>
  <c r="AA16" i="33"/>
  <c r="AC16" i="33"/>
  <c r="E82" i="26"/>
  <c r="E82" i="24"/>
  <c r="E9" i="20"/>
  <c r="E25" i="20" s="1"/>
  <c r="E28" i="20" s="1"/>
  <c r="AE17" i="34"/>
  <c r="X17" i="34"/>
  <c r="Y17" i="34"/>
  <c r="AD17" i="34"/>
  <c r="U17" i="34"/>
  <c r="AJ17" i="34" s="1"/>
  <c r="W17" i="34"/>
  <c r="AF17" i="34"/>
  <c r="AA17" i="34"/>
  <c r="AB17" i="34"/>
  <c r="Z17" i="34"/>
  <c r="V17" i="34"/>
  <c r="AC17" i="34"/>
  <c r="K33" i="46"/>
  <c r="K34" i="46" s="1"/>
  <c r="K29" i="46"/>
  <c r="AS73" i="27"/>
  <c r="AS74" i="27" s="1"/>
  <c r="AS69" i="27"/>
  <c r="K5" i="49"/>
  <c r="T68" i="27"/>
  <c r="T63" i="27"/>
  <c r="Q56" i="24"/>
  <c r="Q51" i="24"/>
  <c r="V7" i="20"/>
  <c r="L7" i="20"/>
  <c r="N7" i="20"/>
  <c r="N9" i="20" s="1"/>
  <c r="N25" i="20" s="1"/>
  <c r="N28" i="20" s="1"/>
  <c r="T7" i="20"/>
  <c r="P7" i="20"/>
  <c r="P9" i="20" s="1"/>
  <c r="P25" i="20" s="1"/>
  <c r="P28" i="20" s="1"/>
  <c r="R7" i="20"/>
  <c r="E85" i="24"/>
  <c r="E85" i="26"/>
  <c r="AE13" i="34"/>
  <c r="W13" i="34"/>
  <c r="V13" i="34"/>
  <c r="AF13" i="34"/>
  <c r="X13" i="34"/>
  <c r="Y13" i="34"/>
  <c r="AA13" i="34"/>
  <c r="AD13" i="34"/>
  <c r="Z13" i="34"/>
  <c r="AC13" i="34"/>
  <c r="U13" i="34"/>
  <c r="AJ13" i="34" s="1"/>
  <c r="AB13" i="34"/>
  <c r="AE14" i="33"/>
  <c r="AF14" i="33"/>
  <c r="AB14" i="33"/>
  <c r="Z14" i="33"/>
  <c r="AD14" i="33"/>
  <c r="Y14" i="33"/>
  <c r="V14" i="33"/>
  <c r="W14" i="33"/>
  <c r="X14" i="33"/>
  <c r="AC14" i="33"/>
  <c r="AA14" i="33"/>
  <c r="U14" i="33"/>
  <c r="AJ14" i="33" s="1"/>
  <c r="I15" i="23"/>
  <c r="K15" i="23" s="1"/>
  <c r="K13" i="23"/>
  <c r="M16" i="43"/>
  <c r="M11" i="43"/>
  <c r="AC16" i="34"/>
  <c r="V16" i="34"/>
  <c r="AF16" i="34"/>
  <c r="AA16" i="34"/>
  <c r="Z16" i="34"/>
  <c r="AD16" i="34"/>
  <c r="U16" i="34"/>
  <c r="AJ16" i="34" s="1"/>
  <c r="AE16" i="34"/>
  <c r="AB16" i="34"/>
  <c r="Y16" i="34"/>
  <c r="W16" i="34"/>
  <c r="X16" i="34"/>
  <c r="BH30" i="27"/>
  <c r="BH45" i="27" s="1"/>
  <c r="K7" i="49"/>
  <c r="AU69" i="27"/>
  <c r="AU73" i="27"/>
  <c r="AU74" i="27" s="1"/>
  <c r="AD19" i="33"/>
  <c r="AF19" i="33"/>
  <c r="AB19" i="33"/>
  <c r="AE19" i="33"/>
  <c r="V19" i="33"/>
  <c r="X19" i="33"/>
  <c r="Y19" i="33"/>
  <c r="Z19" i="33"/>
  <c r="AC19" i="33"/>
  <c r="W19" i="33"/>
  <c r="AA19" i="33"/>
  <c r="U19" i="33"/>
  <c r="AJ19" i="33" s="1"/>
  <c r="L43" i="24"/>
  <c r="R38" i="24"/>
  <c r="V15" i="34"/>
  <c r="W15" i="34"/>
  <c r="AD15" i="34"/>
  <c r="AA15" i="34"/>
  <c r="X15" i="34"/>
  <c r="AF15" i="34"/>
  <c r="U15" i="34"/>
  <c r="AJ15" i="34" s="1"/>
  <c r="Z15" i="34"/>
  <c r="AC15" i="34"/>
  <c r="Y15" i="34"/>
  <c r="AB15" i="34"/>
  <c r="AE15" i="34"/>
  <c r="K15" i="54"/>
  <c r="K16" i="54"/>
  <c r="K14" i="54"/>
  <c r="K13" i="54"/>
  <c r="K17" i="54"/>
  <c r="L9" i="20"/>
  <c r="L25" i="20" s="1"/>
  <c r="L28" i="20" s="1"/>
  <c r="M11" i="46"/>
  <c r="M16" i="46"/>
  <c r="L69" i="51"/>
  <c r="L73" i="51"/>
  <c r="E22" i="46"/>
  <c r="E17" i="46"/>
  <c r="BI51" i="27"/>
  <c r="BI56" i="27"/>
  <c r="BH50" i="27"/>
  <c r="L48" i="24"/>
  <c r="R48" i="24" s="1"/>
  <c r="N74" i="26"/>
  <c r="N82" i="26"/>
  <c r="R5" i="24"/>
  <c r="L11" i="24"/>
  <c r="L36" i="24"/>
  <c r="R32" i="24"/>
  <c r="AO69" i="27"/>
  <c r="AO73" i="27"/>
  <c r="AO74" i="27" s="1"/>
  <c r="AF17" i="33"/>
  <c r="AA17" i="33"/>
  <c r="AE17" i="33"/>
  <c r="AC17" i="33"/>
  <c r="V17" i="33"/>
  <c r="Z17" i="33"/>
  <c r="X17" i="33"/>
  <c r="AB17" i="33"/>
  <c r="Y17" i="33"/>
  <c r="W17" i="33"/>
  <c r="U17" i="33"/>
  <c r="AJ17" i="33" s="1"/>
  <c r="AD17" i="33"/>
  <c r="AC18" i="33"/>
  <c r="AE18" i="33"/>
  <c r="Y18" i="33"/>
  <c r="U18" i="33"/>
  <c r="AJ18" i="33" s="1"/>
  <c r="Z18" i="33"/>
  <c r="AF18" i="33"/>
  <c r="AA18" i="33"/>
  <c r="AB18" i="33"/>
  <c r="V18" i="33"/>
  <c r="W18" i="33"/>
  <c r="X18" i="33"/>
  <c r="AD18" i="33"/>
  <c r="I19" i="23"/>
  <c r="K19" i="23" s="1"/>
  <c r="K17" i="23"/>
  <c r="L28" i="24"/>
  <c r="R21" i="24"/>
  <c r="G4" i="20"/>
  <c r="G74" i="18"/>
  <c r="H9" i="14"/>
  <c r="G7" i="20" s="1"/>
  <c r="K7" i="54"/>
  <c r="K11" i="54"/>
  <c r="K8" i="54"/>
  <c r="K10" i="54"/>
  <c r="K9" i="54"/>
  <c r="K12" i="54"/>
  <c r="R6" i="20"/>
  <c r="S8" i="19"/>
  <c r="Y15" i="33"/>
  <c r="W15" i="33"/>
  <c r="AA15" i="33"/>
  <c r="AF15" i="33"/>
  <c r="AC15" i="33"/>
  <c r="AB15" i="33"/>
  <c r="AE15" i="33"/>
  <c r="U15" i="33"/>
  <c r="AJ15" i="33" s="1"/>
  <c r="X15" i="33"/>
  <c r="Z15" i="33"/>
  <c r="V15" i="33"/>
  <c r="AD15" i="33"/>
  <c r="K33" i="43"/>
  <c r="K34" i="43" s="1"/>
  <c r="K29" i="43"/>
  <c r="I36" i="23"/>
  <c r="K36" i="23" s="1"/>
  <c r="K32" i="23"/>
  <c r="E22" i="43"/>
  <c r="E17" i="43"/>
  <c r="G34" i="54"/>
  <c r="G20" i="49"/>
  <c r="E69" i="51"/>
  <c r="E73" i="51"/>
  <c r="L15" i="24"/>
  <c r="R13" i="24"/>
  <c r="L82" i="26"/>
  <c r="L85" i="26" s="1"/>
  <c r="E85" i="51" s="1"/>
  <c r="L74" i="26"/>
  <c r="G21" i="49"/>
  <c r="G35" i="54"/>
  <c r="K51" i="24"/>
  <c r="K56" i="24"/>
  <c r="K38" i="23"/>
  <c r="I43" i="23"/>
  <c r="K43" i="23" s="1"/>
  <c r="C33" i="43"/>
  <c r="C34" i="43" s="1"/>
  <c r="C29" i="43"/>
  <c r="Y14" i="34"/>
  <c r="Z14" i="34"/>
  <c r="AD14" i="34"/>
  <c r="W14" i="34"/>
  <c r="X14" i="34"/>
  <c r="V14" i="34"/>
  <c r="AA14" i="34"/>
  <c r="AB14" i="34"/>
  <c r="AC14" i="34"/>
  <c r="AE14" i="34"/>
  <c r="AF14" i="34"/>
  <c r="U14" i="34"/>
  <c r="AJ14" i="34" s="1"/>
  <c r="M87" i="26"/>
  <c r="M103" i="26" s="1"/>
  <c r="M106" i="26" s="1"/>
  <c r="U63" i="27"/>
  <c r="U68" i="27"/>
  <c r="L19" i="24"/>
  <c r="R17" i="24"/>
  <c r="K6" i="49"/>
  <c r="AT69" i="27"/>
  <c r="AT73" i="27"/>
  <c r="AT74" i="27" s="1"/>
  <c r="H21" i="49"/>
  <c r="H35" i="54"/>
  <c r="AN69" i="27"/>
  <c r="AN73" i="27"/>
  <c r="AN74" i="27" s="1"/>
  <c r="N63" i="51"/>
  <c r="N68" i="51"/>
  <c r="G73" i="51"/>
  <c r="G69" i="51"/>
  <c r="D45" i="17"/>
  <c r="E30" i="17"/>
  <c r="K5" i="51"/>
  <c r="D11" i="51"/>
  <c r="H5" i="51"/>
  <c r="D45" i="25"/>
  <c r="E30" i="25"/>
  <c r="H36" i="52"/>
  <c r="H11" i="52"/>
  <c r="H28" i="52" s="1"/>
  <c r="O30" i="24"/>
  <c r="G45" i="16"/>
  <c r="C47" i="16"/>
  <c r="E45" i="16"/>
  <c r="H30" i="24"/>
  <c r="D45" i="24"/>
  <c r="D45" i="18"/>
  <c r="H30" i="18"/>
  <c r="D45" i="23"/>
  <c r="E30" i="23"/>
  <c r="H30" i="26"/>
  <c r="D45" i="26"/>
  <c r="K30" i="26"/>
  <c r="O11" i="26"/>
  <c r="J30" i="23"/>
  <c r="J45" i="23" s="1"/>
  <c r="K11" i="23"/>
  <c r="H30" i="25"/>
  <c r="I11" i="25"/>
  <c r="P21" i="24"/>
  <c r="P28" i="24" s="1"/>
  <c r="P30" i="24" s="1"/>
  <c r="P45" i="24" s="1"/>
  <c r="P47" i="24" s="1"/>
  <c r="P50" i="24" s="1"/>
  <c r="J28" i="24"/>
  <c r="J30" i="24" s="1"/>
  <c r="J45" i="24" s="1"/>
  <c r="J47" i="24" s="1"/>
  <c r="J50" i="24" s="1"/>
  <c r="I68" i="23"/>
  <c r="I63" i="23"/>
  <c r="P63" i="27"/>
  <c r="P68" i="27"/>
  <c r="K21" i="23"/>
  <c r="G28" i="23"/>
  <c r="G30" i="23" s="1"/>
  <c r="G45" i="23" s="1"/>
  <c r="G47" i="23" s="1"/>
  <c r="G50" i="23" s="1"/>
  <c r="I25" i="23"/>
  <c r="K25" i="23" s="1"/>
  <c r="K33" i="47"/>
  <c r="K34" i="47" s="1"/>
  <c r="K29" i="47"/>
  <c r="C29" i="47"/>
  <c r="C33" i="47"/>
  <c r="C34" i="47" s="1"/>
  <c r="C29" i="46" l="1"/>
  <c r="C33" i="46"/>
  <c r="C34" i="46" s="1"/>
  <c r="AK14" i="34"/>
  <c r="AK17" i="33"/>
  <c r="AL17" i="33" s="1"/>
  <c r="AM17" i="33" s="1"/>
  <c r="AN17" i="33" s="1"/>
  <c r="AO17" i="33" s="1"/>
  <c r="AP17" i="33" s="1"/>
  <c r="AQ17" i="33" s="1"/>
  <c r="AR17" i="33" s="1"/>
  <c r="AK15" i="34"/>
  <c r="AL15" i="34" s="1"/>
  <c r="AM15" i="34" s="1"/>
  <c r="AN15" i="34" s="1"/>
  <c r="AO15" i="34" s="1"/>
  <c r="AP15" i="34" s="1"/>
  <c r="AQ15" i="34" s="1"/>
  <c r="AR15" i="34" s="1"/>
  <c r="AS15" i="34" s="1"/>
  <c r="AT15" i="34" s="1"/>
  <c r="AU15" i="34" s="1"/>
  <c r="E87" i="24"/>
  <c r="E103" i="24" s="1"/>
  <c r="E106" i="24" s="1"/>
  <c r="E87" i="26"/>
  <c r="E103" i="26" s="1"/>
  <c r="E106" i="26" s="1"/>
  <c r="AL14" i="34"/>
  <c r="R9" i="20"/>
  <c r="R25" i="20" s="1"/>
  <c r="R28" i="20" s="1"/>
  <c r="AK18" i="33"/>
  <c r="AL18" i="33" s="1"/>
  <c r="AM18" i="33" s="1"/>
  <c r="AN18" i="33" s="1"/>
  <c r="AO18" i="33" s="1"/>
  <c r="AP18" i="33" s="1"/>
  <c r="AQ18" i="33" s="1"/>
  <c r="AR18" i="33" s="1"/>
  <c r="AS18" i="33" s="1"/>
  <c r="AT18" i="33" s="1"/>
  <c r="AU18" i="33" s="1"/>
  <c r="L30" i="24"/>
  <c r="L45" i="24" s="1"/>
  <c r="L47" i="24" s="1"/>
  <c r="L50" i="24" s="1"/>
  <c r="AK13" i="34"/>
  <c r="AL13" i="34" s="1"/>
  <c r="AM13" i="34" s="1"/>
  <c r="AN13" i="34" s="1"/>
  <c r="AO13" i="34" s="1"/>
  <c r="AP13" i="34" s="1"/>
  <c r="AQ13" i="34" s="1"/>
  <c r="AR13" i="34" s="1"/>
  <c r="AS13" i="34" s="1"/>
  <c r="AT13" i="34" s="1"/>
  <c r="AU13" i="34" s="1"/>
  <c r="AM14" i="34"/>
  <c r="AN14" i="34" s="1"/>
  <c r="AO14" i="34" s="1"/>
  <c r="AP14" i="34" s="1"/>
  <c r="AQ14" i="34" s="1"/>
  <c r="AR14" i="34" s="1"/>
  <c r="AS14" i="34" s="1"/>
  <c r="AT14" i="34" s="1"/>
  <c r="AU14" i="34" s="1"/>
  <c r="G37" i="54"/>
  <c r="R11" i="24"/>
  <c r="S5" i="24"/>
  <c r="G85" i="24"/>
  <c r="G85" i="26"/>
  <c r="N85" i="26" s="1"/>
  <c r="G85" i="51" s="1"/>
  <c r="N85" i="51" s="1"/>
  <c r="T8" i="19"/>
  <c r="T6" i="20" s="1"/>
  <c r="T9" i="20" s="1"/>
  <c r="T25" i="20" s="1"/>
  <c r="T28" i="20" s="1"/>
  <c r="AK16" i="34"/>
  <c r="AL16" i="34" s="1"/>
  <c r="AM16" i="34" s="1"/>
  <c r="AN16" i="34" s="1"/>
  <c r="AO16" i="34" s="1"/>
  <c r="AP16" i="34" s="1"/>
  <c r="AQ16" i="34" s="1"/>
  <c r="AR16" i="34" s="1"/>
  <c r="AS16" i="34" s="1"/>
  <c r="AT16" i="34" s="1"/>
  <c r="AU16" i="34" s="1"/>
  <c r="AK17" i="34"/>
  <c r="AL17" i="34" s="1"/>
  <c r="AM17" i="34" s="1"/>
  <c r="AN17" i="34" s="1"/>
  <c r="AO17" i="34" s="1"/>
  <c r="AP17" i="34" s="1"/>
  <c r="AQ17" i="34" s="1"/>
  <c r="AR17" i="34" s="1"/>
  <c r="AS17" i="34" s="1"/>
  <c r="AT17" i="34" s="1"/>
  <c r="AU17" i="34" s="1"/>
  <c r="U69" i="27"/>
  <c r="U73" i="27"/>
  <c r="U74" i="27" s="1"/>
  <c r="J21" i="49"/>
  <c r="J35" i="54"/>
  <c r="M17" i="43"/>
  <c r="M22" i="43"/>
  <c r="E28" i="43"/>
  <c r="E23" i="43"/>
  <c r="Q62" i="24"/>
  <c r="Q57" i="24"/>
  <c r="R19" i="24"/>
  <c r="S19" i="24" s="1"/>
  <c r="S17" i="24"/>
  <c r="J20" i="49"/>
  <c r="J34" i="54"/>
  <c r="T69" i="27"/>
  <c r="T73" i="27"/>
  <c r="T74" i="27" s="1"/>
  <c r="R36" i="24"/>
  <c r="S36" i="24" s="1"/>
  <c r="S32" i="24"/>
  <c r="K57" i="24"/>
  <c r="K62" i="24"/>
  <c r="G82" i="24"/>
  <c r="G9" i="20"/>
  <c r="G25" i="20" s="1"/>
  <c r="G28" i="20" s="1"/>
  <c r="G82" i="26"/>
  <c r="AK15" i="33"/>
  <c r="AL15" i="33" s="1"/>
  <c r="AM15" i="33" s="1"/>
  <c r="AN15" i="33" s="1"/>
  <c r="AO15" i="33" s="1"/>
  <c r="AP15" i="33" s="1"/>
  <c r="AQ15" i="33" s="1"/>
  <c r="AR15" i="33" s="1"/>
  <c r="AS15" i="33" s="1"/>
  <c r="AT15" i="33" s="1"/>
  <c r="AU15" i="33" s="1"/>
  <c r="R28" i="24"/>
  <c r="S28" i="24" s="1"/>
  <c r="S21" i="24"/>
  <c r="AK14" i="33"/>
  <c r="AL14" i="33" s="1"/>
  <c r="AM14" i="33" s="1"/>
  <c r="AN14" i="33" s="1"/>
  <c r="AO14" i="33" s="1"/>
  <c r="AP14" i="33" s="1"/>
  <c r="AQ14" i="33" s="1"/>
  <c r="AR14" i="33" s="1"/>
  <c r="AS14" i="33" s="1"/>
  <c r="AT14" i="33" s="1"/>
  <c r="AU14" i="33" s="1"/>
  <c r="BI57" i="27"/>
  <c r="BI62" i="27"/>
  <c r="R15" i="24"/>
  <c r="S15" i="24" s="1"/>
  <c r="S13" i="24"/>
  <c r="AS17" i="33"/>
  <c r="AT17" i="33" s="1"/>
  <c r="AU17" i="33" s="1"/>
  <c r="E74" i="51"/>
  <c r="E82" i="51"/>
  <c r="E87" i="51" s="1"/>
  <c r="E103" i="51" s="1"/>
  <c r="E106" i="51" s="1"/>
  <c r="H34" i="54"/>
  <c r="H37" i="54" s="1"/>
  <c r="H20" i="49"/>
  <c r="H23" i="49" s="1"/>
  <c r="G23" i="49"/>
  <c r="M17" i="46"/>
  <c r="M22" i="46"/>
  <c r="N73" i="51"/>
  <c r="N69" i="51"/>
  <c r="R43" i="24"/>
  <c r="S43" i="24" s="1"/>
  <c r="S38" i="24"/>
  <c r="AK16" i="33"/>
  <c r="AL16" i="33" s="1"/>
  <c r="AM16" i="33" s="1"/>
  <c r="AN16" i="33" s="1"/>
  <c r="AO16" i="33" s="1"/>
  <c r="AP16" i="33" s="1"/>
  <c r="AQ16" i="33" s="1"/>
  <c r="AR16" i="33" s="1"/>
  <c r="AS16" i="33" s="1"/>
  <c r="AT16" i="33" s="1"/>
  <c r="AU16" i="33" s="1"/>
  <c r="BH56" i="27"/>
  <c r="BH51" i="27"/>
  <c r="E23" i="46"/>
  <c r="E28" i="46"/>
  <c r="L82" i="51"/>
  <c r="L85" i="51" s="1"/>
  <c r="L87" i="51" s="1"/>
  <c r="L103" i="51" s="1"/>
  <c r="L106" i="51" s="1"/>
  <c r="L74" i="51"/>
  <c r="G82" i="51"/>
  <c r="G74" i="51"/>
  <c r="L87" i="26"/>
  <c r="L103" i="26" s="1"/>
  <c r="L106" i="26" s="1"/>
  <c r="S6" i="20"/>
  <c r="S9" i="20" s="1"/>
  <c r="S25" i="20" s="1"/>
  <c r="S28" i="20" s="1"/>
  <c r="AK19" i="33"/>
  <c r="AL19" i="33" s="1"/>
  <c r="AM19" i="33" s="1"/>
  <c r="AN19" i="33" s="1"/>
  <c r="AO19" i="33" s="1"/>
  <c r="AP19" i="33" s="1"/>
  <c r="AQ19" i="33" s="1"/>
  <c r="AR19" i="33" s="1"/>
  <c r="AS19" i="33" s="1"/>
  <c r="AT19" i="33" s="1"/>
  <c r="AU19" i="33" s="1"/>
  <c r="J30" i="54"/>
  <c r="D47" i="25"/>
  <c r="E45" i="25"/>
  <c r="H45" i="25"/>
  <c r="I45" i="25" s="1"/>
  <c r="I30" i="25"/>
  <c r="O30" i="26"/>
  <c r="K45" i="26"/>
  <c r="O5" i="51"/>
  <c r="K11" i="51"/>
  <c r="G47" i="16"/>
  <c r="C48" i="16"/>
  <c r="E47" i="16"/>
  <c r="D47" i="17"/>
  <c r="E45" i="17"/>
  <c r="H11" i="51"/>
  <c r="D30" i="51"/>
  <c r="I56" i="52"/>
  <c r="I63" i="52" s="1"/>
  <c r="H50" i="52"/>
  <c r="H56" i="52"/>
  <c r="H63" i="52" s="1"/>
  <c r="D47" i="23"/>
  <c r="E45" i="23"/>
  <c r="O45" i="24"/>
  <c r="D47" i="18"/>
  <c r="H47" i="18" s="1"/>
  <c r="H45" i="18"/>
  <c r="D47" i="24"/>
  <c r="H45" i="24"/>
  <c r="H45" i="26"/>
  <c r="D47" i="26"/>
  <c r="I28" i="23"/>
  <c r="K28" i="23" s="1"/>
  <c r="P73" i="27"/>
  <c r="P74" i="27" s="1"/>
  <c r="P69" i="27"/>
  <c r="I73" i="23"/>
  <c r="I69" i="23"/>
  <c r="G56" i="23"/>
  <c r="G51" i="23"/>
  <c r="J56" i="24"/>
  <c r="J51" i="24"/>
  <c r="P51" i="24"/>
  <c r="P56" i="24"/>
  <c r="N87" i="26" l="1"/>
  <c r="N103" i="26" s="1"/>
  <c r="N106" i="26" s="1"/>
  <c r="G87" i="24"/>
  <c r="G103" i="24" s="1"/>
  <c r="G106" i="24" s="1"/>
  <c r="J23" i="49"/>
  <c r="G87" i="26"/>
  <c r="G103" i="26" s="1"/>
  <c r="G106" i="26" s="1"/>
  <c r="J37" i="54"/>
  <c r="G87" i="51"/>
  <c r="G103" i="51" s="1"/>
  <c r="G106" i="51" s="1"/>
  <c r="L56" i="24"/>
  <c r="L51" i="24"/>
  <c r="BH62" i="27"/>
  <c r="BH57" i="27"/>
  <c r="Q68" i="24"/>
  <c r="Q63" i="24"/>
  <c r="M23" i="46"/>
  <c r="M28" i="46"/>
  <c r="N82" i="51"/>
  <c r="N87" i="51" s="1"/>
  <c r="N103" i="51" s="1"/>
  <c r="N106" i="51" s="1"/>
  <c r="N74" i="51"/>
  <c r="K63" i="24"/>
  <c r="K68" i="24"/>
  <c r="L34" i="54"/>
  <c r="E29" i="43"/>
  <c r="L20" i="49"/>
  <c r="E33" i="43"/>
  <c r="E34" i="43" s="1"/>
  <c r="M28" i="43"/>
  <c r="M23" i="43"/>
  <c r="U8" i="19"/>
  <c r="V6" i="20" s="1"/>
  <c r="V9" i="20" s="1"/>
  <c r="V25" i="20" s="1"/>
  <c r="V28" i="20" s="1"/>
  <c r="BI63" i="27"/>
  <c r="BI68" i="27"/>
  <c r="I30" i="23"/>
  <c r="E29" i="46"/>
  <c r="E33" i="46"/>
  <c r="E34" i="46" s="1"/>
  <c r="S11" i="24"/>
  <c r="R30" i="24"/>
  <c r="G48" i="16"/>
  <c r="D48" i="24"/>
  <c r="D48" i="23"/>
  <c r="D50" i="23" s="1"/>
  <c r="D48" i="17"/>
  <c r="D50" i="17" s="1"/>
  <c r="D48" i="18"/>
  <c r="E48" i="16"/>
  <c r="D45" i="51"/>
  <c r="H30" i="51"/>
  <c r="H47" i="25"/>
  <c r="E47" i="25"/>
  <c r="O45" i="26"/>
  <c r="K47" i="26"/>
  <c r="J47" i="23"/>
  <c r="K47" i="23" s="1"/>
  <c r="E47" i="23"/>
  <c r="K30" i="51"/>
  <c r="O11" i="51"/>
  <c r="O47" i="24"/>
  <c r="H47" i="26"/>
  <c r="E47" i="17"/>
  <c r="H47" i="24"/>
  <c r="D50" i="24"/>
  <c r="C50" i="16"/>
  <c r="P62" i="24"/>
  <c r="P57" i="24"/>
  <c r="G57" i="23"/>
  <c r="G62" i="23"/>
  <c r="I45" i="23"/>
  <c r="K45" i="23" s="1"/>
  <c r="K30" i="23"/>
  <c r="J62" i="24"/>
  <c r="J57" i="24"/>
  <c r="I74" i="23"/>
  <c r="U6" i="20" l="1"/>
  <c r="U9" i="20" s="1"/>
  <c r="U25" i="20" s="1"/>
  <c r="U28" i="20" s="1"/>
  <c r="M33" i="43"/>
  <c r="M34" i="43" s="1"/>
  <c r="M29" i="43"/>
  <c r="M33" i="46"/>
  <c r="M34" i="46" s="1"/>
  <c r="M29" i="46"/>
  <c r="N20" i="49"/>
  <c r="L23" i="49"/>
  <c r="K69" i="24"/>
  <c r="K73" i="24"/>
  <c r="K74" i="24" s="1"/>
  <c r="Q73" i="24"/>
  <c r="Q69" i="24"/>
  <c r="K21" i="49"/>
  <c r="K35" i="54"/>
  <c r="BI73" i="27"/>
  <c r="BI74" i="27" s="1"/>
  <c r="BI69" i="27"/>
  <c r="BH63" i="27"/>
  <c r="BH68" i="27"/>
  <c r="N34" i="54"/>
  <c r="L37" i="54"/>
  <c r="R45" i="24"/>
  <c r="S30" i="24"/>
  <c r="L57" i="24"/>
  <c r="L62" i="24"/>
  <c r="G50" i="16"/>
  <c r="C56" i="16"/>
  <c r="C51" i="16"/>
  <c r="E50" i="16"/>
  <c r="H50" i="24"/>
  <c r="D56" i="24"/>
  <c r="D51" i="24"/>
  <c r="I47" i="25"/>
  <c r="E50" i="17"/>
  <c r="D51" i="17"/>
  <c r="D56" i="17"/>
  <c r="H45" i="51"/>
  <c r="D47" i="51"/>
  <c r="J48" i="23"/>
  <c r="E48" i="23"/>
  <c r="D56" i="23"/>
  <c r="D51" i="23"/>
  <c r="E50" i="23"/>
  <c r="D50" i="18"/>
  <c r="D48" i="26"/>
  <c r="H48" i="18"/>
  <c r="H48" i="24"/>
  <c r="O48" i="24"/>
  <c r="S48" i="24" s="1"/>
  <c r="O30" i="51"/>
  <c r="K45" i="51"/>
  <c r="O47" i="26"/>
  <c r="D48" i="25"/>
  <c r="E48" i="17"/>
  <c r="O50" i="24"/>
  <c r="G68" i="23"/>
  <c r="G63" i="23"/>
  <c r="J68" i="24"/>
  <c r="J63" i="24"/>
  <c r="P68" i="24"/>
  <c r="P63" i="24"/>
  <c r="K20" i="49" l="1"/>
  <c r="K23" i="49" s="1"/>
  <c r="BH73" i="27"/>
  <c r="BH74" i="27" s="1"/>
  <c r="K34" i="54"/>
  <c r="K37" i="54" s="1"/>
  <c r="BH69" i="27"/>
  <c r="Q74" i="24"/>
  <c r="Q82" i="24"/>
  <c r="L68" i="24"/>
  <c r="L63" i="24"/>
  <c r="R47" i="24"/>
  <c r="S45" i="24"/>
  <c r="H47" i="51"/>
  <c r="E56" i="17"/>
  <c r="D57" i="17"/>
  <c r="D62" i="17"/>
  <c r="K47" i="51"/>
  <c r="O45" i="51"/>
  <c r="D62" i="24"/>
  <c r="D57" i="24"/>
  <c r="H56" i="24"/>
  <c r="J50" i="23"/>
  <c r="K48" i="23"/>
  <c r="O51" i="24"/>
  <c r="O56" i="24"/>
  <c r="C62" i="16"/>
  <c r="E56" i="16"/>
  <c r="C57" i="16"/>
  <c r="G56" i="16"/>
  <c r="H48" i="25"/>
  <c r="E48" i="25"/>
  <c r="D50" i="25"/>
  <c r="H48" i="26"/>
  <c r="K48" i="26"/>
  <c r="D50" i="26"/>
  <c r="D51" i="18"/>
  <c r="D56" i="18"/>
  <c r="H50" i="18"/>
  <c r="D57" i="23"/>
  <c r="D62" i="23"/>
  <c r="E56" i="23"/>
  <c r="P69" i="24"/>
  <c r="P73" i="24"/>
  <c r="J69" i="24"/>
  <c r="J73" i="24"/>
  <c r="J74" i="24" s="1"/>
  <c r="G73" i="23"/>
  <c r="G74" i="23" s="1"/>
  <c r="G69" i="23"/>
  <c r="R50" i="24" l="1"/>
  <c r="S47" i="24"/>
  <c r="L73" i="24"/>
  <c r="L74" i="24" s="1"/>
  <c r="L69" i="24"/>
  <c r="Q84" i="24"/>
  <c r="K84" i="24" s="1"/>
  <c r="K82" i="24"/>
  <c r="Q85" i="24"/>
  <c r="K85" i="24" s="1"/>
  <c r="G62" i="16"/>
  <c r="C68" i="16"/>
  <c r="C63" i="16"/>
  <c r="E62" i="16"/>
  <c r="D63" i="24"/>
  <c r="H62" i="24"/>
  <c r="D68" i="24"/>
  <c r="O62" i="24"/>
  <c r="O57" i="24"/>
  <c r="D63" i="23"/>
  <c r="D68" i="23"/>
  <c r="E62" i="23"/>
  <c r="O47" i="51"/>
  <c r="D51" i="25"/>
  <c r="D56" i="25"/>
  <c r="E50" i="25"/>
  <c r="J56" i="23"/>
  <c r="J51" i="23"/>
  <c r="K50" i="23"/>
  <c r="D62" i="18"/>
  <c r="H56" i="18"/>
  <c r="D57" i="18"/>
  <c r="D56" i="26"/>
  <c r="H50" i="26"/>
  <c r="D51" i="26"/>
  <c r="D48" i="51"/>
  <c r="O48" i="26"/>
  <c r="K50" i="26"/>
  <c r="E62" i="17"/>
  <c r="D68" i="17"/>
  <c r="D63" i="17"/>
  <c r="I48" i="25"/>
  <c r="H50" i="25"/>
  <c r="P74" i="24"/>
  <c r="P82" i="24"/>
  <c r="Q87" i="24" l="1"/>
  <c r="Q103" i="24" s="1"/>
  <c r="Q106" i="24" s="1"/>
  <c r="K87" i="24"/>
  <c r="K103" i="24" s="1"/>
  <c r="K106" i="24" s="1"/>
  <c r="R56" i="24"/>
  <c r="R51" i="24"/>
  <c r="S50" i="24"/>
  <c r="H51" i="25"/>
  <c r="H56" i="25"/>
  <c r="I50" i="25"/>
  <c r="E68" i="17"/>
  <c r="D69" i="17"/>
  <c r="D73" i="17"/>
  <c r="D62" i="25"/>
  <c r="D57" i="25"/>
  <c r="E56" i="25"/>
  <c r="D69" i="23"/>
  <c r="D73" i="23"/>
  <c r="E68" i="23"/>
  <c r="O50" i="26"/>
  <c r="K56" i="26"/>
  <c r="K51" i="26"/>
  <c r="O68" i="24"/>
  <c r="O63" i="24"/>
  <c r="C69" i="16"/>
  <c r="E68" i="16"/>
  <c r="C73" i="16"/>
  <c r="G68" i="16"/>
  <c r="K48" i="51"/>
  <c r="H48" i="51"/>
  <c r="D50" i="51"/>
  <c r="H68" i="24"/>
  <c r="D69" i="24"/>
  <c r="D73" i="24"/>
  <c r="D57" i="26"/>
  <c r="D62" i="26"/>
  <c r="H56" i="26"/>
  <c r="H62" i="18"/>
  <c r="D63" i="18"/>
  <c r="D68" i="18"/>
  <c r="J57" i="23"/>
  <c r="J62" i="23"/>
  <c r="K56" i="23"/>
  <c r="J82" i="24"/>
  <c r="P85" i="24"/>
  <c r="J85" i="24" s="1"/>
  <c r="R57" i="24" l="1"/>
  <c r="R62" i="24"/>
  <c r="S56" i="24"/>
  <c r="J87" i="24"/>
  <c r="J103" i="24" s="1"/>
  <c r="J106" i="24" s="1"/>
  <c r="J107" i="24" s="1"/>
  <c r="K105" i="24" s="1"/>
  <c r="K107" i="24" s="1"/>
  <c r="L105" i="24" s="1"/>
  <c r="J68" i="23"/>
  <c r="J63" i="23"/>
  <c r="K62" i="23"/>
  <c r="H62" i="26"/>
  <c r="D68" i="26"/>
  <c r="D63" i="26"/>
  <c r="H50" i="51"/>
  <c r="D51" i="51"/>
  <c r="D56" i="51"/>
  <c r="H68" i="18"/>
  <c r="D73" i="18"/>
  <c r="D69" i="18"/>
  <c r="H73" i="24"/>
  <c r="D74" i="24"/>
  <c r="O48" i="51"/>
  <c r="K50" i="51"/>
  <c r="O73" i="24"/>
  <c r="O69" i="24"/>
  <c r="O56" i="26"/>
  <c r="K62" i="26"/>
  <c r="K57" i="26"/>
  <c r="D74" i="23"/>
  <c r="E73" i="23"/>
  <c r="D68" i="25"/>
  <c r="D63" i="25"/>
  <c r="E62" i="25"/>
  <c r="H62" i="25"/>
  <c r="H57" i="25"/>
  <c r="I56" i="25"/>
  <c r="D74" i="17"/>
  <c r="E73" i="17"/>
  <c r="E73" i="16"/>
  <c r="C74" i="16"/>
  <c r="G73" i="16"/>
  <c r="P87" i="24"/>
  <c r="P103" i="24" s="1"/>
  <c r="P106" i="24" s="1"/>
  <c r="R68" i="24" l="1"/>
  <c r="R63" i="24"/>
  <c r="S62" i="24"/>
  <c r="O50" i="51"/>
  <c r="K51" i="51"/>
  <c r="K56" i="51"/>
  <c r="H56" i="51"/>
  <c r="D57" i="51"/>
  <c r="D62" i="51"/>
  <c r="H63" i="25"/>
  <c r="H68" i="25"/>
  <c r="I62" i="25"/>
  <c r="D73" i="26"/>
  <c r="H68" i="26"/>
  <c r="D69" i="26"/>
  <c r="O74" i="24"/>
  <c r="D4" i="20"/>
  <c r="H73" i="18"/>
  <c r="D74" i="18"/>
  <c r="D69" i="25"/>
  <c r="D73" i="25"/>
  <c r="E68" i="25"/>
  <c r="O62" i="26"/>
  <c r="K68" i="26"/>
  <c r="K63" i="26"/>
  <c r="J69" i="23"/>
  <c r="J73" i="23"/>
  <c r="K68" i="23"/>
  <c r="R73" i="24" l="1"/>
  <c r="R69" i="24"/>
  <c r="S68" i="24"/>
  <c r="D74" i="25"/>
  <c r="E73" i="25"/>
  <c r="D82" i="26"/>
  <c r="D9" i="20"/>
  <c r="D25" i="20" s="1"/>
  <c r="D28" i="20" s="1"/>
  <c r="D29" i="20" s="1"/>
  <c r="K27" i="20" s="1"/>
  <c r="K29" i="20" s="1"/>
  <c r="D82" i="24"/>
  <c r="H73" i="25"/>
  <c r="H69" i="25"/>
  <c r="I68" i="25"/>
  <c r="H73" i="26"/>
  <c r="D74" i="26"/>
  <c r="J74" i="23"/>
  <c r="K73" i="23"/>
  <c r="D63" i="51"/>
  <c r="D68" i="51"/>
  <c r="H62" i="51"/>
  <c r="O56" i="51"/>
  <c r="K62" i="51"/>
  <c r="K57" i="51"/>
  <c r="K73" i="26"/>
  <c r="O68" i="26"/>
  <c r="K69" i="26"/>
  <c r="K11" i="19" l="1"/>
  <c r="K12" i="19" s="1"/>
  <c r="L27" i="20"/>
  <c r="L29" i="20" s="1"/>
  <c r="R74" i="24"/>
  <c r="R82" i="24"/>
  <c r="S73" i="24"/>
  <c r="D11" i="19"/>
  <c r="E27" i="20"/>
  <c r="E29" i="20" s="1"/>
  <c r="K74" i="26"/>
  <c r="O73" i="26"/>
  <c r="O62" i="51"/>
  <c r="K63" i="51"/>
  <c r="K68" i="51"/>
  <c r="D69" i="51"/>
  <c r="H68" i="51"/>
  <c r="D73" i="51"/>
  <c r="H74" i="25"/>
  <c r="I73" i="25"/>
  <c r="O82" i="24"/>
  <c r="O87" i="24" s="1"/>
  <c r="O103" i="24" s="1"/>
  <c r="O106" i="24" s="1"/>
  <c r="O107" i="24" s="1"/>
  <c r="P105" i="24" s="1"/>
  <c r="P107" i="24" s="1"/>
  <c r="Q105" i="24" s="1"/>
  <c r="Q107" i="24" s="1"/>
  <c r="R105" i="24" s="1"/>
  <c r="D87" i="24"/>
  <c r="D103" i="24" s="1"/>
  <c r="D106" i="24" s="1"/>
  <c r="D107" i="24" s="1"/>
  <c r="E105" i="24" s="1"/>
  <c r="E107" i="24" s="1"/>
  <c r="F105" i="24" s="1"/>
  <c r="F107" i="24" s="1"/>
  <c r="G105" i="24" s="1"/>
  <c r="G107" i="24" s="1"/>
  <c r="K82" i="26"/>
  <c r="K87" i="26" s="1"/>
  <c r="K103" i="26" s="1"/>
  <c r="K106" i="26" s="1"/>
  <c r="K107" i="26" s="1"/>
  <c r="L105" i="26" s="1"/>
  <c r="L107" i="26" s="1"/>
  <c r="M105" i="26" s="1"/>
  <c r="M107" i="26" s="1"/>
  <c r="N105" i="26" s="1"/>
  <c r="N107" i="26" s="1"/>
  <c r="D87" i="26"/>
  <c r="D103" i="26" s="1"/>
  <c r="D106" i="26" s="1"/>
  <c r="D107" i="26" s="1"/>
  <c r="E105" i="26" s="1"/>
  <c r="E107" i="26" s="1"/>
  <c r="F105" i="26" s="1"/>
  <c r="F107" i="26" s="1"/>
  <c r="G105" i="26" s="1"/>
  <c r="G107" i="26" s="1"/>
  <c r="L11" i="19" l="1"/>
  <c r="L12" i="19" s="1"/>
  <c r="M27" i="20"/>
  <c r="M29" i="20" s="1"/>
  <c r="K19" i="19"/>
  <c r="K24" i="19"/>
  <c r="R85" i="24"/>
  <c r="L85" i="24" s="1"/>
  <c r="R84" i="24"/>
  <c r="L84" i="24" s="1"/>
  <c r="L82" i="24"/>
  <c r="K69" i="51"/>
  <c r="K73" i="51"/>
  <c r="O68" i="51"/>
  <c r="D82" i="51"/>
  <c r="D74" i="51"/>
  <c r="H73" i="51"/>
  <c r="F27" i="20"/>
  <c r="F29" i="20" s="1"/>
  <c r="E11" i="19"/>
  <c r="D12" i="19"/>
  <c r="D28" i="19"/>
  <c r="N27" i="20" l="1"/>
  <c r="N29" i="20" s="1"/>
  <c r="M11" i="19"/>
  <c r="M12" i="19" s="1"/>
  <c r="L19" i="19"/>
  <c r="L24" i="19"/>
  <c r="R87" i="24"/>
  <c r="R103" i="24" s="1"/>
  <c r="R106" i="24" s="1"/>
  <c r="R107" i="24" s="1"/>
  <c r="L87" i="24"/>
  <c r="L103" i="24" s="1"/>
  <c r="L106" i="24" s="1"/>
  <c r="L107" i="24" s="1"/>
  <c r="E28" i="19"/>
  <c r="E12" i="19"/>
  <c r="D24" i="19"/>
  <c r="D19" i="19"/>
  <c r="K74" i="51"/>
  <c r="O73" i="51"/>
  <c r="F11" i="19"/>
  <c r="G27" i="20"/>
  <c r="G29" i="20" s="1"/>
  <c r="G11" i="19" s="1"/>
  <c r="K82" i="51"/>
  <c r="K87" i="51" s="1"/>
  <c r="K103" i="51" s="1"/>
  <c r="K106" i="51" s="1"/>
  <c r="K107" i="51" s="1"/>
  <c r="L105" i="51" s="1"/>
  <c r="L107" i="51" s="1"/>
  <c r="M105" i="51" s="1"/>
  <c r="M107" i="51" s="1"/>
  <c r="N105" i="51" s="1"/>
  <c r="N107" i="51" s="1"/>
  <c r="D87" i="51"/>
  <c r="D103" i="51" s="1"/>
  <c r="D106" i="51" s="1"/>
  <c r="D107" i="51" s="1"/>
  <c r="E105" i="51" s="1"/>
  <c r="E107" i="51" s="1"/>
  <c r="F105" i="51" s="1"/>
  <c r="F107" i="51" s="1"/>
  <c r="G105" i="51" s="1"/>
  <c r="G107" i="51" s="1"/>
  <c r="M19" i="19" l="1"/>
  <c r="M24" i="19"/>
  <c r="N11" i="19"/>
  <c r="N12" i="19" s="1"/>
  <c r="O27" i="20"/>
  <c r="O29" i="20" s="1"/>
  <c r="F28" i="19"/>
  <c r="F12" i="19"/>
  <c r="G28" i="19"/>
  <c r="G12" i="19"/>
  <c r="D26" i="19"/>
  <c r="E19" i="19"/>
  <c r="E24" i="19"/>
  <c r="P27" i="20" l="1"/>
  <c r="P29" i="20" s="1"/>
  <c r="O11" i="19"/>
  <c r="O12" i="19" s="1"/>
  <c r="N19" i="19"/>
  <c r="N24" i="19"/>
  <c r="E26" i="19"/>
  <c r="G24" i="19"/>
  <c r="G19" i="19"/>
  <c r="F24" i="19"/>
  <c r="F19" i="19"/>
  <c r="O19" i="19" l="1"/>
  <c r="O24" i="19"/>
  <c r="P11" i="19"/>
  <c r="P12" i="19" s="1"/>
  <c r="Q27" i="20"/>
  <c r="Q29" i="20" s="1"/>
  <c r="F26" i="19"/>
  <c r="G26" i="19"/>
  <c r="Q11" i="19" l="1"/>
  <c r="Q12" i="19" s="1"/>
  <c r="R27" i="20"/>
  <c r="R29" i="20" s="1"/>
  <c r="P24" i="19"/>
  <c r="P19" i="19"/>
  <c r="R11" i="19" l="1"/>
  <c r="R12" i="19" s="1"/>
  <c r="S27" i="20"/>
  <c r="S29" i="20" s="1"/>
  <c r="Q19" i="19"/>
  <c r="Q24" i="19"/>
  <c r="S11" i="19" l="1"/>
  <c r="S12" i="19" s="1"/>
  <c r="T27" i="20"/>
  <c r="T29" i="20" s="1"/>
  <c r="R24" i="19"/>
  <c r="R19" i="19"/>
  <c r="T11" i="19" l="1"/>
  <c r="T12" i="19" s="1"/>
  <c r="U27" i="20"/>
  <c r="U29" i="20" s="1"/>
  <c r="S19" i="19"/>
  <c r="S24" i="19"/>
  <c r="U11" i="19" l="1"/>
  <c r="U12" i="19" s="1"/>
  <c r="V27" i="20"/>
  <c r="V29" i="20" s="1"/>
  <c r="V11" i="19" s="1"/>
  <c r="V12" i="19" s="1"/>
  <c r="T19" i="19"/>
  <c r="T24" i="19"/>
  <c r="V19" i="19" l="1"/>
  <c r="V24" i="19"/>
  <c r="U19" i="19"/>
  <c r="U24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<sst xmlns="http://schemas.openxmlformats.org/spreadsheetml/2006/main" count="4008" uniqueCount="551">
  <si>
    <t>Date:</t>
  </si>
  <si>
    <t>Initiative</t>
  </si>
  <si>
    <t>Description</t>
  </si>
  <si>
    <t>Segment</t>
  </si>
  <si>
    <t>Responsible Director</t>
  </si>
  <si>
    <t>Responsible Consultant</t>
  </si>
  <si>
    <t>2026B Sales Incremental (kEUR)</t>
  </si>
  <si>
    <t>2028B Sales Incremental (kEUR)</t>
  </si>
  <si>
    <t>2028 Potential Sales (kEUR)</t>
  </si>
  <si>
    <t>2026B EBITDA (kEUR)</t>
  </si>
  <si>
    <t>2028B EBITDA (kEUR)</t>
  </si>
  <si>
    <t>2028 Potential EBITDA (kEUR)</t>
  </si>
  <si>
    <t>Upfront Cost (Cost prior to revenue)</t>
  </si>
  <si>
    <t>Size of the prize</t>
  </si>
  <si>
    <t>Impact on Business Valuation</t>
  </si>
  <si>
    <t>Level of QMS Control / Influence</t>
  </si>
  <si>
    <t>Mgmt Action</t>
  </si>
  <si>
    <t>Start Date</t>
  </si>
  <si>
    <t>Review Date</t>
  </si>
  <si>
    <t>Current status</t>
  </si>
  <si>
    <t>Updates since last reporting</t>
  </si>
  <si>
    <t>Key activities until next reporting</t>
  </si>
  <si>
    <t>Expected long-term developments</t>
  </si>
  <si>
    <t>Notes</t>
  </si>
  <si>
    <t>Sales Planned to date (kEUR)</t>
  </si>
  <si>
    <t>Sales achieved to date (kEUR)</t>
  </si>
  <si>
    <t>Costs planned to date (kEUR)</t>
  </si>
  <si>
    <t>Costs incurred to date (kEUR)</t>
  </si>
  <si>
    <t>Costs committed to date (kEUR)</t>
  </si>
  <si>
    <t>1.1 Core Market Visibility</t>
  </si>
  <si>
    <t>Attend more Trade Shows</t>
  </si>
  <si>
    <t>Core Markets</t>
  </si>
  <si>
    <t>Giovanni Russo</t>
  </si>
  <si>
    <t>N/A</t>
  </si>
  <si>
    <t>Low</t>
  </si>
  <si>
    <t>High</t>
  </si>
  <si>
    <t>Proceed</t>
  </si>
  <si>
    <t>Not yet started</t>
  </si>
  <si>
    <t>Specific PR and Merchandising Support</t>
  </si>
  <si>
    <t>Medium</t>
  </si>
  <si>
    <t>Committed to Platinum Sponsorship at SpaInside (€6k)</t>
  </si>
  <si>
    <t>SpaInside event planned for Jun-26</t>
  </si>
  <si>
    <t>1.2 Core Markets Team</t>
  </si>
  <si>
    <t>Additional Team Members (+2 FTE)</t>
  </si>
  <si>
    <t>2.1 Mark Wuttke</t>
  </si>
  <si>
    <t>Spa Chains - Tosca</t>
  </si>
  <si>
    <t>USA B2B</t>
  </si>
  <si>
    <t>Melissa Blamey</t>
  </si>
  <si>
    <t>Mark Wuttke</t>
  </si>
  <si>
    <t>Performance Review</t>
  </si>
  <si>
    <t>Under Review</t>
  </si>
  <si>
    <t>Spa Chains - Woodhouse</t>
  </si>
  <si>
    <t>Monitor</t>
  </si>
  <si>
    <t>Ongoing</t>
  </si>
  <si>
    <t>Spa Chains - Trilogy</t>
  </si>
  <si>
    <t>Spa Chains - Other</t>
  </si>
  <si>
    <t>Initiated</t>
  </si>
  <si>
    <t>Key Account Openings</t>
  </si>
  <si>
    <t>Team Improvements / Coaching</t>
  </si>
  <si>
    <t>2.2 Jaime Castle</t>
  </si>
  <si>
    <t>Med Spas</t>
  </si>
  <si>
    <t>Jaime Castle</t>
  </si>
  <si>
    <t>Extended Salesforce (1099er / MeyerSpa)</t>
  </si>
  <si>
    <t>Cruise Ships</t>
  </si>
  <si>
    <t>Retail</t>
  </si>
  <si>
    <t>Medical Claims / Storytelling</t>
  </si>
  <si>
    <t>2.3 US visibility</t>
  </si>
  <si>
    <t>Trade Show Sponsorship</t>
  </si>
  <si>
    <t>2.4 US Team</t>
  </si>
  <si>
    <t>3.1 China</t>
  </si>
  <si>
    <t>Investment opportunity e.g. KOL EU event</t>
  </si>
  <si>
    <t>China</t>
  </si>
  <si>
    <t>Suzanna Uden</t>
  </si>
  <si>
    <t>TBC</t>
  </si>
  <si>
    <t>3.2 Lane Crawford</t>
  </si>
  <si>
    <t>Lane Crawford dept store HK opening</t>
  </si>
  <si>
    <t>Clare Morgan</t>
  </si>
  <si>
    <t>4.1 Nadim Hammoud</t>
  </si>
  <si>
    <t>Middle East MedSpa / Clinic support</t>
  </si>
  <si>
    <t>Middle East</t>
  </si>
  <si>
    <t>Rainer Anskinewitsch</t>
  </si>
  <si>
    <t>Nadim Hammoud</t>
  </si>
  <si>
    <t>Cancelled</t>
  </si>
  <si>
    <t>4.2 ME Retail</t>
  </si>
  <si>
    <t>Investment opportunity e.g. Retail Lounge budget</t>
  </si>
  <si>
    <t>5.1 Mingo Ku</t>
  </si>
  <si>
    <t>New APAC distributors</t>
  </si>
  <si>
    <t>APAC</t>
  </si>
  <si>
    <t>Mingo Ku</t>
  </si>
  <si>
    <t>5.2 Juan Albanell</t>
  </si>
  <si>
    <t>New APAC distributors (Malaysia, Singapore, Taiwan)</t>
  </si>
  <si>
    <t>Juan Albanell</t>
  </si>
  <si>
    <t>Complete</t>
  </si>
  <si>
    <t>China sub-distributor support</t>
  </si>
  <si>
    <t>Middle East sub-distributor support</t>
  </si>
  <si>
    <t>5.3 Vishal Mishra</t>
  </si>
  <si>
    <t>Support opening of India</t>
  </si>
  <si>
    <t>Vishal Mishra</t>
  </si>
  <si>
    <t>5.4 International Event</t>
  </si>
  <si>
    <t>International and US event (biannual)</t>
  </si>
  <si>
    <t>Export</t>
  </si>
  <si>
    <t>Viola Kleist</t>
  </si>
  <si>
    <t>5.5 ABC Brokers</t>
  </si>
  <si>
    <t>New global distributors from network of Eduardo Emilio</t>
  </si>
  <si>
    <t>Eduardo Emilio</t>
  </si>
  <si>
    <t>6.1 eComm EU</t>
  </si>
  <si>
    <t>Additional EU eComm paid media</t>
  </si>
  <si>
    <t>eCommerce</t>
  </si>
  <si>
    <t>6.2 eComm US</t>
  </si>
  <si>
    <t>Additional US eComm paid media</t>
  </si>
  <si>
    <t>7.1 NPD</t>
  </si>
  <si>
    <t>Cambrium Longevity and 4th Gen Collagen projects</t>
  </si>
  <si>
    <t>All</t>
  </si>
  <si>
    <t>Stefanie Wriedt</t>
  </si>
  <si>
    <t>Cambrium</t>
  </si>
  <si>
    <t>7.2 Social Media</t>
  </si>
  <si>
    <t>Social Media and Awareness Campaign</t>
  </si>
  <si>
    <t>Total</t>
  </si>
  <si>
    <t>Update</t>
  </si>
  <si>
    <t>2026B Sales (kEUR)</t>
  </si>
  <si>
    <t>2028B Sales (kEUR)</t>
  </si>
  <si>
    <t>Roadblocks</t>
  </si>
  <si>
    <t>Enablers</t>
  </si>
  <si>
    <t>Accelerators</t>
  </si>
  <si>
    <t>On Track</t>
  </si>
  <si>
    <t>1. Lack of visibility / brand awareness
2. Team capability / flexibility
3. Saturated marketplace</t>
  </si>
  <si>
    <t>Initiatives 1.1 and 1.2</t>
  </si>
  <si>
    <t>UK B2B</t>
  </si>
  <si>
    <t>1. Lack of visibility / brand awareness
2. Use of consultants to minimise team spend
3. Saturated marketplace</t>
  </si>
  <si>
    <t>Behind</t>
  </si>
  <si>
    <t>1. Lack of visibility / brand awareness
2. Team rotation / capability
3. Saturated marketplace</t>
  </si>
  <si>
    <t>1. Lack of visibility / brand awareness
2. No dedicated team for growth
3. Complicated regulatory environments
4. Limited high value markets left untouched</t>
  </si>
  <si>
    <t>Company 1</t>
  </si>
  <si>
    <t>Company 2</t>
  </si>
  <si>
    <t>eCommerce EU</t>
  </si>
  <si>
    <t>eCommerce US</t>
  </si>
  <si>
    <t>Ahead</t>
  </si>
  <si>
    <t>Amazon</t>
  </si>
  <si>
    <t>Other Online</t>
  </si>
  <si>
    <t>Company 3</t>
  </si>
  <si>
    <t>Total QMS</t>
  </si>
  <si>
    <t>Definition</t>
  </si>
  <si>
    <t>Examples</t>
  </si>
  <si>
    <t xml:space="preserve">Factual issues that are both controllable and uncontrollable, that negatively impact our plans for success. </t>
  </si>
  <si>
    <t>1. Lack of Brand Awareness
2. Internal Capabilities / existing team performance
3. Economic sanctions or macro-economic factors</t>
  </si>
  <si>
    <r>
      <t xml:space="preserve">Controllable actions or factors that can be taken </t>
    </r>
    <r>
      <rPr>
        <b/>
        <sz val="11"/>
        <color theme="1"/>
        <rFont val="Aptos Narrow"/>
        <family val="2"/>
        <scheme val="minor"/>
      </rPr>
      <t xml:space="preserve">within </t>
    </r>
    <r>
      <rPr>
        <sz val="11"/>
        <color theme="1"/>
        <rFont val="Aptos Narrow"/>
        <family val="2"/>
        <scheme val="minor"/>
      </rPr>
      <t>our Base budget</t>
    </r>
  </si>
  <si>
    <t>Actions:
1. Refocus PR / Marketing budget
2. Attendance of trade shows
3. Team changes - replace A with B (within budget)
Factors:
1. Clear professional strategy
2. Capable, motivated, knowledgable team
3. Strong back-office to deliver excellent customer experience</t>
  </si>
  <si>
    <r>
      <t xml:space="preserve">Further controllable actions that could be taken with spend or actions </t>
    </r>
    <r>
      <rPr>
        <b/>
        <sz val="11"/>
        <color theme="1"/>
        <rFont val="Aptos Narrow"/>
        <family val="2"/>
        <scheme val="minor"/>
      </rPr>
      <t>outside</t>
    </r>
    <r>
      <rPr>
        <sz val="11"/>
        <color theme="1"/>
        <rFont val="Aptos Narrow"/>
        <family val="2"/>
        <scheme val="minor"/>
      </rPr>
      <t xml:space="preserve"> of our Base Budget. These would be </t>
    </r>
    <r>
      <rPr>
        <b/>
        <sz val="11"/>
        <color theme="1"/>
        <rFont val="Aptos Narrow"/>
        <family val="2"/>
        <scheme val="minor"/>
      </rPr>
      <t>above and beyond</t>
    </r>
    <r>
      <rPr>
        <sz val="11"/>
        <color theme="1"/>
        <rFont val="Aptos Narrow"/>
        <family val="2"/>
        <scheme val="minor"/>
      </rPr>
      <t xml:space="preserve"> the normal</t>
    </r>
  </si>
  <si>
    <t>1. Significant PR / Awareness campaigns
2. Attendance of 10+ trade shows
3. Additional Team members
4. Team restructuring</t>
  </si>
  <si>
    <t>More Trade Shows</t>
  </si>
  <si>
    <t>Significant PR and Media spend</t>
  </si>
  <si>
    <t>Monthly</t>
  </si>
  <si>
    <t>To date</t>
  </si>
  <si>
    <t>Risk Factor</t>
  </si>
  <si>
    <t>Trade show - Sales</t>
  </si>
  <si>
    <t>Revenue</t>
  </si>
  <si>
    <t>PR &amp; Media - Sales</t>
  </si>
  <si>
    <t>Cost of Sales</t>
  </si>
  <si>
    <t>Gross Profit I</t>
  </si>
  <si>
    <t>Trade show - adj. EBITDA</t>
  </si>
  <si>
    <t>GP I %</t>
  </si>
  <si>
    <t>PR &amp; Media - adj. EBITDA</t>
  </si>
  <si>
    <t>Shipping and distribution costs</t>
  </si>
  <si>
    <t>Rebates</t>
  </si>
  <si>
    <t>Trade show - Spend</t>
  </si>
  <si>
    <t>PR &amp; Media - Spend</t>
  </si>
  <si>
    <t>Gross profit II</t>
  </si>
  <si>
    <t>GP II %</t>
  </si>
  <si>
    <t>Advertising and Marketing</t>
  </si>
  <si>
    <t>Sales and Training Expenses</t>
  </si>
  <si>
    <t>Gross profit III</t>
  </si>
  <si>
    <t>GP III %</t>
  </si>
  <si>
    <t>Personnel Expenses</t>
  </si>
  <si>
    <t>Other Admin Expenses</t>
  </si>
  <si>
    <t>Adjusted EBITDA</t>
  </si>
  <si>
    <t>Adj EBITDA %</t>
  </si>
  <si>
    <t>Exceptionals</t>
  </si>
  <si>
    <t>EBITDA</t>
  </si>
  <si>
    <t>EBITDA %</t>
  </si>
  <si>
    <t>Risk Amount</t>
  </si>
  <si>
    <t>60% marketing spend plus full trade show budget</t>
  </si>
  <si>
    <t>Workings</t>
  </si>
  <si>
    <t>New doors</t>
  </si>
  <si>
    <t>Existing growth</t>
  </si>
  <si>
    <t>+1 FTE CH</t>
  </si>
  <si>
    <t>+1 FTE DE</t>
  </si>
  <si>
    <t>Sales</t>
  </si>
  <si>
    <t>Cost</t>
  </si>
  <si>
    <t>6 months of employee costs</t>
  </si>
  <si>
    <t>Day Spas</t>
  </si>
  <si>
    <t>Coaching</t>
  </si>
  <si>
    <t>Costs</t>
  </si>
  <si>
    <t>% phasing</t>
  </si>
  <si>
    <t>6 months of MW time, plus travel plus demos</t>
  </si>
  <si>
    <t>Toska</t>
  </si>
  <si>
    <t>Woodhouse</t>
  </si>
  <si>
    <t>Trilogy</t>
  </si>
  <si>
    <t>Other</t>
  </si>
  <si>
    <t>Key Accounts</t>
  </si>
  <si>
    <t>Laurence Influencers / Speaches</t>
  </si>
  <si>
    <t>1099er</t>
  </si>
  <si>
    <t>Rescue Spa / Cosbar</t>
  </si>
  <si>
    <t>6 months of Jaime time, plus travel plus demos</t>
  </si>
  <si>
    <t>Additional PR and Media spend</t>
  </si>
  <si>
    <t>+1 FTE NE</t>
  </si>
  <si>
    <t>+1 FTE Central</t>
  </si>
  <si>
    <t>Growth Sales</t>
  </si>
  <si>
    <t>Existing growth %</t>
  </si>
  <si>
    <t>3 months Nadim</t>
  </si>
  <si>
    <t>Open new markets</t>
  </si>
  <si>
    <t>0 risk, commission only</t>
  </si>
  <si>
    <t>3 months Juan</t>
  </si>
  <si>
    <t>CN and ME</t>
  </si>
  <si>
    <t>Develop India</t>
  </si>
  <si>
    <t>6 months Vishal</t>
  </si>
  <si>
    <t>Int'l event</t>
  </si>
  <si>
    <t>Full event cost</t>
  </si>
  <si>
    <t>Initial Cost</t>
  </si>
  <si>
    <t>1 month spend</t>
  </si>
  <si>
    <t>Full Cambrium cost</t>
  </si>
  <si>
    <t>Full Marketing Cost</t>
  </si>
  <si>
    <t>kEUR</t>
  </si>
  <si>
    <t>2.2 Jaime</t>
  </si>
  <si>
    <t>4.1 Nadim</t>
  </si>
  <si>
    <t>5.1 Mingo</t>
  </si>
  <si>
    <t>5.2 Juan</t>
  </si>
  <si>
    <t>5.3 Vishal</t>
  </si>
  <si>
    <t>5.4 Export Event</t>
  </si>
  <si>
    <t>Germany</t>
  </si>
  <si>
    <t>Benelux</t>
  </si>
  <si>
    <t>Switzerland</t>
  </si>
  <si>
    <t>Spain</t>
  </si>
  <si>
    <t>France</t>
  </si>
  <si>
    <t>Italy</t>
  </si>
  <si>
    <t xml:space="preserve">Spa </t>
  </si>
  <si>
    <t xml:space="preserve">Retail </t>
  </si>
  <si>
    <t>UK</t>
  </si>
  <si>
    <t>Spa</t>
  </si>
  <si>
    <t>USA</t>
  </si>
  <si>
    <t>Distributor - Austria</t>
  </si>
  <si>
    <t>Distributor - South Africa</t>
  </si>
  <si>
    <t>Distributor - Russia</t>
  </si>
  <si>
    <t>Distributor - Other EU</t>
  </si>
  <si>
    <t>Distributor - Other ROW</t>
  </si>
  <si>
    <t>Distributor - New</t>
  </si>
  <si>
    <t>Export - Direct business</t>
  </si>
  <si>
    <t>Company 1 Sales</t>
  </si>
  <si>
    <t>Distributor - China</t>
  </si>
  <si>
    <t>Distributor - Middle East</t>
  </si>
  <si>
    <t>Distributor - APAC</t>
  </si>
  <si>
    <t>Company 2 Sales</t>
  </si>
  <si>
    <t>eCommerce EU (incl. UK)</t>
  </si>
  <si>
    <t>eCommerce USA</t>
  </si>
  <si>
    <t>Global etailers</t>
  </si>
  <si>
    <t>Company 3 Sales</t>
  </si>
  <si>
    <t>Total Sales</t>
  </si>
  <si>
    <t>Risk (Cash)</t>
  </si>
  <si>
    <t>2025F</t>
  </si>
  <si>
    <t>2028 Base</t>
  </si>
  <si>
    <t>2028 Initiatives (risked)</t>
  </si>
  <si>
    <t>2028 full potential</t>
  </si>
  <si>
    <t>Market Potential</t>
  </si>
  <si>
    <t>NPD / Social Media</t>
  </si>
  <si>
    <t>2028 initiatives full potential</t>
  </si>
  <si>
    <t>Core Markets + UK &amp; Export</t>
  </si>
  <si>
    <t>eComm</t>
  </si>
  <si>
    <t>NPD / Social</t>
  </si>
  <si>
    <t>Incremental</t>
  </si>
  <si>
    <t>Total Market Potential</t>
  </si>
  <si>
    <t>Include 1 slide sales, 1 slide P&amp;L</t>
  </si>
  <si>
    <t>Full Year</t>
  </si>
  <si>
    <t>2025B</t>
  </si>
  <si>
    <t>25F vs 25B</t>
  </si>
  <si>
    <t>2024A</t>
  </si>
  <si>
    <t>25F vs 24A</t>
  </si>
  <si>
    <t>2026B</t>
  </si>
  <si>
    <t>2025A</t>
  </si>
  <si>
    <t>26B vs 25A</t>
  </si>
  <si>
    <t>CAGR</t>
  </si>
  <si>
    <t>2027B</t>
  </si>
  <si>
    <t>2028B</t>
  </si>
  <si>
    <t>28B vs 25F</t>
  </si>
  <si>
    <t>Goodwill</t>
  </si>
  <si>
    <t>Other fixed assets</t>
  </si>
  <si>
    <t>Fixed assets</t>
  </si>
  <si>
    <t>Inventory</t>
  </si>
  <si>
    <t>Trade receivables</t>
  </si>
  <si>
    <t>Other debtors</t>
  </si>
  <si>
    <t>Cash</t>
  </si>
  <si>
    <t>Current assets</t>
  </si>
  <si>
    <t>Trade payables</t>
  </si>
  <si>
    <t>Other creditors</t>
  </si>
  <si>
    <t>OLB RCF</t>
  </si>
  <si>
    <t>Current liabilities</t>
  </si>
  <si>
    <t>Net current assets</t>
  </si>
  <si>
    <t>OLB loan</t>
  </si>
  <si>
    <t>Non-current liabilities</t>
  </si>
  <si>
    <t>Equity</t>
  </si>
  <si>
    <t>Check</t>
  </si>
  <si>
    <t>Cash Check</t>
  </si>
  <si>
    <t>Change in Net Working Capital</t>
  </si>
  <si>
    <t>Taxes</t>
  </si>
  <si>
    <t>Net cash from operating activities</t>
  </si>
  <si>
    <t>Capex</t>
  </si>
  <si>
    <t>Net cash from investing activities</t>
  </si>
  <si>
    <t>Issue of ordinary and preference share capital</t>
  </si>
  <si>
    <t>Drawdown / Repayment of RCF loans from OLB</t>
  </si>
  <si>
    <t>Drawdown of loans from BG</t>
  </si>
  <si>
    <t>Repayment of loans to OLB</t>
  </si>
  <si>
    <t>Interest paid on OLB loans</t>
  </si>
  <si>
    <t>Finance costs on loan drawdown</t>
  </si>
  <si>
    <t>Loans from ILDN</t>
  </si>
  <si>
    <t>Net cash from financing activities</t>
  </si>
  <si>
    <t>Net increase in cash and cash equivalents</t>
  </si>
  <si>
    <t>Opening cash balance</t>
  </si>
  <si>
    <t>Net cash increase / (decrease)</t>
  </si>
  <si>
    <t>Cash and cash equivalents at date</t>
  </si>
  <si>
    <t>Base</t>
  </si>
  <si>
    <t>w. initiatives</t>
  </si>
  <si>
    <t>26B vs 25F</t>
  </si>
  <si>
    <t>26 Initiatives</t>
  </si>
  <si>
    <t>27 Initiatives</t>
  </si>
  <si>
    <t>28 Initiatives</t>
  </si>
  <si>
    <t>Downside</t>
  </si>
  <si>
    <t>Sensitivity</t>
  </si>
  <si>
    <t>Core - Existing</t>
  </si>
  <si>
    <t>Core - New</t>
  </si>
  <si>
    <t>Existing doors</t>
  </si>
  <si>
    <t>Existing door sales forecast</t>
  </si>
  <si>
    <t>New door sales forecast</t>
  </si>
  <si>
    <t>Total forecast</t>
  </si>
  <si>
    <t>Sales per existing door</t>
  </si>
  <si>
    <t>New doors 25</t>
  </si>
  <si>
    <t>New doors 26</t>
  </si>
  <si>
    <t>Existing door growth %</t>
  </si>
  <si>
    <t>New doors 25 growth %</t>
  </si>
  <si>
    <t>Sales per Existing door 26</t>
  </si>
  <si>
    <t>Sales per New door 25 (2026)</t>
  </si>
  <si>
    <t>Sales per New Door 2026</t>
  </si>
  <si>
    <t>Sales - Existing</t>
  </si>
  <si>
    <t>Sales - New door 25</t>
  </si>
  <si>
    <t>Sales - New door 26</t>
  </si>
  <si>
    <t>North</t>
  </si>
  <si>
    <t>North East</t>
  </si>
  <si>
    <t>NRW</t>
  </si>
  <si>
    <t>South West</t>
  </si>
  <si>
    <t>Bayern</t>
  </si>
  <si>
    <t>Total Germany</t>
  </si>
  <si>
    <t>NL Central</t>
  </si>
  <si>
    <t>NL Other + BL</t>
  </si>
  <si>
    <t>NL Other</t>
  </si>
  <si>
    <t>Total Benelux</t>
  </si>
  <si>
    <t>German Switzerland</t>
  </si>
  <si>
    <t>French Switzerland</t>
  </si>
  <si>
    <t>Other Switzerland</t>
  </si>
  <si>
    <t>Total Switzerland</t>
  </si>
  <si>
    <t>Other EU</t>
  </si>
  <si>
    <t>France North</t>
  </si>
  <si>
    <t>France South</t>
  </si>
  <si>
    <t>Total Other EU</t>
  </si>
  <si>
    <t>UK - Existing</t>
  </si>
  <si>
    <t>UK - New</t>
  </si>
  <si>
    <t>Total UK</t>
  </si>
  <si>
    <t>US - Existing</t>
  </si>
  <si>
    <t>US - New</t>
  </si>
  <si>
    <t>Northeast</t>
  </si>
  <si>
    <t>Southeast</t>
  </si>
  <si>
    <t>Central</t>
  </si>
  <si>
    <t>West</t>
  </si>
  <si>
    <t>Phasing</t>
  </si>
  <si>
    <t>25F vs 24</t>
  </si>
  <si>
    <t>27B vs 26B</t>
  </si>
  <si>
    <t>28B vs 27B</t>
  </si>
  <si>
    <t>Total Export - Co. 1</t>
  </si>
  <si>
    <t>Total Export Co. 2</t>
  </si>
  <si>
    <t>D2C Revenue Plan 2024 / 2025 / 2026</t>
  </si>
  <si>
    <t xml:space="preserve">kEUR / $ without VAT </t>
  </si>
  <si>
    <t xml:space="preserve">US </t>
  </si>
  <si>
    <t>USA I  DTC+ Amazon</t>
  </si>
  <si>
    <t>2024 A</t>
  </si>
  <si>
    <t>Mrz 24</t>
  </si>
  <si>
    <t>Mai 24</t>
  </si>
  <si>
    <t>Okt 24</t>
  </si>
  <si>
    <t>Dez 24</t>
  </si>
  <si>
    <t>YE 2025 EST</t>
  </si>
  <si>
    <t>Mrz 25</t>
  </si>
  <si>
    <t>Mai 25</t>
  </si>
  <si>
    <t>Okt 25</t>
  </si>
  <si>
    <t>Dez 25</t>
  </si>
  <si>
    <t xml:space="preserve">YTD </t>
  </si>
  <si>
    <t>YTG</t>
  </si>
  <si>
    <t>Delta BUD vs EST</t>
  </si>
  <si>
    <t>Revenue Target</t>
  </si>
  <si>
    <t>Revenue Actual</t>
  </si>
  <si>
    <t xml:space="preserve"> -   </t>
  </si>
  <si>
    <t>Gap A vs B</t>
  </si>
  <si>
    <t xml:space="preserve">Evol vs LY </t>
  </si>
  <si>
    <t>Mrz 26</t>
  </si>
  <si>
    <t>Mai 26</t>
  </si>
  <si>
    <t>Okt 26</t>
  </si>
  <si>
    <t>Dez 26</t>
  </si>
  <si>
    <t>BASE BUDGET 2026</t>
  </si>
  <si>
    <t>PAID MEDIA</t>
  </si>
  <si>
    <t xml:space="preserve">EVOL VS LY </t>
  </si>
  <si>
    <t>UPPER CASE BUDGET 2026</t>
  </si>
  <si>
    <t>US .com</t>
  </si>
  <si>
    <t>USA I  DTC</t>
  </si>
  <si>
    <t>US Amazon</t>
  </si>
  <si>
    <t>USA I  Amazon</t>
  </si>
  <si>
    <t xml:space="preserve">-   </t>
  </si>
  <si>
    <t>EU DTC</t>
  </si>
  <si>
    <t xml:space="preserve">D2C EU </t>
  </si>
  <si>
    <t>EU I DTC DE + UK</t>
  </si>
  <si>
    <t xml:space="preserve">Base case 600k </t>
  </si>
  <si>
    <t xml:space="preserve">TOTAL </t>
  </si>
  <si>
    <t>TOTAL 2024</t>
  </si>
  <si>
    <t>confirmed</t>
  </si>
  <si>
    <t>changed</t>
  </si>
  <si>
    <t xml:space="preserve">central </t>
  </si>
  <si>
    <t>BUD 25</t>
  </si>
  <si>
    <t>Evol LY</t>
  </si>
  <si>
    <t>EST OCT 25</t>
  </si>
  <si>
    <t xml:space="preserve">Evol LY </t>
  </si>
  <si>
    <t>Gap BUD</t>
  </si>
  <si>
    <t>BASE 2026</t>
  </si>
  <si>
    <t xml:space="preserve">Evol 2025 EST </t>
  </si>
  <si>
    <t>UP 2026</t>
  </si>
  <si>
    <t>D2C U S</t>
  </si>
  <si>
    <t xml:space="preserve">Amazon </t>
  </si>
  <si>
    <t>TOTAL D2C</t>
  </si>
  <si>
    <t>TOTAL PAID MEDIA INVEST</t>
  </si>
  <si>
    <t>DELTA SALES</t>
  </si>
  <si>
    <t>DELTA INVEST</t>
  </si>
  <si>
    <t>Mgmt</t>
  </si>
  <si>
    <t>Selling and Distribution</t>
  </si>
  <si>
    <t>Sum of 2026B (EUR)</t>
  </si>
  <si>
    <t>Column Labels</t>
  </si>
  <si>
    <t>Row Labels</t>
  </si>
  <si>
    <t>Central Costs</t>
  </si>
  <si>
    <t>eCommerce (Combined)</t>
  </si>
  <si>
    <t>EU eCommerce</t>
  </si>
  <si>
    <t>Export B2B</t>
  </si>
  <si>
    <t>US eCommerce</t>
  </si>
  <si>
    <t>(blank)</t>
  </si>
  <si>
    <t>Grand Total</t>
  </si>
  <si>
    <t>Agency Fees</t>
  </si>
  <si>
    <t>monthly</t>
  </si>
  <si>
    <t>B2B Media</t>
  </si>
  <si>
    <t>March to November evenly</t>
  </si>
  <si>
    <t>Customer Events</t>
  </si>
  <si>
    <t>Check Suzanna</t>
  </si>
  <si>
    <t>D2C Advertising</t>
  </si>
  <si>
    <t>Link to sales phasing</t>
  </si>
  <si>
    <t>Marketing Assets</t>
  </si>
  <si>
    <t>50% Q1 50% Q2</t>
  </si>
  <si>
    <t>Merchandising</t>
  </si>
  <si>
    <t>Other Marketing</t>
  </si>
  <si>
    <t>PR Costs</t>
  </si>
  <si>
    <t>See budget file</t>
  </si>
  <si>
    <t>Product Giveaway</t>
  </si>
  <si>
    <t>Linked to sales</t>
  </si>
  <si>
    <t>IT Capex</t>
  </si>
  <si>
    <t>POS Capex</t>
  </si>
  <si>
    <t>BG Consultancy Fees</t>
  </si>
  <si>
    <t>Clinical Trials</t>
  </si>
  <si>
    <t>Other Exceptionals</t>
  </si>
  <si>
    <t>Registration Fees</t>
  </si>
  <si>
    <t>Accounting / Finance Costs</t>
  </si>
  <si>
    <t>Insurance Costs</t>
  </si>
  <si>
    <t>IT Costs</t>
  </si>
  <si>
    <t>Legal Costs</t>
  </si>
  <si>
    <t>Misc Opex</t>
  </si>
  <si>
    <t>Occupancy Costs</t>
  </si>
  <si>
    <t>Platform Fees</t>
  </si>
  <si>
    <t>Regulatory Costs</t>
  </si>
  <si>
    <t>Staff Events</t>
  </si>
  <si>
    <t>Staff Training</t>
  </si>
  <si>
    <t>Travel and Expenses</t>
  </si>
  <si>
    <t>Consultancy Fees</t>
  </si>
  <si>
    <t>Employee Benefits</t>
  </si>
  <si>
    <t>Customer Training</t>
  </si>
  <si>
    <t>Other Sales and Training Costs</t>
  </si>
  <si>
    <t>Retail Support</t>
  </si>
  <si>
    <t>Trade Shows</t>
  </si>
  <si>
    <t>Shipping (outbound)</t>
  </si>
  <si>
    <t>Warehouse Storage</t>
  </si>
  <si>
    <t>Higher proportion in H2</t>
  </si>
  <si>
    <t>Commission</t>
  </si>
  <si>
    <t>Bonus</t>
  </si>
  <si>
    <t>Receivables Days</t>
  </si>
  <si>
    <t>Payables Days</t>
  </si>
  <si>
    <t>Inventory Days</t>
  </si>
  <si>
    <t>Tax Rate</t>
  </si>
  <si>
    <t>Annual Capex</t>
  </si>
  <si>
    <t>Bank</t>
  </si>
  <si>
    <t>Annual P&amp;L 3YP</t>
  </si>
  <si>
    <t>2025 
Central</t>
  </si>
  <si>
    <t>Core Markets B2B</t>
  </si>
  <si>
    <t>UK Spa</t>
  </si>
  <si>
    <t>UK Retail</t>
  </si>
  <si>
    <t>US Spa</t>
  </si>
  <si>
    <t>US Retail</t>
  </si>
  <si>
    <t>Distributor - APAC Existing</t>
  </si>
  <si>
    <t>Distributor - Other New</t>
  </si>
  <si>
    <t>Export B2B focus</t>
  </si>
  <si>
    <t>Company 1 Sales - B2B Focus</t>
  </si>
  <si>
    <t>Export - China</t>
  </si>
  <si>
    <t>Export - APAC New</t>
  </si>
  <si>
    <t>Export - Middle East</t>
  </si>
  <si>
    <t>Export - Other New</t>
  </si>
  <si>
    <t>Company 2 Sales - Export B2B / B2C</t>
  </si>
  <si>
    <t>UK / RoW eCommerce</t>
  </si>
  <si>
    <t>USA eCommerce</t>
  </si>
  <si>
    <t>Global eTailers</t>
  </si>
  <si>
    <t>Company 3 Sales - DTC</t>
  </si>
  <si>
    <t>Total sales</t>
  </si>
  <si>
    <t>Cost of Goods Sold</t>
  </si>
  <si>
    <t>Gross profit I</t>
  </si>
  <si>
    <t>Company 1 - B2B Focus</t>
  </si>
  <si>
    <t>Company 2 - Export B2B / B2C Focus</t>
  </si>
  <si>
    <t>Company 3 - DTC Focus</t>
  </si>
  <si>
    <t>Company 4 - Overheads &amp; Brand Marketing</t>
  </si>
  <si>
    <t>1.</t>
  </si>
  <si>
    <t>Management &amp; Bank Case: QMS</t>
  </si>
  <si>
    <t>Historical Financials</t>
  </si>
  <si>
    <t>Bank Case</t>
  </si>
  <si>
    <t>Management Case</t>
  </si>
  <si>
    <t>FYE December (€k)</t>
  </si>
  <si>
    <t>2022A</t>
  </si>
  <si>
    <t>2023A</t>
  </si>
  <si>
    <t>2026F</t>
  </si>
  <si>
    <t>2027F</t>
  </si>
  <si>
    <t>2028F</t>
  </si>
  <si>
    <t xml:space="preserve">A. </t>
  </si>
  <si>
    <t>Profit &amp; Loss Statement</t>
  </si>
  <si>
    <t>Revenue Breakdown</t>
  </si>
  <si>
    <t>B.</t>
  </si>
  <si>
    <t>Cash Flow Statement</t>
  </si>
  <si>
    <t>C.</t>
  </si>
  <si>
    <t>Balance Sheet</t>
  </si>
  <si>
    <t>D.</t>
  </si>
  <si>
    <t>Net Financial Debt &amp; Leverage Ratio</t>
  </si>
  <si>
    <t>Gross Debt</t>
  </si>
  <si>
    <t>Net Financial Debt</t>
  </si>
  <si>
    <t>Leverage</t>
  </si>
  <si>
    <t>E.</t>
  </si>
  <si>
    <t>End</t>
  </si>
  <si>
    <t>Plan</t>
  </si>
  <si>
    <t>Cancel</t>
  </si>
  <si>
    <t>Performing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</si>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</sst>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-* #,##0_-;* \(#,##0\)_-;_-* &quot;-&quot;??_-;_-@_-"/>
    <numFmt numFmtId="168" formatCode="_-* #,##0\ _-;\-* #,##0_-;_-* &quot;-&quot;??_-;_-@_-"/>
    <numFmt numFmtId="169" formatCode="_-* #,##0_-;\(#,##0\);_-* &quot;-&quot;??_-;_-@_-"/>
    <numFmt numFmtId="170" formatCode="0.0&quot;x&quot;;\(0.0&quot;x&quot;\);\-"/>
    <numFmt numFmtId="171" formatCode="_-* #,##0_-;\-* #,##0_-;_-* &quot;-&quot;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i/>
      <sz val="8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  <font>
      <b/>
      <sz val="14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47E85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D7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D579"/>
        <bgColor rgb="FF000000"/>
      </patternFill>
    </fill>
    <fill>
      <patternFill patternType="solid">
        <fgColor rgb="FF73A0A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7E85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5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2" fillId="0" borderId="1" xfId="0" applyFont="1" applyBorder="1"/>
    <xf numFmtId="165" fontId="2" fillId="0" borderId="1" xfId="1" applyNumberFormat="1" applyFont="1" applyBorder="1"/>
    <xf numFmtId="164" fontId="2" fillId="0" borderId="1" xfId="0" applyNumberFormat="1" applyFont="1" applyBorder="1"/>
    <xf numFmtId="9" fontId="0" fillId="0" borderId="0" xfId="0" applyNumberFormat="1"/>
    <xf numFmtId="9" fontId="0" fillId="0" borderId="0" xfId="2" applyFont="1"/>
    <xf numFmtId="9" fontId="2" fillId="0" borderId="1" xfId="2" applyFont="1" applyBorder="1"/>
    <xf numFmtId="0" fontId="3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0" xfId="0" applyFont="1"/>
    <xf numFmtId="9" fontId="0" fillId="0" borderId="0" xfId="2" applyFont="1" applyAlignment="1">
      <alignment horizontal="right"/>
    </xf>
    <xf numFmtId="165" fontId="2" fillId="0" borderId="1" xfId="0" applyNumberFormat="1" applyFont="1" applyBorder="1"/>
    <xf numFmtId="9" fontId="2" fillId="0" borderId="1" xfId="2" applyFont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right" wrapText="1"/>
    </xf>
    <xf numFmtId="17" fontId="10" fillId="2" borderId="0" xfId="0" applyNumberFormat="1" applyFont="1" applyFill="1" applyAlignment="1">
      <alignment horizontal="right" wrapText="1"/>
    </xf>
    <xf numFmtId="9" fontId="8" fillId="0" borderId="0" xfId="0" applyNumberFormat="1" applyFont="1"/>
    <xf numFmtId="0" fontId="10" fillId="4" borderId="0" xfId="0" applyFont="1" applyFill="1" applyAlignment="1">
      <alignment horizontal="left" wrapText="1"/>
    </xf>
    <xf numFmtId="0" fontId="11" fillId="4" borderId="0" xfId="0" applyFont="1" applyFill="1" applyAlignment="1">
      <alignment horizontal="center" wrapText="1"/>
    </xf>
    <xf numFmtId="9" fontId="10" fillId="4" borderId="0" xfId="0" applyNumberFormat="1" applyFont="1" applyFill="1" applyAlignment="1">
      <alignment horizontal="right" wrapText="1"/>
    </xf>
    <xf numFmtId="0" fontId="12" fillId="0" borderId="0" xfId="0" applyFont="1"/>
    <xf numFmtId="0" fontId="8" fillId="5" borderId="0" xfId="0" applyFont="1" applyFill="1"/>
    <xf numFmtId="0" fontId="8" fillId="6" borderId="0" xfId="0" applyFont="1" applyFill="1"/>
    <xf numFmtId="0" fontId="10" fillId="4" borderId="0" xfId="0" applyFont="1" applyFill="1" applyAlignment="1">
      <alignment horizontal="right" wrapText="1"/>
    </xf>
    <xf numFmtId="0" fontId="8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0" fillId="0" borderId="0" xfId="0" applyFont="1" applyAlignment="1">
      <alignment horizontal="right" wrapText="1"/>
    </xf>
    <xf numFmtId="3" fontId="10" fillId="2" borderId="0" xfId="0" applyNumberFormat="1" applyFont="1" applyFill="1" applyAlignment="1">
      <alignment horizontal="right" wrapText="1"/>
    </xf>
    <xf numFmtId="0" fontId="8" fillId="7" borderId="0" xfId="0" applyFont="1" applyFill="1"/>
    <xf numFmtId="0" fontId="8" fillId="7" borderId="4" xfId="0" applyFont="1" applyFill="1" applyBorder="1"/>
    <xf numFmtId="0" fontId="4" fillId="8" borderId="0" xfId="0" applyFont="1" applyFill="1" applyAlignment="1">
      <alignment horizontal="left"/>
    </xf>
    <xf numFmtId="0" fontId="1" fillId="0" borderId="0" xfId="3" applyAlignment="1">
      <alignment horizontal="left"/>
    </xf>
    <xf numFmtId="0" fontId="0" fillId="0" borderId="0" xfId="0" applyAlignment="1">
      <alignment horizontal="left"/>
    </xf>
    <xf numFmtId="165" fontId="12" fillId="0" borderId="0" xfId="4" applyNumberFormat="1" applyFont="1"/>
    <xf numFmtId="0" fontId="2" fillId="9" borderId="1" xfId="0" applyFont="1" applyFill="1" applyBorder="1" applyAlignment="1">
      <alignment horizontal="left"/>
    </xf>
    <xf numFmtId="165" fontId="15" fillId="9" borderId="1" xfId="4" applyNumberFormat="1" applyFont="1" applyFill="1" applyBorder="1"/>
    <xf numFmtId="0" fontId="0" fillId="0" borderId="10" xfId="0" applyBorder="1" applyAlignment="1">
      <alignment horizontal="left"/>
    </xf>
    <xf numFmtId="0" fontId="12" fillId="0" borderId="10" xfId="0" applyFont="1" applyBorder="1"/>
    <xf numFmtId="0" fontId="2" fillId="9" borderId="1" xfId="3" applyFont="1" applyFill="1" applyBorder="1" applyAlignment="1">
      <alignment horizontal="left"/>
    </xf>
    <xf numFmtId="0" fontId="2" fillId="10" borderId="11" xfId="0" applyFont="1" applyFill="1" applyBorder="1" applyAlignment="1">
      <alignment horizontal="left"/>
    </xf>
    <xf numFmtId="165" fontId="15" fillId="10" borderId="11" xfId="4" applyNumberFormat="1" applyFont="1" applyFill="1" applyBorder="1"/>
    <xf numFmtId="0" fontId="16" fillId="11" borderId="11" xfId="0" applyFont="1" applyFill="1" applyBorder="1" applyAlignment="1">
      <alignment horizontal="left"/>
    </xf>
    <xf numFmtId="165" fontId="17" fillId="11" borderId="11" xfId="4" applyNumberFormat="1" applyFont="1" applyFill="1" applyBorder="1"/>
    <xf numFmtId="0" fontId="5" fillId="0" borderId="10" xfId="0" applyFont="1" applyBorder="1"/>
    <xf numFmtId="10" fontId="0" fillId="0" borderId="0" xfId="0" applyNumberFormat="1"/>
    <xf numFmtId="0" fontId="18" fillId="12" borderId="0" xfId="0" applyFont="1" applyFill="1" applyAlignment="1">
      <alignment horizontal="right"/>
    </xf>
    <xf numFmtId="0" fontId="4" fillId="12" borderId="2" xfId="0" applyFont="1" applyFill="1" applyBorder="1" applyAlignment="1">
      <alignment horizontal="right"/>
    </xf>
    <xf numFmtId="165" fontId="0" fillId="13" borderId="0" xfId="1" applyNumberFormat="1" applyFont="1" applyFill="1"/>
    <xf numFmtId="16" fontId="19" fillId="12" borderId="0" xfId="0" applyNumberFormat="1" applyFont="1" applyFill="1" applyAlignment="1">
      <alignment horizontal="left"/>
    </xf>
    <xf numFmtId="0" fontId="4" fillId="12" borderId="2" xfId="0" applyFont="1" applyFill="1" applyBorder="1"/>
    <xf numFmtId="165" fontId="12" fillId="0" borderId="10" xfId="0" applyNumberFormat="1" applyFont="1" applyBorder="1"/>
    <xf numFmtId="0" fontId="0" fillId="0" borderId="0" xfId="1" applyNumberFormat="1" applyFont="1"/>
    <xf numFmtId="0" fontId="2" fillId="0" borderId="1" xfId="1" applyNumberFormat="1" applyFont="1" applyBorder="1"/>
    <xf numFmtId="0" fontId="20" fillId="0" borderId="0" xfId="2" applyNumberFormat="1" applyFont="1"/>
    <xf numFmtId="9" fontId="20" fillId="0" borderId="0" xfId="2" applyFont="1"/>
    <xf numFmtId="0" fontId="4" fillId="14" borderId="0" xfId="3" applyFont="1" applyFill="1" applyAlignment="1">
      <alignment horizontal="left" vertical="center" wrapText="1"/>
    </xf>
    <xf numFmtId="0" fontId="20" fillId="0" borderId="0" xfId="0" applyFont="1" applyAlignment="1">
      <alignment horizontal="left"/>
    </xf>
    <xf numFmtId="0" fontId="20" fillId="0" borderId="2" xfId="0" applyFont="1" applyBorder="1" applyAlignment="1">
      <alignment horizontal="left"/>
    </xf>
    <xf numFmtId="0" fontId="2" fillId="0" borderId="11" xfId="0" applyFont="1" applyBorder="1"/>
    <xf numFmtId="0" fontId="20" fillId="0" borderId="0" xfId="0" applyFont="1"/>
    <xf numFmtId="0" fontId="4" fillId="14" borderId="0" xfId="3" applyFont="1" applyFill="1" applyAlignment="1">
      <alignment horizontal="left" wrapText="1"/>
    </xf>
    <xf numFmtId="0" fontId="4" fillId="14" borderId="0" xfId="3" applyFont="1" applyFill="1" applyAlignment="1">
      <alignment horizontal="right" vertical="center" wrapText="1"/>
    </xf>
    <xf numFmtId="165" fontId="20" fillId="0" borderId="0" xfId="1" applyNumberFormat="1" applyFont="1"/>
    <xf numFmtId="165" fontId="20" fillId="0" borderId="2" xfId="1" applyNumberFormat="1" applyFont="1" applyBorder="1"/>
    <xf numFmtId="165" fontId="20" fillId="0" borderId="0" xfId="1" applyNumberFormat="1" applyFont="1" applyBorder="1"/>
    <xf numFmtId="165" fontId="2" fillId="9" borderId="1" xfId="1" applyNumberFormat="1" applyFont="1" applyFill="1" applyBorder="1"/>
    <xf numFmtId="165" fontId="1" fillId="0" borderId="0" xfId="1" applyNumberFormat="1" applyFont="1"/>
    <xf numFmtId="165" fontId="1" fillId="0" borderId="0" xfId="1" applyNumberFormat="1" applyFont="1" applyFill="1"/>
    <xf numFmtId="165" fontId="1" fillId="0" borderId="0" xfId="1" applyNumberFormat="1" applyFont="1" applyFill="1" applyBorder="1"/>
    <xf numFmtId="165" fontId="2" fillId="10" borderId="11" xfId="0" applyNumberFormat="1" applyFont="1" applyFill="1" applyBorder="1"/>
    <xf numFmtId="165" fontId="2" fillId="0" borderId="11" xfId="0" applyNumberFormat="1" applyFont="1" applyBorder="1"/>
    <xf numFmtId="0" fontId="4" fillId="14" borderId="0" xfId="3" applyFont="1" applyFill="1" applyAlignment="1">
      <alignment horizontal="right" wrapText="1"/>
    </xf>
    <xf numFmtId="9" fontId="12" fillId="0" borderId="0" xfId="2" applyFont="1"/>
    <xf numFmtId="9" fontId="15" fillId="9" borderId="1" xfId="2" applyFont="1" applyFill="1" applyBorder="1"/>
    <xf numFmtId="9" fontId="12" fillId="0" borderId="10" xfId="2" applyFont="1" applyBorder="1"/>
    <xf numFmtId="9" fontId="15" fillId="10" borderId="11" xfId="2" applyFont="1" applyFill="1" applyBorder="1"/>
    <xf numFmtId="9" fontId="17" fillId="11" borderId="11" xfId="2" applyFont="1" applyFill="1" applyBorder="1"/>
    <xf numFmtId="9" fontId="12" fillId="0" borderId="0" xfId="2" applyFont="1" applyAlignment="1">
      <alignment horizontal="right"/>
    </xf>
    <xf numFmtId="167" fontId="0" fillId="0" borderId="0" xfId="0" applyNumberFormat="1"/>
    <xf numFmtId="168" fontId="2" fillId="0" borderId="0" xfId="3" applyNumberFormat="1" applyFont="1"/>
    <xf numFmtId="168" fontId="1" fillId="0" borderId="0" xfId="3" applyNumberFormat="1"/>
    <xf numFmtId="168" fontId="2" fillId="0" borderId="1" xfId="3" applyNumberFormat="1" applyFont="1" applyBorder="1"/>
    <xf numFmtId="9" fontId="15" fillId="9" borderId="1" xfId="2" applyFont="1" applyFill="1" applyBorder="1" applyAlignment="1">
      <alignment horizontal="right"/>
    </xf>
    <xf numFmtId="9" fontId="12" fillId="0" borderId="10" xfId="2" applyFont="1" applyBorder="1" applyAlignment="1">
      <alignment horizontal="right"/>
    </xf>
    <xf numFmtId="9" fontId="15" fillId="10" borderId="11" xfId="2" applyFont="1" applyFill="1" applyBorder="1" applyAlignment="1">
      <alignment horizontal="right"/>
    </xf>
    <xf numFmtId="9" fontId="17" fillId="11" borderId="11" xfId="2" applyFont="1" applyFill="1" applyBorder="1" applyAlignment="1">
      <alignment horizontal="right"/>
    </xf>
    <xf numFmtId="9" fontId="1" fillId="0" borderId="0" xfId="2" applyFont="1" applyAlignment="1">
      <alignment horizontal="right"/>
    </xf>
    <xf numFmtId="9" fontId="20" fillId="0" borderId="0" xfId="2" applyFont="1" applyAlignment="1">
      <alignment horizontal="right"/>
    </xf>
    <xf numFmtId="0" fontId="1" fillId="0" borderId="0" xfId="3"/>
    <xf numFmtId="0" fontId="2" fillId="0" borderId="12" xfId="3" applyFont="1" applyBorder="1"/>
    <xf numFmtId="0" fontId="2" fillId="0" borderId="12" xfId="0" applyFont="1" applyBorder="1"/>
    <xf numFmtId="0" fontId="19" fillId="14" borderId="0" xfId="0" quotePrefix="1" applyFont="1" applyFill="1"/>
    <xf numFmtId="0" fontId="21" fillId="0" borderId="0" xfId="0" quotePrefix="1" applyFont="1"/>
    <xf numFmtId="0" fontId="19" fillId="14" borderId="0" xfId="0" applyFont="1" applyFill="1"/>
    <xf numFmtId="0" fontId="6" fillId="14" borderId="0" xfId="0" applyFont="1" applyFill="1"/>
    <xf numFmtId="0" fontId="1" fillId="0" borderId="2" xfId="3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14" borderId="0" xfId="0" quotePrefix="1" applyFont="1" applyFill="1"/>
    <xf numFmtId="0" fontId="4" fillId="14" borderId="0" xfId="3" applyFont="1" applyFill="1" applyAlignment="1">
      <alignment horizontal="left"/>
    </xf>
    <xf numFmtId="0" fontId="4" fillId="14" borderId="0" xfId="0" applyFont="1" applyFill="1"/>
    <xf numFmtId="0" fontId="0" fillId="8" borderId="0" xfId="0" applyFill="1"/>
    <xf numFmtId="0" fontId="2" fillId="0" borderId="0" xfId="3" applyFont="1"/>
    <xf numFmtId="167" fontId="2" fillId="0" borderId="0" xfId="0" applyNumberFormat="1" applyFont="1"/>
    <xf numFmtId="0" fontId="2" fillId="0" borderId="11" xfId="3" applyFont="1" applyBorder="1"/>
    <xf numFmtId="167" fontId="2" fillId="0" borderId="11" xfId="0" applyNumberFormat="1" applyFont="1" applyBorder="1"/>
    <xf numFmtId="0" fontId="20" fillId="0" borderId="0" xfId="3" applyFont="1"/>
    <xf numFmtId="9" fontId="20" fillId="0" borderId="0" xfId="5" applyFont="1"/>
    <xf numFmtId="167" fontId="2" fillId="0" borderId="1" xfId="0" applyNumberFormat="1" applyFont="1" applyBorder="1"/>
    <xf numFmtId="167" fontId="2" fillId="0" borderId="12" xfId="0" applyNumberFormat="1" applyFont="1" applyBorder="1"/>
    <xf numFmtId="169" fontId="2" fillId="0" borderId="11" xfId="1" applyNumberFormat="1" applyFont="1" applyFill="1" applyBorder="1"/>
    <xf numFmtId="169" fontId="2" fillId="0" borderId="0" xfId="1" applyNumberFormat="1" applyFont="1" applyFill="1" applyBorder="1"/>
    <xf numFmtId="169" fontId="2" fillId="0" borderId="1" xfId="0" applyNumberFormat="1" applyFont="1" applyBorder="1"/>
    <xf numFmtId="169" fontId="2" fillId="0" borderId="0" xfId="0" applyNumberFormat="1" applyFont="1"/>
    <xf numFmtId="169" fontId="0" fillId="0" borderId="0" xfId="0" applyNumberFormat="1"/>
    <xf numFmtId="169" fontId="2" fillId="0" borderId="12" xfId="1" applyNumberFormat="1" applyFont="1" applyBorder="1"/>
    <xf numFmtId="169" fontId="2" fillId="0" borderId="0" xfId="1" applyNumberFormat="1" applyFont="1" applyBorder="1"/>
    <xf numFmtId="0" fontId="2" fillId="0" borderId="13" xfId="3" applyFont="1" applyBorder="1"/>
    <xf numFmtId="170" fontId="0" fillId="0" borderId="12" xfId="0" applyNumberFormat="1" applyBorder="1"/>
    <xf numFmtId="0" fontId="0" fillId="0" borderId="12" xfId="0" applyBorder="1"/>
    <xf numFmtId="164" fontId="20" fillId="0" borderId="0" xfId="1" applyFont="1"/>
    <xf numFmtId="167" fontId="0" fillId="0" borderId="1" xfId="0" applyNumberFormat="1" applyBorder="1"/>
    <xf numFmtId="165" fontId="2" fillId="0" borderId="0" xfId="1" applyNumberFormat="1" applyFont="1"/>
    <xf numFmtId="0" fontId="0" fillId="0" borderId="0" xfId="0" quotePrefix="1"/>
    <xf numFmtId="167" fontId="0" fillId="13" borderId="0" xfId="0" applyNumberFormat="1" applyFill="1"/>
    <xf numFmtId="0" fontId="0" fillId="13" borderId="0" xfId="0" applyFill="1"/>
    <xf numFmtId="9" fontId="0" fillId="13" borderId="0" xfId="0" applyNumberFormat="1" applyFill="1"/>
    <xf numFmtId="10" fontId="0" fillId="13" borderId="0" xfId="0" applyNumberFormat="1" applyFill="1"/>
    <xf numFmtId="166" fontId="0" fillId="0" borderId="0" xfId="0" applyNumberFormat="1"/>
    <xf numFmtId="168" fontId="1" fillId="13" borderId="0" xfId="3" applyNumberFormat="1" applyFill="1"/>
    <xf numFmtId="0" fontId="4" fillId="14" borderId="0" xfId="3" quotePrefix="1" applyFont="1" applyFill="1" applyAlignment="1">
      <alignment horizontal="left" vertical="center" wrapText="1"/>
    </xf>
    <xf numFmtId="0" fontId="4" fillId="14" borderId="0" xfId="3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17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165" fontId="2" fillId="9" borderId="1" xfId="1" applyNumberFormat="1" applyFont="1" applyFill="1" applyBorder="1" applyAlignment="1">
      <alignment horizontal="left"/>
    </xf>
    <xf numFmtId="165" fontId="0" fillId="0" borderId="10" xfId="1" applyNumberFormat="1" applyFont="1" applyBorder="1" applyAlignment="1">
      <alignment horizontal="left"/>
    </xf>
    <xf numFmtId="165" fontId="2" fillId="10" borderId="11" xfId="1" applyNumberFormat="1" applyFont="1" applyFill="1" applyBorder="1" applyAlignment="1">
      <alignment horizontal="left"/>
    </xf>
    <xf numFmtId="165" fontId="0" fillId="0" borderId="0" xfId="1" applyNumberFormat="1" applyFont="1" applyBorder="1" applyAlignment="1">
      <alignment horizontal="left"/>
    </xf>
    <xf numFmtId="165" fontId="16" fillId="11" borderId="11" xfId="1" applyNumberFormat="1" applyFont="1" applyFill="1" applyBorder="1" applyAlignment="1">
      <alignment horizontal="left"/>
    </xf>
    <xf numFmtId="165" fontId="0" fillId="13" borderId="0" xfId="1" applyNumberFormat="1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vertical="center"/>
    </xf>
    <xf numFmtId="167" fontId="0" fillId="0" borderId="14" xfId="0" applyNumberFormat="1" applyBorder="1" applyAlignment="1">
      <alignment vertical="center"/>
    </xf>
    <xf numFmtId="0" fontId="0" fillId="0" borderId="14" xfId="0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vertical="center"/>
    </xf>
    <xf numFmtId="167" fontId="0" fillId="0" borderId="15" xfId="0" applyNumberFormat="1" applyBorder="1" applyAlignment="1">
      <alignment vertical="center"/>
    </xf>
    <xf numFmtId="0" fontId="0" fillId="0" borderId="15" xfId="0" applyBorder="1" applyAlignment="1">
      <alignment horizontal="center" vertical="center"/>
    </xf>
    <xf numFmtId="17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167" fontId="0" fillId="0" borderId="16" xfId="0" applyNumberFormat="1" applyBorder="1" applyAlignment="1">
      <alignment vertical="center"/>
    </xf>
    <xf numFmtId="0" fontId="0" fillId="0" borderId="16" xfId="0" applyBorder="1" applyAlignment="1">
      <alignment horizontal="center" vertical="center"/>
    </xf>
    <xf numFmtId="17" fontId="0" fillId="0" borderId="16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5" xfId="0" applyBorder="1"/>
    <xf numFmtId="0" fontId="0" fillId="0" borderId="17" xfId="0" applyBorder="1" applyAlignment="1">
      <alignment wrapText="1"/>
    </xf>
    <xf numFmtId="0" fontId="0" fillId="0" borderId="17" xfId="0" applyBorder="1"/>
    <xf numFmtId="15" fontId="0" fillId="0" borderId="0" xfId="0" applyNumberFormat="1" applyAlignment="1">
      <alignment horizontal="left" wrapText="1"/>
    </xf>
    <xf numFmtId="15" fontId="22" fillId="0" borderId="0" xfId="0" applyNumberFormat="1" applyFont="1"/>
    <xf numFmtId="17" fontId="0" fillId="0" borderId="0" xfId="0" applyNumberFormat="1"/>
    <xf numFmtId="15" fontId="22" fillId="0" borderId="0" xfId="0" applyNumberFormat="1" applyFont="1" applyAlignment="1">
      <alignment horizontal="right"/>
    </xf>
    <xf numFmtId="17" fontId="4" fillId="14" borderId="0" xfId="3" applyNumberFormat="1" applyFont="1" applyFill="1" applyAlignment="1">
      <alignment horizontal="right" vertical="center" wrapText="1"/>
    </xf>
    <xf numFmtId="171" fontId="0" fillId="0" borderId="0" xfId="0" applyNumberFormat="1"/>
    <xf numFmtId="0" fontId="2" fillId="0" borderId="0" xfId="0" applyFont="1" applyAlignment="1">
      <alignment vertical="center"/>
    </xf>
    <xf numFmtId="0" fontId="0" fillId="0" borderId="14" xfId="0" quotePrefix="1" applyBorder="1" applyAlignment="1">
      <alignment wrapText="1"/>
    </xf>
    <xf numFmtId="0" fontId="0" fillId="0" borderId="0" xfId="0" quotePrefix="1" applyAlignment="1">
      <alignment wrapText="1"/>
    </xf>
    <xf numFmtId="0" fontId="0" fillId="0" borderId="17" xfId="0" applyBorder="1" applyAlignment="1">
      <alignment vertical="center"/>
    </xf>
    <xf numFmtId="167" fontId="0" fillId="0" borderId="17" xfId="0" applyNumberForma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7" xfId="0" quotePrefix="1" applyBorder="1" applyAlignment="1">
      <alignment wrapText="1"/>
    </xf>
    <xf numFmtId="167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vertical="center"/>
    </xf>
    <xf numFmtId="167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14" xfId="0" applyBorder="1" applyAlignment="1">
      <alignment vertical="top"/>
    </xf>
    <xf numFmtId="0" fontId="0" fillId="0" borderId="14" xfId="0" applyBorder="1" applyAlignment="1">
      <alignment vertical="top" wrapText="1"/>
    </xf>
    <xf numFmtId="0" fontId="0" fillId="0" borderId="14" xfId="0" quotePrefix="1" applyBorder="1" applyAlignment="1">
      <alignment vertical="top" wrapText="1"/>
    </xf>
    <xf numFmtId="0" fontId="0" fillId="0" borderId="15" xfId="0" applyBorder="1" applyAlignment="1">
      <alignment vertical="top"/>
    </xf>
    <xf numFmtId="0" fontId="0" fillId="0" borderId="15" xfId="0" applyBorder="1" applyAlignment="1">
      <alignment vertical="top" wrapText="1"/>
    </xf>
    <xf numFmtId="0" fontId="0" fillId="0" borderId="15" xfId="0" quotePrefix="1" applyBorder="1" applyAlignment="1">
      <alignment vertical="top" wrapText="1"/>
    </xf>
    <xf numFmtId="166" fontId="0" fillId="15" borderId="0" xfId="0" applyNumberFormat="1" applyFill="1"/>
    <xf numFmtId="1" fontId="0" fillId="0" borderId="0" xfId="0" applyNumberFormat="1"/>
    <xf numFmtId="0" fontId="0" fillId="0" borderId="14" xfId="0" quotePrefix="1" applyBorder="1" applyAlignment="1">
      <alignment vertical="center"/>
    </xf>
    <xf numFmtId="168" fontId="0" fillId="0" borderId="0" xfId="0" applyNumberFormat="1"/>
    <xf numFmtId="0" fontId="7" fillId="3" borderId="0" xfId="0" applyFont="1" applyFill="1"/>
    <xf numFmtId="0" fontId="7" fillId="7" borderId="3" xfId="0" applyFont="1" applyFill="1" applyBorder="1"/>
    <xf numFmtId="0" fontId="7" fillId="7" borderId="5" xfId="0" applyFont="1" applyFill="1" applyBorder="1"/>
    <xf numFmtId="0" fontId="7" fillId="4" borderId="6" xfId="0" applyFont="1" applyFill="1" applyBorder="1"/>
    <xf numFmtId="3" fontId="7" fillId="4" borderId="6" xfId="0" applyNumberFormat="1" applyFont="1" applyFill="1" applyBorder="1"/>
    <xf numFmtId="3" fontId="7" fillId="7" borderId="7" xfId="0" applyNumberFormat="1" applyFont="1" applyFill="1" applyBorder="1"/>
    <xf numFmtId="9" fontId="7" fillId="4" borderId="6" xfId="0" applyNumberFormat="1" applyFont="1" applyFill="1" applyBorder="1"/>
    <xf numFmtId="9" fontId="7" fillId="4" borderId="8" xfId="0" applyNumberFormat="1" applyFont="1" applyFill="1" applyBorder="1"/>
    <xf numFmtId="0" fontId="7" fillId="7" borderId="7" xfId="0" applyFont="1" applyFill="1" applyBorder="1"/>
    <xf numFmtId="0" fontId="7" fillId="4" borderId="8" xfId="0" applyFont="1" applyFill="1" applyBorder="1"/>
    <xf numFmtId="0" fontId="7" fillId="7" borderId="0" xfId="0" applyFont="1" applyFill="1"/>
    <xf numFmtId="0" fontId="7" fillId="4" borderId="0" xfId="0" applyFont="1" applyFill="1"/>
    <xf numFmtId="0" fontId="7" fillId="7" borderId="4" xfId="0" applyFont="1" applyFill="1" applyBorder="1"/>
    <xf numFmtId="0" fontId="7" fillId="7" borderId="9" xfId="0" applyFont="1" applyFill="1" applyBorder="1"/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167" fontId="0" fillId="0" borderId="16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4" fillId="8" borderId="0" xfId="0" applyFont="1" applyFill="1" applyAlignment="1">
      <alignment horizontal="left"/>
    </xf>
    <xf numFmtId="0" fontId="4" fillId="8" borderId="0" xfId="0" applyFont="1" applyFill="1" applyAlignment="1">
      <alignment horizontal="center"/>
    </xf>
  </cellXfs>
  <cellStyles count="6">
    <cellStyle name="Comma" xfId="1" builtinId="3"/>
    <cellStyle name="Comma 2" xfId="4" xr:uid="{1CF53837-BF1E-4686-87C0-01AD85DF035A}"/>
    <cellStyle name="Normal" xfId="0" builtinId="0"/>
    <cellStyle name="Normal 2" xfId="3" xr:uid="{27460D9A-5033-4E5D-843C-3582E9A33CF5}"/>
    <cellStyle name="Percent" xfId="2" builtinId="5"/>
    <cellStyle name="Percent 2" xfId="5" xr:uid="{6D2CDC8E-2AB3-4E6E-A8CA-3D95A64D4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Byrom-Chadd\QMS%20Medicosmetics%20Dropbox\Steve%20Byrom\QMS_ILDN%20Debt\Debt\BKB%20Reporting\00%20PK%20debt%20presentation\2025.10.20%20-%20QMS%20Iconic%20Group%203YP%20(Steve%20Byrom's%20conflicted%20copy%202025-10-20).xlsx" TargetMode="External"/><Relationship Id="rId1" Type="http://schemas.openxmlformats.org/officeDocument/2006/relationships/externalLinkPath" Target="file:///C:\Users\SteveByrom-Chadd\QMS%20Medicosmetics%20Dropbox\Steve%20Byrom\QMS_ILDN%20Debt\Debt\BKB%20Reporting\00%20PK%20debt%20presentation\2025.10.20%20-%20QMS%20Iconic%20Group%203YP%20(Steve%20Byrom's%20conflicted%20copy%202025-10-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QMS+ILDN Financials"/>
      <sheetName val="QMS Financials"/>
      <sheetName val="ILDN Financials"/>
      <sheetName val="QMS Assumptions"/>
      <sheetName val="ILDN Assumptions"/>
    </sheetNames>
    <sheetDataSet>
      <sheetData sheetId="0"/>
      <sheetData sheetId="1">
        <row r="98">
          <cell r="J98">
            <v>3926.75</v>
          </cell>
          <cell r="K98">
            <v>2231.25</v>
          </cell>
          <cell r="L98">
            <v>743.75</v>
          </cell>
          <cell r="M98">
            <v>0</v>
          </cell>
          <cell r="O98">
            <v>3926.75</v>
          </cell>
          <cell r="P98">
            <v>2231.25</v>
          </cell>
          <cell r="Q98">
            <v>743.75</v>
          </cell>
          <cell r="R98">
            <v>0</v>
          </cell>
        </row>
        <row r="99">
          <cell r="J99">
            <v>5950</v>
          </cell>
          <cell r="K99">
            <v>5950</v>
          </cell>
          <cell r="L99">
            <v>5950</v>
          </cell>
          <cell r="M99">
            <v>5950</v>
          </cell>
          <cell r="O99">
            <v>5950</v>
          </cell>
          <cell r="P99">
            <v>5950</v>
          </cell>
          <cell r="Q99">
            <v>5950</v>
          </cell>
          <cell r="R99">
            <v>5950</v>
          </cell>
        </row>
        <row r="103">
          <cell r="J103">
            <v>2700</v>
          </cell>
          <cell r="K103">
            <v>3200</v>
          </cell>
          <cell r="L103">
            <v>3200</v>
          </cell>
          <cell r="M103">
            <v>3200</v>
          </cell>
          <cell r="O103">
            <v>2700</v>
          </cell>
          <cell r="P103">
            <v>3200</v>
          </cell>
          <cell r="Q103">
            <v>3200</v>
          </cell>
          <cell r="R103">
            <v>3200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1D2C-31A4-4AA4-B0C8-86CD2B7E3A59}">
  <sheetPr>
    <tabColor theme="1"/>
  </sheetPr>
  <dimension ref="A1"/>
  <sheetViews>
    <sheetView showGridLines="0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9AC0-1842-4149-9DD4-7FF86E344EC6}">
  <dimension ref="B1:AC37"/>
  <sheetViews>
    <sheetView showGridLines="0" workbookViewId="0">
      <pane xSplit="3" ySplit="3" topLeftCell="N4" activePane="bottomRight" state="frozen"/>
      <selection pane="bottomRight" activeCell="C20" sqref="C20"/>
      <selection pane="bottomLeft" activeCell="A4" sqref="A4"/>
      <selection pane="topRight" activeCell="D1" sqref="D1"/>
    </sheetView>
  </sheetViews>
  <sheetFormatPr defaultColWidth="8.85546875" defaultRowHeight="15"/>
  <cols>
    <col min="1" max="1" width="5" customWidth="1"/>
    <col min="2" max="2" width="27.42578125" customWidth="1"/>
    <col min="3" max="3" width="36.140625" style="2" bestFit="1" customWidth="1"/>
    <col min="4" max="4" width="15" customWidth="1"/>
    <col min="5" max="5" width="22.28515625" customWidth="1"/>
    <col min="6" max="6" width="20.42578125" customWidth="1"/>
    <col min="7" max="12" width="13.28515625" customWidth="1"/>
    <col min="13" max="16" width="12.7109375" customWidth="1"/>
    <col min="17" max="17" width="19" bestFit="1" customWidth="1"/>
    <col min="18" max="19" width="12.7109375" customWidth="1"/>
    <col min="20" max="20" width="15.7109375" customWidth="1"/>
    <col min="21" max="21" width="45.85546875" style="2" customWidth="1"/>
    <col min="22" max="23" width="26.7109375" style="2" customWidth="1"/>
    <col min="24" max="24" width="50.5703125" style="2" customWidth="1"/>
    <col min="25" max="29" width="15" customWidth="1"/>
  </cols>
  <sheetData>
    <row r="1" spans="2:29">
      <c r="B1" s="15" t="s">
        <v>0</v>
      </c>
      <c r="C1" s="181">
        <f ca="1">TODAY()</f>
        <v>46044</v>
      </c>
      <c r="D1" s="182" t="str">
        <f ca="1">MONTH(C1)&amp;RIGHT(YEAR(C1), 2)</f>
        <v>126</v>
      </c>
    </row>
    <row r="2" spans="2:29" ht="6.75" customHeight="1"/>
    <row r="3" spans="2:29" ht="60">
      <c r="B3" s="68" t="s">
        <v>1</v>
      </c>
      <c r="C3" s="68" t="s">
        <v>2</v>
      </c>
      <c r="D3" s="68" t="s">
        <v>3</v>
      </c>
      <c r="E3" s="68" t="s">
        <v>4</v>
      </c>
      <c r="F3" s="68" t="s">
        <v>5</v>
      </c>
      <c r="G3" s="144" t="s">
        <v>6</v>
      </c>
      <c r="H3" s="144" t="s">
        <v>7</v>
      </c>
      <c r="I3" s="144" t="s">
        <v>8</v>
      </c>
      <c r="J3" s="144" t="s">
        <v>9</v>
      </c>
      <c r="K3" s="144" t="s">
        <v>10</v>
      </c>
      <c r="L3" s="144" t="s">
        <v>11</v>
      </c>
      <c r="M3" s="144" t="s">
        <v>12</v>
      </c>
      <c r="N3" s="144" t="s">
        <v>13</v>
      </c>
      <c r="O3" s="144" t="s">
        <v>14</v>
      </c>
      <c r="P3" s="144" t="s">
        <v>15</v>
      </c>
      <c r="Q3" s="68" t="s">
        <v>16</v>
      </c>
      <c r="R3" s="68" t="s">
        <v>17</v>
      </c>
      <c r="S3" s="68" t="s">
        <v>18</v>
      </c>
      <c r="T3" s="68" t="s">
        <v>19</v>
      </c>
      <c r="U3" s="68" t="s">
        <v>20</v>
      </c>
      <c r="V3" s="68" t="s">
        <v>21</v>
      </c>
      <c r="W3" s="68" t="s">
        <v>22</v>
      </c>
      <c r="X3" s="68" t="s">
        <v>23</v>
      </c>
      <c r="Y3" s="68" t="s">
        <v>24</v>
      </c>
      <c r="Z3" s="68" t="s">
        <v>25</v>
      </c>
      <c r="AA3" s="68" t="s">
        <v>26</v>
      </c>
      <c r="AB3" s="68" t="s">
        <v>27</v>
      </c>
      <c r="AC3" s="68" t="s">
        <v>28</v>
      </c>
    </row>
    <row r="4" spans="2:29" ht="27.95" customHeight="1">
      <c r="B4" s="227" t="s">
        <v>29</v>
      </c>
      <c r="C4" s="170" t="s">
        <v>30</v>
      </c>
      <c r="D4" s="146" t="s">
        <v>31</v>
      </c>
      <c r="E4" s="146" t="s">
        <v>32</v>
      </c>
      <c r="F4" s="146" t="s">
        <v>33</v>
      </c>
      <c r="G4" s="147">
        <f>'Initiatives Summary'!$C45*2/3</f>
        <v>179.72604999999999</v>
      </c>
      <c r="H4" s="147">
        <f>'Initiatives Summary'!$AQ45*50%</f>
        <v>560.63216124999997</v>
      </c>
      <c r="I4" s="147">
        <f>'1.1 Core Markets Visibility'!$E7*40%</f>
        <v>640.72247000000016</v>
      </c>
      <c r="J4" s="147">
        <f>G4*'1.1 Core Markets Visibility'!$K$17+'1.1 Core Markets Visibility'!K20+'1.1 Core Markets Visibility'!K26+'1.1 Core Markets Visibility'!K25</f>
        <v>-0.98902550000001455</v>
      </c>
      <c r="K4" s="147">
        <f>H4*'1.1 Core Markets Visibility'!$M$17+'1.1 Core Markets Visibility'!M20+'1.1 Core Markets Visibility'!M26+'1.1 Core Markets Visibility'!M25</f>
        <v>194.58877916874985</v>
      </c>
      <c r="L4" s="147">
        <f>I4*'1.1 Core Markets Visibility'!$E$17+'1.1 Core Markets Visibility'!E20+'1.1 Core Markets Visibility'!E26+'1.1 Core Markets Visibility'!E25</f>
        <v>211.80819554999994</v>
      </c>
      <c r="M4" s="147">
        <f>'1.1 Core Markets Visibility'!K20</f>
        <v>-120</v>
      </c>
      <c r="N4" s="145" t="str">
        <f>IF(OR(I4&gt;1000,L4&gt;500),"High",IF(OR(I4&gt;500,L4&gt;250),"Medium","Low"))</f>
        <v>Medium</v>
      </c>
      <c r="O4" s="145" t="s">
        <v>34</v>
      </c>
      <c r="P4" s="145" t="s">
        <v>35</v>
      </c>
      <c r="Q4" s="145" t="s">
        <v>36</v>
      </c>
      <c r="R4" s="148">
        <v>46023</v>
      </c>
      <c r="S4" s="148">
        <f>R4+6*30</f>
        <v>46203</v>
      </c>
      <c r="T4" s="146" t="s">
        <v>37</v>
      </c>
      <c r="Y4" s="147">
        <f ca="1">INDEX('1.1 Core Markets Visibility'!$AG$6:$AT$15, 1, MATCH( $D$1, '1.1 Core Markets Visibility'!$AG$4:$AT$4, 0))</f>
        <v>0</v>
      </c>
      <c r="AA4" s="147">
        <f ca="1">INDEX('1.1 Core Markets Visibility'!$AG$6:$AT$15, 9, MATCH( $D$1, '1.1 Core Markets Visibility'!$AG$4:$AT$4, 0))</f>
        <v>0</v>
      </c>
      <c r="AC4" s="147"/>
    </row>
    <row r="5" spans="2:29" ht="27.95" customHeight="1">
      <c r="B5" s="228"/>
      <c r="C5" s="171" t="s">
        <v>38</v>
      </c>
      <c r="D5" s="158" t="s">
        <v>31</v>
      </c>
      <c r="E5" s="158" t="s">
        <v>32</v>
      </c>
      <c r="F5" s="158" t="s">
        <v>33</v>
      </c>
      <c r="G5" s="159">
        <f>'Initiatives Summary'!$C45*1/3</f>
        <v>89.863024999999993</v>
      </c>
      <c r="H5" s="159">
        <f>'Initiatives Summary'!$AQ45*50%</f>
        <v>560.63216124999997</v>
      </c>
      <c r="I5" s="159">
        <f>'1.1 Core Markets Visibility'!$E7*60%</f>
        <v>961.08370500000001</v>
      </c>
      <c r="J5" s="159">
        <f>'Initiatives Summary'!$C68-J4</f>
        <v>-467.41505899999999</v>
      </c>
      <c r="K5" s="159">
        <f>'Initiatives Summary'!$AQ68-K4</f>
        <v>-199.99378858125019</v>
      </c>
      <c r="L5" s="159">
        <f>'1.1 Core Markets Visibility'!E28-L4</f>
        <v>126.37421957499976</v>
      </c>
      <c r="M5" s="159">
        <f>'Initiatives Summary'!$C77-M4</f>
        <v>-325.73999999999995</v>
      </c>
      <c r="N5" s="160" t="str">
        <f>IF(OR(I5&gt;1000,L5&gt;500),"High",IF(OR(I5&gt;500,L5&gt;250),"Medium","Low"))</f>
        <v>Medium</v>
      </c>
      <c r="O5" s="160" t="s">
        <v>34</v>
      </c>
      <c r="P5" s="160" t="s">
        <v>39</v>
      </c>
      <c r="Q5" s="160" t="s">
        <v>36</v>
      </c>
      <c r="R5" s="161">
        <v>46023</v>
      </c>
      <c r="S5" s="161">
        <f>R5+6*30</f>
        <v>46203</v>
      </c>
      <c r="T5" s="158" t="s">
        <v>37</v>
      </c>
      <c r="U5" s="175" t="s">
        <v>40</v>
      </c>
      <c r="V5" s="175"/>
      <c r="W5" s="175" t="s">
        <v>41</v>
      </c>
      <c r="X5" s="175"/>
      <c r="Y5" s="159">
        <f ca="1">INDEX('1.1 Core Markets Visibility'!$AG$6:$AT$15, 2, MATCH( $D$1, '1.1 Core Markets Visibility'!$AG$4:$AT$4, 0))</f>
        <v>0</v>
      </c>
      <c r="Z5" s="176"/>
      <c r="AA5" s="159">
        <f ca="1">INDEX('1.1 Core Markets Visibility'!$AG$6:$AT$15, 10, MATCH( $D$1, '1.1 Core Markets Visibility'!$AG$4:$AT$4, 0))</f>
        <v>0</v>
      </c>
      <c r="AB5" s="176"/>
      <c r="AC5" s="159">
        <v>6</v>
      </c>
    </row>
    <row r="6" spans="2:29" ht="27.95" customHeight="1">
      <c r="B6" s="162" t="s">
        <v>42</v>
      </c>
      <c r="C6" s="172" t="s">
        <v>43</v>
      </c>
      <c r="D6" s="162" t="s">
        <v>31</v>
      </c>
      <c r="E6" s="162" t="s">
        <v>32</v>
      </c>
      <c r="F6" s="162" t="s">
        <v>33</v>
      </c>
      <c r="G6" s="163">
        <f>'Initiatives Summary'!$D45</f>
        <v>84</v>
      </c>
      <c r="H6" s="163">
        <f>'Initiatives Summary'!$AR45</f>
        <v>644</v>
      </c>
      <c r="I6" s="163">
        <f>'1.2 Core Markets Team expansion'!$E7</f>
        <v>920</v>
      </c>
      <c r="J6" s="163">
        <f>'Initiatives Summary'!$D68</f>
        <v>-72.84</v>
      </c>
      <c r="K6" s="163">
        <f>'Initiatives Summary'!$AR68</f>
        <v>293.25999999999976</v>
      </c>
      <c r="L6" s="163">
        <f>'1.2 Core Markets Team expansion'!$E28</f>
        <v>490.5999999999998</v>
      </c>
      <c r="M6" s="163">
        <f>'Initiatives Summary'!$D77</f>
        <v>-71.7</v>
      </c>
      <c r="N6" s="164" t="str">
        <f t="shared" ref="N6:N35" si="0">IF(OR(I6&gt;1000,L6&gt;500),"High",IF(OR(I6&gt;500,L6&gt;250),"Medium","Low"))</f>
        <v>Medium</v>
      </c>
      <c r="O6" s="164" t="s">
        <v>39</v>
      </c>
      <c r="P6" s="164" t="s">
        <v>35</v>
      </c>
      <c r="Q6" s="164" t="s">
        <v>36</v>
      </c>
      <c r="R6" s="165">
        <v>46113</v>
      </c>
      <c r="S6" s="165">
        <f>R6+6*30</f>
        <v>46293</v>
      </c>
      <c r="T6" s="162" t="s">
        <v>37</v>
      </c>
      <c r="U6" s="177"/>
      <c r="V6" s="177"/>
      <c r="W6" s="177"/>
      <c r="X6" s="177"/>
      <c r="Y6" s="159">
        <f ca="1">INDEX('1.2 Core Markets Team expansion'!$AH$7:$AU$11, 1, MATCH($D$1, '1.2 Core Markets Team expansion'!$AH$4:$AU$4, 0))</f>
        <v>0</v>
      </c>
      <c r="Z6" s="178"/>
      <c r="AA6" s="159">
        <f ca="1">INDEX('1.2 Core Markets Team expansion'!$AH$7:$AU$11, 5, MATCH($D$1, '1.2 Core Markets Team expansion'!$AH$4:$AU$4, 0))</f>
        <v>0</v>
      </c>
      <c r="AB6" s="178"/>
      <c r="AC6" s="178"/>
    </row>
    <row r="7" spans="2:29" ht="27.95" customHeight="1">
      <c r="B7" s="229" t="s">
        <v>44</v>
      </c>
      <c r="C7" s="173" t="s">
        <v>45</v>
      </c>
      <c r="D7" s="166" t="s">
        <v>46</v>
      </c>
      <c r="E7" s="166" t="s">
        <v>47</v>
      </c>
      <c r="F7" s="166" t="s">
        <v>48</v>
      </c>
      <c r="G7" s="167">
        <f>'2.1 Mark Wuttke Contact Book'!C46*20%</f>
        <v>200</v>
      </c>
      <c r="H7" s="167">
        <f>'2.1 Mark Wuttke Contact Book'!E46*20%</f>
        <v>400</v>
      </c>
      <c r="I7" s="167">
        <f>'2.1 Mark Wuttke Contact Book'!E46</f>
        <v>2000</v>
      </c>
      <c r="J7" s="167">
        <f>G7*'2.1 Mark Wuttke Contact Book'!K$29</f>
        <v>101.28397018644635</v>
      </c>
      <c r="K7" s="167">
        <f>H7*'2.1 Mark Wuttke Contact Book'!M$29</f>
        <v>217.09176712142008</v>
      </c>
      <c r="L7" s="167">
        <f>I7*'2.1 Mark Wuttke Contact Book'!E$29</f>
        <v>1181.1173940037495</v>
      </c>
      <c r="M7" s="232">
        <f>'Initiatives Summary'!$E77</f>
        <v>-95.121505718500003</v>
      </c>
      <c r="N7" s="145" t="str">
        <f t="shared" si="0"/>
        <v>High</v>
      </c>
      <c r="O7" s="145" t="s">
        <v>35</v>
      </c>
      <c r="P7" s="145" t="s">
        <v>34</v>
      </c>
      <c r="Q7" s="145" t="s">
        <v>49</v>
      </c>
      <c r="R7" s="148">
        <v>45839</v>
      </c>
      <c r="S7" s="148">
        <v>46174</v>
      </c>
      <c r="T7" s="146" t="s">
        <v>50</v>
      </c>
      <c r="Y7" s="147">
        <f ca="1">INDEX('2.1 Mark Wuttke Contact Book'!$AH$6:$AU$21,1,MATCH($D$1,'2.1 Mark Wuttke Contact Book'!$AH$4:$AU$4,0))</f>
        <v>0</v>
      </c>
      <c r="AA7" s="232">
        <f ca="1">INDEX('2.1 Mark Wuttke Contact Book'!$AH$6:$AU$21,16,MATCH($D$1,'2.1 Mark Wuttke Contact Book'!$AH$4:$AU$4,0))</f>
        <v>43</v>
      </c>
      <c r="AB7" s="235"/>
      <c r="AC7" s="235"/>
    </row>
    <row r="8" spans="2:29" ht="27.95" customHeight="1">
      <c r="B8" s="230"/>
      <c r="C8" s="170" t="s">
        <v>51</v>
      </c>
      <c r="D8" s="146" t="s">
        <v>46</v>
      </c>
      <c r="E8" s="146" t="s">
        <v>47</v>
      </c>
      <c r="F8" s="146" t="s">
        <v>48</v>
      </c>
      <c r="G8" s="147">
        <f>'2.1 Mark Wuttke Contact Book'!C47*40%</f>
        <v>600</v>
      </c>
      <c r="H8" s="147">
        <f>'2.1 Mark Wuttke Contact Book'!E47*36%+30</f>
        <v>2370</v>
      </c>
      <c r="I8" s="147">
        <f>'2.1 Mark Wuttke Contact Book'!E47</f>
        <v>6500</v>
      </c>
      <c r="J8" s="147">
        <f>G8*'2.1 Mark Wuttke Contact Book'!K$29</f>
        <v>303.85191055933905</v>
      </c>
      <c r="K8" s="147">
        <f>H8*'2.1 Mark Wuttke Contact Book'!M$29</f>
        <v>1286.2687201944141</v>
      </c>
      <c r="L8" s="147">
        <f>I8*'2.1 Mark Wuttke Contact Book'!E$29</f>
        <v>3838.6315305121861</v>
      </c>
      <c r="M8" s="233"/>
      <c r="N8" s="145" t="str">
        <f t="shared" ref="N8:N12" si="1">IF(OR(I8&gt;1000,L8&gt;500),"High",IF(OR(I8&gt;500,L8&gt;250),"Medium","Low"))</f>
        <v>High</v>
      </c>
      <c r="O8" s="145" t="s">
        <v>35</v>
      </c>
      <c r="P8" s="145" t="s">
        <v>34</v>
      </c>
      <c r="Q8" s="145" t="s">
        <v>52</v>
      </c>
      <c r="R8" s="148">
        <v>45839</v>
      </c>
      <c r="S8" s="148">
        <v>46082</v>
      </c>
      <c r="T8" s="146" t="s">
        <v>53</v>
      </c>
      <c r="Y8" s="147">
        <f ca="1">INDEX('2.1 Mark Wuttke Contact Book'!$AH$6:$AU$21,2,MATCH($D$1,'2.1 Mark Wuttke Contact Book'!$AH$4:$AU$4,0))</f>
        <v>0</v>
      </c>
      <c r="AA8" s="233"/>
      <c r="AB8" s="236"/>
      <c r="AC8" s="236"/>
    </row>
    <row r="9" spans="2:29" ht="27.95" customHeight="1">
      <c r="B9" s="230"/>
      <c r="C9" s="170" t="s">
        <v>54</v>
      </c>
      <c r="D9" s="146" t="s">
        <v>46</v>
      </c>
      <c r="E9" s="146" t="s">
        <v>47</v>
      </c>
      <c r="F9" s="146" t="s">
        <v>48</v>
      </c>
      <c r="G9" s="147">
        <f>'2.1 Mark Wuttke Contact Book'!C48*40%</f>
        <v>400</v>
      </c>
      <c r="H9" s="147">
        <f>'2.1 Mark Wuttke Contact Book'!E48*40%</f>
        <v>800</v>
      </c>
      <c r="I9" s="147">
        <f>'2.1 Mark Wuttke Contact Book'!E48</f>
        <v>2000</v>
      </c>
      <c r="J9" s="147">
        <f>G9*'2.1 Mark Wuttke Contact Book'!K$29</f>
        <v>202.56794037289271</v>
      </c>
      <c r="K9" s="147">
        <f>H9*'2.1 Mark Wuttke Contact Book'!M$29</f>
        <v>434.18353424284015</v>
      </c>
      <c r="L9" s="147">
        <f>I9*'2.1 Mark Wuttke Contact Book'!E$29</f>
        <v>1181.1173940037495</v>
      </c>
      <c r="M9" s="233"/>
      <c r="N9" s="145" t="str">
        <f t="shared" si="1"/>
        <v>High</v>
      </c>
      <c r="O9" s="145" t="s">
        <v>35</v>
      </c>
      <c r="P9" s="145" t="s">
        <v>34</v>
      </c>
      <c r="Q9" s="145" t="s">
        <v>52</v>
      </c>
      <c r="R9" s="148">
        <v>45839</v>
      </c>
      <c r="S9" s="148">
        <v>46082</v>
      </c>
      <c r="T9" s="146" t="s">
        <v>53</v>
      </c>
      <c r="Y9" s="147">
        <f ca="1">INDEX('2.1 Mark Wuttke Contact Book'!$AH$6:$AU$21,3,MATCH($D$1,'2.1 Mark Wuttke Contact Book'!$AH$4:$AU$4,0))</f>
        <v>0</v>
      </c>
      <c r="AA9" s="233"/>
      <c r="AB9" s="236"/>
      <c r="AC9" s="236"/>
    </row>
    <row r="10" spans="2:29" ht="27.95" customHeight="1">
      <c r="B10" s="230"/>
      <c r="C10" s="170" t="s">
        <v>55</v>
      </c>
      <c r="D10" s="146" t="s">
        <v>46</v>
      </c>
      <c r="E10" s="146" t="s">
        <v>47</v>
      </c>
      <c r="F10" s="146" t="s">
        <v>48</v>
      </c>
      <c r="G10" s="147">
        <f>'2.1 Mark Wuttke Contact Book'!C49*20%</f>
        <v>100</v>
      </c>
      <c r="H10" s="147">
        <f>'2.1 Mark Wuttke Contact Book'!E49*20%</f>
        <v>200</v>
      </c>
      <c r="I10" s="147">
        <f>'2.1 Mark Wuttke Contact Book'!E49</f>
        <v>1000</v>
      </c>
      <c r="J10" s="147">
        <f>G10*'2.1 Mark Wuttke Contact Book'!K$29</f>
        <v>50.641985093223177</v>
      </c>
      <c r="K10" s="147">
        <f>H10*'2.1 Mark Wuttke Contact Book'!M$29</f>
        <v>108.54588356071004</v>
      </c>
      <c r="L10" s="147">
        <f>I10*'2.1 Mark Wuttke Contact Book'!E$29</f>
        <v>590.55869700187475</v>
      </c>
      <c r="M10" s="233"/>
      <c r="N10" s="145" t="str">
        <f t="shared" si="1"/>
        <v>High</v>
      </c>
      <c r="O10" s="145" t="s">
        <v>39</v>
      </c>
      <c r="P10" s="145" t="s">
        <v>34</v>
      </c>
      <c r="Q10" s="145" t="s">
        <v>52</v>
      </c>
      <c r="R10" s="148">
        <v>45839</v>
      </c>
      <c r="S10" s="148">
        <v>46082</v>
      </c>
      <c r="T10" s="146" t="s">
        <v>56</v>
      </c>
      <c r="Y10" s="147">
        <f ca="1">INDEX('2.1 Mark Wuttke Contact Book'!$AH$6:$AU$21,4,MATCH($D$1,'2.1 Mark Wuttke Contact Book'!$AH$4:$AU$4,0))</f>
        <v>0</v>
      </c>
      <c r="AA10" s="233"/>
      <c r="AB10" s="236"/>
      <c r="AC10" s="236"/>
    </row>
    <row r="11" spans="2:29" ht="27.95" customHeight="1">
      <c r="B11" s="230"/>
      <c r="C11" s="170" t="s">
        <v>57</v>
      </c>
      <c r="D11" s="146" t="s">
        <v>46</v>
      </c>
      <c r="E11" s="146" t="s">
        <v>47</v>
      </c>
      <c r="F11" s="146" t="s">
        <v>48</v>
      </c>
      <c r="G11" s="147">
        <f>'2.1 Mark Wuttke Contact Book'!C51*30*(1+'2.1 Mark Wuttke Contact Book'!$H$7)</f>
        <v>19.799999999999997</v>
      </c>
      <c r="H11" s="147">
        <f>('2.1 Mark Wuttke Contact Book'!E51*30+'2.1 Mark Wuttke Contact Book'!D51*50+'2.1 Mark Wuttke Contact Book'!C51*55)*(1+'2.1 Mark Wuttke Contact Book'!$H$7)</f>
        <v>89.1</v>
      </c>
      <c r="I11" s="147">
        <f>('2.1 Mark Wuttke Contact Book'!E51*30+'2.1 Mark Wuttke Contact Book'!D51*50+'2.1 Mark Wuttke Contact Book'!C51*55)</f>
        <v>270</v>
      </c>
      <c r="J11" s="147">
        <f>G11*'2.1 Mark Wuttke Contact Book'!K$29</f>
        <v>10.027113048458187</v>
      </c>
      <c r="K11" s="147">
        <f>H11*'2.1 Mark Wuttke Contact Book'!M$29</f>
        <v>48.357191126296321</v>
      </c>
      <c r="L11" s="147">
        <f>I11*'2.1 Mark Wuttke Contact Book'!E$29</f>
        <v>159.45084819050621</v>
      </c>
      <c r="M11" s="233"/>
      <c r="N11" s="145" t="str">
        <f t="shared" si="1"/>
        <v>Low</v>
      </c>
      <c r="O11" s="145" t="s">
        <v>39</v>
      </c>
      <c r="P11" s="145" t="s">
        <v>39</v>
      </c>
      <c r="Q11" s="145" t="s">
        <v>52</v>
      </c>
      <c r="R11" s="148">
        <v>45839</v>
      </c>
      <c r="S11" s="148">
        <v>46082</v>
      </c>
      <c r="T11" s="146" t="s">
        <v>56</v>
      </c>
      <c r="Y11" s="147">
        <f ca="1">INDEX('2.1 Mark Wuttke Contact Book'!$AH$6:$AU$21,5,MATCH($D$1,'2.1 Mark Wuttke Contact Book'!$AH$4:$AU$4,0))</f>
        <v>0</v>
      </c>
      <c r="AA11" s="233"/>
      <c r="AB11" s="236"/>
      <c r="AC11" s="236"/>
    </row>
    <row r="12" spans="2:29" ht="27.95" customHeight="1">
      <c r="B12" s="231"/>
      <c r="C12" s="171" t="s">
        <v>58</v>
      </c>
      <c r="D12" s="158" t="s">
        <v>46</v>
      </c>
      <c r="E12" s="158" t="s">
        <v>47</v>
      </c>
      <c r="F12" s="158" t="s">
        <v>48</v>
      </c>
      <c r="G12" s="159">
        <f>'2.1 Mark Wuttke Contact Book'!K7-SUM('Initiative Log - Detailed'!G7:G11)</f>
        <v>29.734095799999977</v>
      </c>
      <c r="H12" s="159">
        <f>'2.1 Mark Wuttke Contact Book'!M7-SUM('Initiative Log - Detailed'!H7:H11)</f>
        <v>40.185189447999619</v>
      </c>
      <c r="I12" s="159">
        <f>'2.1 Mark Wuttke Contact Book'!E7-SUM(I7:I11)</f>
        <v>46.015725600000223</v>
      </c>
      <c r="J12" s="159">
        <f>G12*'2.1 Mark Wuttke Contact Book'!K$29</f>
        <v>15.057936362640687</v>
      </c>
      <c r="K12" s="159">
        <f>H12*'2.1 Mark Wuttke Contact Book'!M$29</f>
        <v>21.809684473438203</v>
      </c>
      <c r="L12" s="159">
        <f>I12*'2.1 Mark Wuttke Contact Book'!E$29</f>
        <v>27.174986951931945</v>
      </c>
      <c r="M12" s="234"/>
      <c r="N12" s="160" t="str">
        <f t="shared" si="1"/>
        <v>Low</v>
      </c>
      <c r="O12" s="160" t="s">
        <v>34</v>
      </c>
      <c r="P12" s="160" t="s">
        <v>35</v>
      </c>
      <c r="Q12" s="160" t="s">
        <v>52</v>
      </c>
      <c r="R12" s="161">
        <v>45839</v>
      </c>
      <c r="S12" s="161">
        <v>46082</v>
      </c>
      <c r="T12" s="158" t="s">
        <v>53</v>
      </c>
      <c r="U12" s="175"/>
      <c r="V12" s="175"/>
      <c r="W12" s="175"/>
      <c r="X12" s="175"/>
      <c r="Y12" s="159">
        <f ca="1">INDEX('2.1 Mark Wuttke Contact Book'!$AH$6:$AU$21,6,MATCH($D$1,'2.1 Mark Wuttke Contact Book'!$AH$4:$AU$4,0))</f>
        <v>0</v>
      </c>
      <c r="Z12" s="176"/>
      <c r="AA12" s="234"/>
      <c r="AB12" s="237"/>
      <c r="AC12" s="237"/>
    </row>
    <row r="13" spans="2:29" ht="27.95" customHeight="1">
      <c r="B13" s="229" t="s">
        <v>59</v>
      </c>
      <c r="C13" s="173" t="s">
        <v>60</v>
      </c>
      <c r="D13" s="166" t="s">
        <v>46</v>
      </c>
      <c r="E13" s="166" t="s">
        <v>47</v>
      </c>
      <c r="F13" s="166" t="s">
        <v>61</v>
      </c>
      <c r="G13" s="167">
        <f>'2.2 Jaime Contact Book'!C46*(1+'2.2 Jaime Contact Book'!$H$7)</f>
        <v>510</v>
      </c>
      <c r="H13" s="167">
        <f>'2.2 Jaime Contact Book'!E46*(1+'2.2 Jaime Contact Book'!$H$7)</f>
        <v>900</v>
      </c>
      <c r="I13" s="167">
        <f>'2.2 Jaime Contact Book'!E46</f>
        <v>1500</v>
      </c>
      <c r="J13" s="167">
        <f>G13*'2.2 Jaime Contact Book'!K$29</f>
        <v>244.78747613970233</v>
      </c>
      <c r="K13" s="167">
        <f>H13*'2.2 Jaime Contact Book'!M$29</f>
        <v>467.91784634530762</v>
      </c>
      <c r="L13" s="167">
        <f>I13*'2.2 Jaime Contact Book'!E$29</f>
        <v>814.36442457568717</v>
      </c>
      <c r="M13" s="232">
        <f>'Initiatives Summary'!$F77</f>
        <v>-166.79622945</v>
      </c>
      <c r="N13" s="145" t="str">
        <f t="shared" si="0"/>
        <v>High</v>
      </c>
      <c r="O13" s="145" t="s">
        <v>35</v>
      </c>
      <c r="P13" s="145" t="s">
        <v>39</v>
      </c>
      <c r="Q13" s="145" t="s">
        <v>52</v>
      </c>
      <c r="R13" s="148">
        <v>45839</v>
      </c>
      <c r="S13" s="148">
        <v>46082</v>
      </c>
      <c r="T13" s="146" t="s">
        <v>53</v>
      </c>
      <c r="Y13" s="147">
        <f ca="1">INDEX('2.2 Jaime Contact Book'!$AH$6:$AU$20, 1, MATCH($D$1, '2.2 Jaime Contact Book'!$AH$4:$AU$4, 0))</f>
        <v>0</v>
      </c>
      <c r="AA13" s="232">
        <f ca="1">INDEX('2.2 Jaime Contact Book'!$AH$6:$AU$20, 15, MATCH($D$1, '2.2 Jaime Contact Book'!$AH$4:$AU$4, 0))</f>
        <v>24</v>
      </c>
      <c r="AB13" s="235"/>
      <c r="AC13" s="235"/>
    </row>
    <row r="14" spans="2:29" ht="27.95" customHeight="1">
      <c r="B14" s="230"/>
      <c r="C14" s="170" t="s">
        <v>62</v>
      </c>
      <c r="D14" s="146" t="s">
        <v>46</v>
      </c>
      <c r="E14" s="146" t="s">
        <v>47</v>
      </c>
      <c r="F14" s="146" t="s">
        <v>61</v>
      </c>
      <c r="G14" s="147">
        <f>'2.2 Jaime Contact Book'!C47*(1+'2.2 Jaime Contact Book'!$H$7)</f>
        <v>300</v>
      </c>
      <c r="H14" s="147">
        <f>'2.2 Jaime Contact Book'!E47*(1+'2.2 Jaime Contact Book'!$H$7)</f>
        <v>1200</v>
      </c>
      <c r="I14" s="147">
        <f>'2.2 Jaime Contact Book'!E47</f>
        <v>2000</v>
      </c>
      <c r="J14" s="147">
        <f>G14*'2.2 Jaime Contact Book'!K$29</f>
        <v>143.9926330233543</v>
      </c>
      <c r="K14" s="147">
        <f>H14*'2.2 Jaime Contact Book'!M$29</f>
        <v>623.8904617937435</v>
      </c>
      <c r="L14" s="147">
        <f>I14*'2.2 Jaime Contact Book'!E$29</f>
        <v>1085.8192327675829</v>
      </c>
      <c r="M14" s="233"/>
      <c r="N14" s="145" t="str">
        <f t="shared" ref="N14:N17" si="2">IF(OR(I14&gt;1000,L14&gt;500),"High",IF(OR(I14&gt;500,L14&gt;250),"Medium","Low"))</f>
        <v>High</v>
      </c>
      <c r="O14" s="145" t="s">
        <v>35</v>
      </c>
      <c r="P14" s="145" t="s">
        <v>39</v>
      </c>
      <c r="Q14" s="145" t="s">
        <v>52</v>
      </c>
      <c r="R14" s="148">
        <v>45839</v>
      </c>
      <c r="S14" s="148">
        <v>46082</v>
      </c>
      <c r="T14" s="146" t="s">
        <v>53</v>
      </c>
      <c r="Y14" s="147">
        <f ca="1">INDEX('2.2 Jaime Contact Book'!$AH$6:$AU$20, 2, MATCH($D$1, '2.2 Jaime Contact Book'!$AH$4:$AU$4, 0))</f>
        <v>0</v>
      </c>
      <c r="AA14" s="233"/>
      <c r="AB14" s="236"/>
      <c r="AC14" s="236"/>
    </row>
    <row r="15" spans="2:29" ht="27.95" customHeight="1">
      <c r="B15" s="230"/>
      <c r="C15" s="170" t="s">
        <v>63</v>
      </c>
      <c r="D15" s="146" t="s">
        <v>46</v>
      </c>
      <c r="E15" s="146" t="s">
        <v>47</v>
      </c>
      <c r="F15" s="146" t="s">
        <v>61</v>
      </c>
      <c r="G15" s="147">
        <f>'2.2 Jaime Contact Book'!C48*(1+'2.2 Jaime Contact Book'!$H$7)</f>
        <v>3</v>
      </c>
      <c r="H15" s="147">
        <f>'2.2 Jaime Contact Book'!E48*(1+'2.2 Jaime Contact Book'!$H$7)</f>
        <v>450</v>
      </c>
      <c r="I15" s="147">
        <f>'2.2 Jaime Contact Book'!E48</f>
        <v>750</v>
      </c>
      <c r="J15" s="147">
        <f>G15*'2.2 Jaime Contact Book'!K$29</f>
        <v>1.439926330233543</v>
      </c>
      <c r="K15" s="147">
        <f>H15*'2.2 Jaime Contact Book'!M$29</f>
        <v>233.95892317265381</v>
      </c>
      <c r="L15" s="147">
        <f>I15*'2.2 Jaime Contact Book'!E$29</f>
        <v>407.18221228784358</v>
      </c>
      <c r="M15" s="233"/>
      <c r="N15" s="145" t="str">
        <f t="shared" si="2"/>
        <v>Medium</v>
      </c>
      <c r="O15" s="145" t="s">
        <v>39</v>
      </c>
      <c r="P15" s="145" t="s">
        <v>34</v>
      </c>
      <c r="Q15" s="145" t="s">
        <v>52</v>
      </c>
      <c r="R15" s="148">
        <v>45839</v>
      </c>
      <c r="S15" s="148">
        <v>46266</v>
      </c>
      <c r="T15" s="146" t="s">
        <v>56</v>
      </c>
      <c r="Y15" s="147">
        <f ca="1">INDEX('2.2 Jaime Contact Book'!$AH$6:$AU$20, 3, MATCH($D$1, '2.2 Jaime Contact Book'!$AH$4:$AU$4, 0))</f>
        <v>0</v>
      </c>
      <c r="AA15" s="233"/>
      <c r="AB15" s="236"/>
      <c r="AC15" s="236"/>
    </row>
    <row r="16" spans="2:29" ht="27.95" customHeight="1">
      <c r="B16" s="230"/>
      <c r="C16" s="170" t="s">
        <v>64</v>
      </c>
      <c r="D16" s="146" t="s">
        <v>46</v>
      </c>
      <c r="E16" s="146" t="s">
        <v>47</v>
      </c>
      <c r="F16" s="146" t="s">
        <v>61</v>
      </c>
      <c r="G16" s="147">
        <f>'2.2 Jaime Contact Book'!C49*(1+'2.2 Jaime Contact Book'!$H$7)</f>
        <v>30</v>
      </c>
      <c r="H16" s="147">
        <f>'2.2 Jaime Contact Book'!E49*(1+'2.2 Jaime Contact Book'!$H$7)</f>
        <v>210</v>
      </c>
      <c r="I16" s="147">
        <f>'2.2 Jaime Contact Book'!E49</f>
        <v>350</v>
      </c>
      <c r="J16" s="147">
        <f>G16*'2.2 Jaime Contact Book'!K$29</f>
        <v>14.399263302335431</v>
      </c>
      <c r="K16" s="147">
        <f>H16*'2.2 Jaime Contact Book'!M$29</f>
        <v>109.1808308139051</v>
      </c>
      <c r="L16" s="147">
        <f>I16*'2.2 Jaime Contact Book'!E$29</f>
        <v>190.01836573432701</v>
      </c>
      <c r="M16" s="233"/>
      <c r="N16" s="145" t="str">
        <f t="shared" si="2"/>
        <v>Low</v>
      </c>
      <c r="O16" s="145" t="s">
        <v>39</v>
      </c>
      <c r="P16" s="145" t="s">
        <v>34</v>
      </c>
      <c r="Q16" s="145" t="s">
        <v>52</v>
      </c>
      <c r="R16" s="148">
        <v>45839</v>
      </c>
      <c r="S16" s="148">
        <v>46266</v>
      </c>
      <c r="T16" s="146" t="s">
        <v>56</v>
      </c>
      <c r="Y16" s="147">
        <f ca="1">INDEX('2.2 Jaime Contact Book'!$AH$6:$AU$20, 4, MATCH($D$1, '2.2 Jaime Contact Book'!$AH$4:$AU$4, 0))</f>
        <v>0</v>
      </c>
      <c r="AA16" s="233"/>
      <c r="AB16" s="236"/>
      <c r="AC16" s="236"/>
    </row>
    <row r="17" spans="2:29" ht="27.95" customHeight="1">
      <c r="B17" s="231"/>
      <c r="C17" s="171" t="s">
        <v>65</v>
      </c>
      <c r="D17" s="158" t="s">
        <v>46</v>
      </c>
      <c r="E17" s="158" t="s">
        <v>47</v>
      </c>
      <c r="F17" s="158" t="s">
        <v>61</v>
      </c>
      <c r="G17" s="159">
        <f>'2.2 Jaime Contact Book'!K7-SUM(G13:G16)</f>
        <v>8.8491780000000517</v>
      </c>
      <c r="H17" s="159">
        <f>'2.2 Jaime Contact Book'!M7-SUM(H13:H16)</f>
        <v>13.804717680000067</v>
      </c>
      <c r="I17" s="159">
        <f>'2.2 Jaime Contact Book'!E7-SUM(I13:I16)</f>
        <v>23.007862800000112</v>
      </c>
      <c r="J17" s="159">
        <f>G17*'2.2 Jaime Contact Book'!K$29</f>
        <v>4.2473881343744928</v>
      </c>
      <c r="K17" s="159">
        <f>H17*'2.2 Jaime Contact Book'!M$29</f>
        <v>7.1771930735895806</v>
      </c>
      <c r="L17" s="159">
        <f>I17*'2.2 Jaime Contact Book'!E$29</f>
        <v>12.491189966558967</v>
      </c>
      <c r="M17" s="234"/>
      <c r="N17" s="160" t="str">
        <f t="shared" si="2"/>
        <v>Low</v>
      </c>
      <c r="O17" s="160" t="s">
        <v>39</v>
      </c>
      <c r="P17" s="160" t="s">
        <v>35</v>
      </c>
      <c r="Q17" s="160" t="s">
        <v>52</v>
      </c>
      <c r="R17" s="161">
        <v>45839</v>
      </c>
      <c r="S17" s="161">
        <v>46082</v>
      </c>
      <c r="T17" s="158" t="s">
        <v>53</v>
      </c>
      <c r="U17" s="175"/>
      <c r="V17" s="175"/>
      <c r="W17" s="175"/>
      <c r="X17" s="175"/>
      <c r="Y17" s="159">
        <f ca="1">INDEX('2.2 Jaime Contact Book'!$AH$6:$AU$20, 5, MATCH($D$1, '2.2 Jaime Contact Book'!$AH$4:$AU$4, 0))</f>
        <v>0</v>
      </c>
      <c r="Z17" s="176"/>
      <c r="AA17" s="234"/>
      <c r="AB17" s="237"/>
      <c r="AC17" s="237"/>
    </row>
    <row r="18" spans="2:29" ht="27.95" customHeight="1">
      <c r="B18" s="229" t="s">
        <v>66</v>
      </c>
      <c r="C18" s="173" t="s">
        <v>67</v>
      </c>
      <c r="D18" s="166" t="s">
        <v>46</v>
      </c>
      <c r="E18" s="166" t="s">
        <v>47</v>
      </c>
      <c r="F18" s="166" t="s">
        <v>33</v>
      </c>
      <c r="G18" s="167">
        <f>'Initiatives Summary'!$G45*2/3</f>
        <v>60.432054666666659</v>
      </c>
      <c r="H18" s="167">
        <f>'Initiatives Summary'!$AU45*50%</f>
        <v>313.60550395999996</v>
      </c>
      <c r="I18" s="167">
        <f>'2.3 US Visibility'!$E7*40%</f>
        <v>358.40629024000003</v>
      </c>
      <c r="J18" s="167">
        <f>G18*'2.3 US Visibility'!K$17+'2.3 US Visibility'!K20</f>
        <v>-32.862997360000008</v>
      </c>
      <c r="K18" s="167">
        <f>H18*'2.3 US Visibility'!M$17+'2.3 US Visibility'!M20</f>
        <v>149.3803206085999</v>
      </c>
      <c r="L18" s="167">
        <f>I18*'2.3 US Visibility'!E$17+'2.3 US Visibility'!E20</f>
        <v>184.54893783839992</v>
      </c>
      <c r="M18" s="167">
        <f>'2.3 US Visibility'!K20</f>
        <v>-80</v>
      </c>
      <c r="N18" s="168" t="str">
        <f t="shared" si="0"/>
        <v>Low</v>
      </c>
      <c r="O18" s="168" t="s">
        <v>39</v>
      </c>
      <c r="P18" s="168" t="s">
        <v>35</v>
      </c>
      <c r="Q18" s="168" t="s">
        <v>36</v>
      </c>
      <c r="R18" s="169">
        <v>46023</v>
      </c>
      <c r="S18" s="169">
        <f>R18+6*30</f>
        <v>46203</v>
      </c>
      <c r="T18" s="166" t="s">
        <v>37</v>
      </c>
    </row>
    <row r="19" spans="2:29" ht="27.95" customHeight="1">
      <c r="B19" s="231"/>
      <c r="C19" s="171" t="s">
        <v>38</v>
      </c>
      <c r="D19" s="158" t="s">
        <v>46</v>
      </c>
      <c r="E19" s="158" t="s">
        <v>47</v>
      </c>
      <c r="F19" s="158" t="s">
        <v>33</v>
      </c>
      <c r="G19" s="159">
        <f>'Initiatives Summary'!$G45*1/3</f>
        <v>30.216027333333329</v>
      </c>
      <c r="H19" s="159">
        <f>'Initiatives Summary'!$AU45*50%</f>
        <v>313.60550395999996</v>
      </c>
      <c r="I19" s="159">
        <f>'2.3 US Visibility'!$E7*60%</f>
        <v>537.60943536000002</v>
      </c>
      <c r="J19" s="159">
        <f>'2.3 US Visibility'!K28-J18</f>
        <v>-117.99630687999999</v>
      </c>
      <c r="K19" s="159">
        <f>'2.3 US Visibility'!M28-K18</f>
        <v>24.184219816599949</v>
      </c>
      <c r="L19" s="159">
        <f>'2.3 US Visibility'!E28-L18</f>
        <v>173.1468341975999</v>
      </c>
      <c r="M19" s="159">
        <f>'2.3 US Visibility'!K37-M18</f>
        <v>-76.5</v>
      </c>
      <c r="N19" s="160" t="str">
        <f t="shared" ref="N19" si="3">IF(OR(I19&gt;1000,L19&gt;500),"High",IF(OR(I19&gt;500,L19&gt;250),"Medium","Low"))</f>
        <v>Medium</v>
      </c>
      <c r="O19" s="160" t="s">
        <v>39</v>
      </c>
      <c r="P19" s="160" t="s">
        <v>39</v>
      </c>
      <c r="Q19" s="160" t="s">
        <v>36</v>
      </c>
      <c r="R19" s="161">
        <v>46023</v>
      </c>
      <c r="S19" s="161">
        <v>46203</v>
      </c>
      <c r="T19" s="158" t="s">
        <v>37</v>
      </c>
      <c r="U19" s="175"/>
      <c r="V19" s="175"/>
      <c r="W19" s="175"/>
      <c r="X19" s="175"/>
      <c r="Y19" s="176"/>
      <c r="Z19" s="176"/>
      <c r="AA19" s="176"/>
      <c r="AB19" s="176"/>
      <c r="AC19" s="176"/>
    </row>
    <row r="20" spans="2:29" ht="27.95" customHeight="1">
      <c r="B20" s="158" t="s">
        <v>68</v>
      </c>
      <c r="C20" s="171" t="s">
        <v>43</v>
      </c>
      <c r="D20" s="158" t="s">
        <v>46</v>
      </c>
      <c r="E20" s="158" t="s">
        <v>47</v>
      </c>
      <c r="F20" s="158" t="s">
        <v>33</v>
      </c>
      <c r="G20" s="159">
        <f>'Initiatives Summary'!$H45</f>
        <v>84</v>
      </c>
      <c r="H20" s="159">
        <f>'Initiatives Summary'!$AV45</f>
        <v>644</v>
      </c>
      <c r="I20" s="159">
        <f>'2.4 US Team Expansion'!$E7</f>
        <v>920</v>
      </c>
      <c r="J20" s="159">
        <f>'Initiatives Summary'!$H68</f>
        <v>-157.88</v>
      </c>
      <c r="K20" s="159">
        <f>'Initiatives Summary'!$AV68</f>
        <v>177.13999999999987</v>
      </c>
      <c r="L20" s="159">
        <f>'2.4 US Team Expansion'!$E28</f>
        <v>366.19999999999993</v>
      </c>
      <c r="M20" s="159">
        <f>'Initiatives Summary'!$H77</f>
        <v>-111.7</v>
      </c>
      <c r="N20" s="160" t="str">
        <f t="shared" si="0"/>
        <v>Medium</v>
      </c>
      <c r="O20" s="160" t="s">
        <v>39</v>
      </c>
      <c r="P20" s="160" t="s">
        <v>35</v>
      </c>
      <c r="Q20" s="160" t="s">
        <v>36</v>
      </c>
      <c r="R20" s="161">
        <v>46113</v>
      </c>
      <c r="S20" s="161">
        <f>R20+6*30</f>
        <v>46293</v>
      </c>
      <c r="T20" s="158" t="s">
        <v>37</v>
      </c>
      <c r="U20" s="177"/>
      <c r="V20" s="177"/>
      <c r="W20" s="177"/>
      <c r="X20" s="177"/>
      <c r="Y20" s="178"/>
      <c r="Z20" s="178"/>
      <c r="AA20" s="178"/>
      <c r="AB20" s="178"/>
      <c r="AC20" s="178"/>
    </row>
    <row r="21" spans="2:29" ht="27.95" customHeight="1">
      <c r="B21" s="158" t="s">
        <v>69</v>
      </c>
      <c r="C21" s="171" t="s">
        <v>70</v>
      </c>
      <c r="D21" s="158" t="s">
        <v>71</v>
      </c>
      <c r="E21" s="158" t="s">
        <v>72</v>
      </c>
      <c r="F21" s="158" t="s">
        <v>33</v>
      </c>
      <c r="G21" s="159">
        <f>'Initiatives Summary'!$I45</f>
        <v>125</v>
      </c>
      <c r="H21" s="159">
        <f>'Initiatives Summary'!$AW45</f>
        <v>250</v>
      </c>
      <c r="I21" s="159">
        <f>'3.1 China'!$E7</f>
        <v>500</v>
      </c>
      <c r="J21" s="159">
        <f>'Initiatives Summary'!$I68</f>
        <v>-33.75</v>
      </c>
      <c r="K21" s="159">
        <f>'Initiatives Summary'!$AW68</f>
        <v>33.749999999999972</v>
      </c>
      <c r="L21" s="159">
        <f>'3.1 China'!$E28</f>
        <v>192.49999999999994</v>
      </c>
      <c r="M21" s="159">
        <f>'Initiatives Summary'!$I77</f>
        <v>-100</v>
      </c>
      <c r="N21" s="160" t="str">
        <f t="shared" si="0"/>
        <v>Low</v>
      </c>
      <c r="O21" s="160" t="s">
        <v>39</v>
      </c>
      <c r="P21" s="160" t="s">
        <v>34</v>
      </c>
      <c r="Q21" s="160" t="s">
        <v>36</v>
      </c>
      <c r="R21" s="164" t="s">
        <v>73</v>
      </c>
      <c r="S21" s="164" t="s">
        <v>73</v>
      </c>
      <c r="T21" s="162" t="s">
        <v>37</v>
      </c>
      <c r="U21" s="175"/>
      <c r="V21" s="175"/>
      <c r="W21" s="175"/>
      <c r="X21" s="175"/>
      <c r="Y21" s="176"/>
      <c r="Z21" s="176"/>
      <c r="AA21" s="176"/>
      <c r="AB21" s="176"/>
      <c r="AC21" s="176"/>
    </row>
    <row r="22" spans="2:29" ht="27.95" customHeight="1">
      <c r="B22" s="158" t="s">
        <v>74</v>
      </c>
      <c r="C22" s="171" t="s">
        <v>75</v>
      </c>
      <c r="D22" s="158" t="s">
        <v>71</v>
      </c>
      <c r="E22" s="158" t="s">
        <v>76</v>
      </c>
      <c r="F22" s="158" t="s">
        <v>33</v>
      </c>
      <c r="G22" s="159">
        <f>'Initiatives Summary'!$J45</f>
        <v>50</v>
      </c>
      <c r="H22" s="159">
        <f>'Initiatives Summary'!$AX45</f>
        <v>150</v>
      </c>
      <c r="I22" s="159">
        <f>'3.2 Lane Crawford'!$E7</f>
        <v>300</v>
      </c>
      <c r="J22" s="159">
        <f>'Initiatives Summary'!$J68</f>
        <v>-23.5</v>
      </c>
      <c r="K22" s="159">
        <f>'Initiatives Summary'!$AX68</f>
        <v>10.249999999999972</v>
      </c>
      <c r="L22" s="159">
        <f>'3.2 Lane Crawford'!$E28</f>
        <v>105.49999999999994</v>
      </c>
      <c r="M22" s="159">
        <f>'Initiatives Summary'!$J77</f>
        <v>-30</v>
      </c>
      <c r="N22" s="160" t="str">
        <f t="shared" si="0"/>
        <v>Low</v>
      </c>
      <c r="O22" s="160" t="s">
        <v>39</v>
      </c>
      <c r="P22" s="160" t="s">
        <v>39</v>
      </c>
      <c r="Q22" s="160" t="s">
        <v>52</v>
      </c>
      <c r="R22" s="161">
        <v>45931</v>
      </c>
      <c r="S22" s="161">
        <v>46082</v>
      </c>
      <c r="T22" s="158" t="s">
        <v>56</v>
      </c>
      <c r="U22" s="175"/>
      <c r="V22" s="175"/>
      <c r="W22" s="175"/>
      <c r="X22" s="175"/>
      <c r="Y22" s="176"/>
      <c r="Z22" s="176"/>
      <c r="AA22" s="176"/>
      <c r="AB22" s="176"/>
      <c r="AC22" s="176"/>
    </row>
    <row r="23" spans="2:29" ht="27.95" customHeight="1">
      <c r="B23" s="158" t="s">
        <v>77</v>
      </c>
      <c r="C23" s="171" t="s">
        <v>78</v>
      </c>
      <c r="D23" s="158" t="s">
        <v>79</v>
      </c>
      <c r="E23" s="158" t="s">
        <v>80</v>
      </c>
      <c r="F23" s="158" t="s">
        <v>81</v>
      </c>
      <c r="G23" s="159">
        <f>'Initiatives Summary'!$K45</f>
        <v>35</v>
      </c>
      <c r="H23" s="159">
        <f>'Initiatives Summary'!$AY45</f>
        <v>166.25</v>
      </c>
      <c r="I23" s="159">
        <f>'4.1 Nadim ME'!$E7</f>
        <v>237.5</v>
      </c>
      <c r="J23" s="159">
        <f>'Initiatives Summary'!$K68</f>
        <v>22.4</v>
      </c>
      <c r="K23" s="159">
        <f>'Initiatives Summary'!$AY68</f>
        <v>107.23125</v>
      </c>
      <c r="L23" s="159">
        <f>'4.1 Nadim ME'!$E28</f>
        <v>153.1875</v>
      </c>
      <c r="M23" s="159">
        <f>'Initiatives Summary'!$K77</f>
        <v>-15</v>
      </c>
      <c r="N23" s="160" t="str">
        <f t="shared" si="0"/>
        <v>Low</v>
      </c>
      <c r="O23" s="160" t="s">
        <v>39</v>
      </c>
      <c r="P23" s="160" t="s">
        <v>34</v>
      </c>
      <c r="Q23" s="160" t="s">
        <v>52</v>
      </c>
      <c r="R23" s="165">
        <v>45839</v>
      </c>
      <c r="S23" s="165">
        <v>46082</v>
      </c>
      <c r="T23" s="162" t="s">
        <v>82</v>
      </c>
      <c r="U23" s="175"/>
      <c r="V23" s="175"/>
      <c r="W23" s="175"/>
      <c r="X23" s="175"/>
      <c r="Y23" s="176"/>
      <c r="Z23" s="176"/>
      <c r="AA23" s="176"/>
      <c r="AB23" s="176"/>
      <c r="AC23" s="176"/>
    </row>
    <row r="24" spans="2:29" ht="27.95" customHeight="1">
      <c r="B24" s="158" t="s">
        <v>83</v>
      </c>
      <c r="C24" s="171" t="s">
        <v>84</v>
      </c>
      <c r="D24" s="158" t="s">
        <v>79</v>
      </c>
      <c r="E24" s="158" t="s">
        <v>80</v>
      </c>
      <c r="F24" s="158" t="s">
        <v>33</v>
      </c>
      <c r="G24" s="159">
        <f>'Initiatives Summary'!$L45</f>
        <v>50</v>
      </c>
      <c r="H24" s="159">
        <f>'Initiatives Summary'!$AZ45</f>
        <v>125</v>
      </c>
      <c r="I24" s="159">
        <f>'4.2 ME Retail'!$E7</f>
        <v>250</v>
      </c>
      <c r="J24" s="159">
        <f>'Initiatives Summary'!$L68</f>
        <v>-18</v>
      </c>
      <c r="K24" s="159">
        <f>'Initiatives Summary'!$AZ68</f>
        <v>30.625</v>
      </c>
      <c r="L24" s="159">
        <f>'4.2 ME Retail'!$E28</f>
        <v>111.25</v>
      </c>
      <c r="M24" s="159">
        <f>'Initiatives Summary'!$L77</f>
        <v>0</v>
      </c>
      <c r="N24" s="160" t="str">
        <f t="shared" si="0"/>
        <v>Low</v>
      </c>
      <c r="O24" s="160" t="s">
        <v>39</v>
      </c>
      <c r="P24" s="160" t="s">
        <v>34</v>
      </c>
      <c r="Q24" s="160" t="s">
        <v>36</v>
      </c>
      <c r="R24" s="164" t="s">
        <v>73</v>
      </c>
      <c r="S24" s="164" t="s">
        <v>73</v>
      </c>
      <c r="T24" s="162" t="s">
        <v>37</v>
      </c>
      <c r="U24" s="175"/>
      <c r="V24" s="175"/>
      <c r="W24" s="175"/>
      <c r="X24" s="175"/>
      <c r="Y24" s="176"/>
      <c r="Z24" s="176"/>
      <c r="AA24" s="176"/>
      <c r="AB24" s="176"/>
      <c r="AC24" s="176"/>
    </row>
    <row r="25" spans="2:29" ht="27.95" customHeight="1">
      <c r="B25" s="158" t="s">
        <v>85</v>
      </c>
      <c r="C25" s="171" t="s">
        <v>86</v>
      </c>
      <c r="D25" s="158" t="s">
        <v>87</v>
      </c>
      <c r="E25" s="158" t="s">
        <v>72</v>
      </c>
      <c r="F25" s="158" t="s">
        <v>88</v>
      </c>
      <c r="G25" s="159">
        <f>'Initiatives Summary'!$M45</f>
        <v>37.5</v>
      </c>
      <c r="H25" s="159">
        <f>'Initiatives Summary'!$BA45</f>
        <v>75</v>
      </c>
      <c r="I25" s="159">
        <f>'5.1 Mingo'!$E7</f>
        <v>300</v>
      </c>
      <c r="J25" s="159">
        <f>'Initiatives Summary'!$M68</f>
        <v>25.125</v>
      </c>
      <c r="K25" s="159">
        <f>'Initiatives Summary'!$BA68</f>
        <v>50.625</v>
      </c>
      <c r="L25" s="159">
        <f>'5.1 Mingo'!$E28</f>
        <v>202.5</v>
      </c>
      <c r="M25" s="159">
        <f>'Initiatives Summary'!$M77</f>
        <v>0</v>
      </c>
      <c r="N25" s="160" t="str">
        <f t="shared" si="0"/>
        <v>Low</v>
      </c>
      <c r="O25" s="160" t="s">
        <v>39</v>
      </c>
      <c r="P25" s="160" t="s">
        <v>34</v>
      </c>
      <c r="Q25" s="160" t="s">
        <v>52</v>
      </c>
      <c r="R25" s="165">
        <v>45839</v>
      </c>
      <c r="S25" s="165">
        <v>46174</v>
      </c>
      <c r="T25" s="162" t="s">
        <v>53</v>
      </c>
      <c r="U25" s="175"/>
      <c r="V25" s="175"/>
      <c r="W25" s="175"/>
      <c r="X25" s="175"/>
      <c r="Y25" s="176"/>
      <c r="Z25" s="176"/>
      <c r="AA25" s="176"/>
      <c r="AB25" s="176"/>
      <c r="AC25" s="176"/>
    </row>
    <row r="26" spans="2:29" ht="27.95" customHeight="1">
      <c r="B26" s="229" t="s">
        <v>89</v>
      </c>
      <c r="C26" s="173" t="s">
        <v>90</v>
      </c>
      <c r="D26" s="166" t="s">
        <v>87</v>
      </c>
      <c r="E26" s="166" t="s">
        <v>72</v>
      </c>
      <c r="F26" s="166" t="s">
        <v>91</v>
      </c>
      <c r="G26" s="167">
        <f>'5.2 Juan'!C46*(1+'5.2 Juan'!$H$7)</f>
        <v>99.999999999999972</v>
      </c>
      <c r="H26" s="167">
        <f>'5.2 Juan'!E46*(1+'5.2 Juan'!$H$7)</f>
        <v>199.99999999999994</v>
      </c>
      <c r="I26" s="167">
        <f>'5.2 Juan'!E46</f>
        <v>2000</v>
      </c>
      <c r="J26" s="167">
        <f>G26*'5.2 Juan'!K$29</f>
        <v>57.916666666666657</v>
      </c>
      <c r="K26" s="167">
        <f>H26*'5.2 Juan'!M$29</f>
        <v>119.25153374233123</v>
      </c>
      <c r="L26" s="167">
        <f>I26*'5.2 Juan'!E$29</f>
        <v>1302.9447852760734</v>
      </c>
      <c r="M26" s="232">
        <f>'Initiatives Summary'!$N77</f>
        <v>-33</v>
      </c>
      <c r="N26" s="145" t="str">
        <f t="shared" si="0"/>
        <v>High</v>
      </c>
      <c r="O26" s="145" t="s">
        <v>39</v>
      </c>
      <c r="P26" s="145" t="s">
        <v>34</v>
      </c>
      <c r="Q26" s="145" t="s">
        <v>92</v>
      </c>
      <c r="R26" s="148">
        <v>46023</v>
      </c>
      <c r="S26" s="148">
        <v>46082</v>
      </c>
      <c r="T26" s="146" t="s">
        <v>82</v>
      </c>
    </row>
    <row r="27" spans="2:29" ht="27.95" customHeight="1">
      <c r="B27" s="230"/>
      <c r="C27" s="170" t="s">
        <v>93</v>
      </c>
      <c r="D27" s="146" t="s">
        <v>71</v>
      </c>
      <c r="E27" s="146" t="s">
        <v>72</v>
      </c>
      <c r="F27" s="146" t="s">
        <v>91</v>
      </c>
      <c r="G27" s="147">
        <f>('5.2 Juan'!K7-G26)*50%</f>
        <v>10</v>
      </c>
      <c r="H27" s="147">
        <f>('5.2 Juan'!M7-H26)*50%</f>
        <v>63</v>
      </c>
      <c r="I27" s="147">
        <f>('5.2 Juan'!E7-I26)*50%</f>
        <v>630</v>
      </c>
      <c r="J27" s="147">
        <f>G27*'5.2 Juan'!K$29</f>
        <v>5.791666666666667</v>
      </c>
      <c r="K27" s="147">
        <f>H27*'5.2 Juan'!M$29</f>
        <v>37.564233128834346</v>
      </c>
      <c r="L27" s="147">
        <f>I27*'5.2 Juan'!E$29</f>
        <v>410.42760736196311</v>
      </c>
      <c r="M27" s="233"/>
      <c r="N27" s="145" t="str">
        <f t="shared" ref="N27:N28" si="4">IF(OR(I27&gt;1000,L27&gt;500),"High",IF(OR(I27&gt;500,L27&gt;250),"Medium","Low"))</f>
        <v>Medium</v>
      </c>
      <c r="O27" s="145" t="s">
        <v>39</v>
      </c>
      <c r="P27" s="145" t="s">
        <v>34</v>
      </c>
      <c r="Q27" s="145" t="s">
        <v>92</v>
      </c>
      <c r="R27" s="148">
        <v>46023</v>
      </c>
      <c r="S27" s="148">
        <v>46082</v>
      </c>
      <c r="T27" s="146" t="s">
        <v>82</v>
      </c>
    </row>
    <row r="28" spans="2:29" ht="27.95" customHeight="1">
      <c r="B28" s="231"/>
      <c r="C28" s="171" t="s">
        <v>94</v>
      </c>
      <c r="D28" s="158" t="s">
        <v>79</v>
      </c>
      <c r="E28" s="158" t="s">
        <v>80</v>
      </c>
      <c r="F28" s="158" t="s">
        <v>91</v>
      </c>
      <c r="G28" s="159">
        <f>('5.2 Juan'!K7-G26)*50%</f>
        <v>10</v>
      </c>
      <c r="H28" s="159">
        <f>('5.2 Juan'!M7-H26)*50%</f>
        <v>63</v>
      </c>
      <c r="I28" s="159">
        <f>('5.2 Juan'!E7-I26)*50%</f>
        <v>630</v>
      </c>
      <c r="J28" s="159">
        <f>G28*'5.2 Juan'!K$29</f>
        <v>5.791666666666667</v>
      </c>
      <c r="K28" s="159">
        <f>H28*'5.2 Juan'!M$29</f>
        <v>37.564233128834346</v>
      </c>
      <c r="L28" s="159">
        <f>I28*'5.2 Juan'!E$29</f>
        <v>410.42760736196311</v>
      </c>
      <c r="M28" s="234"/>
      <c r="N28" s="160" t="str">
        <f t="shared" si="4"/>
        <v>Medium</v>
      </c>
      <c r="O28" s="160" t="s">
        <v>39</v>
      </c>
      <c r="P28" s="160" t="s">
        <v>34</v>
      </c>
      <c r="Q28" s="160" t="s">
        <v>92</v>
      </c>
      <c r="R28" s="161">
        <v>46023</v>
      </c>
      <c r="S28" s="161">
        <v>46082</v>
      </c>
      <c r="T28" s="158" t="s">
        <v>82</v>
      </c>
      <c r="U28" s="175"/>
      <c r="V28" s="175"/>
      <c r="W28" s="175"/>
      <c r="X28" s="175"/>
      <c r="Y28" s="176"/>
      <c r="Z28" s="176"/>
      <c r="AA28" s="176"/>
      <c r="AB28" s="176"/>
      <c r="AC28" s="176"/>
    </row>
    <row r="29" spans="2:29" ht="27.95" customHeight="1">
      <c r="B29" s="158" t="s">
        <v>95</v>
      </c>
      <c r="C29" s="171" t="s">
        <v>96</v>
      </c>
      <c r="D29" s="158" t="s">
        <v>87</v>
      </c>
      <c r="E29" s="158" t="s">
        <v>72</v>
      </c>
      <c r="F29" s="158" t="s">
        <v>97</v>
      </c>
      <c r="G29" s="159">
        <f>'Initiatives Summary'!$O45</f>
        <v>25</v>
      </c>
      <c r="H29" s="159">
        <f>'Initiatives Summary'!$BC45</f>
        <v>50</v>
      </c>
      <c r="I29" s="159">
        <f>'5.3 Vishal_India'!$E7</f>
        <v>100</v>
      </c>
      <c r="J29" s="159">
        <f>'Initiatives Summary'!$O68</f>
        <v>-19.25</v>
      </c>
      <c r="K29" s="159">
        <f>'Initiatives Summary'!$BC68</f>
        <v>-9.8100000000000023</v>
      </c>
      <c r="L29" s="159">
        <f>'5.3 Vishal_India'!$E28</f>
        <v>23.939999999999998</v>
      </c>
      <c r="M29" s="159">
        <f>'Initiatives Summary'!$O77</f>
        <v>-18</v>
      </c>
      <c r="N29" s="160" t="str">
        <f t="shared" si="0"/>
        <v>Low</v>
      </c>
      <c r="O29" s="160" t="s">
        <v>34</v>
      </c>
      <c r="P29" s="160" t="s">
        <v>34</v>
      </c>
      <c r="Q29" s="160" t="s">
        <v>52</v>
      </c>
      <c r="R29" s="161">
        <v>45839</v>
      </c>
      <c r="S29" s="161">
        <v>46174</v>
      </c>
      <c r="T29" s="158" t="s">
        <v>53</v>
      </c>
      <c r="U29" s="175"/>
      <c r="V29" s="175"/>
      <c r="W29" s="175"/>
      <c r="X29" s="175"/>
      <c r="Y29" s="176"/>
      <c r="Z29" s="176"/>
      <c r="AA29" s="176"/>
      <c r="AB29" s="176"/>
      <c r="AC29" s="176"/>
    </row>
    <row r="30" spans="2:29" ht="27.95" customHeight="1">
      <c r="B30" s="158" t="s">
        <v>98</v>
      </c>
      <c r="C30" s="171" t="s">
        <v>99</v>
      </c>
      <c r="D30" s="158" t="s">
        <v>100</v>
      </c>
      <c r="E30" s="158" t="s">
        <v>101</v>
      </c>
      <c r="F30" s="158" t="s">
        <v>33</v>
      </c>
      <c r="G30" s="159">
        <f>'Initiatives Summary'!$P45</f>
        <v>36.459375000000001</v>
      </c>
      <c r="H30" s="159">
        <f>'Initiatives Summary'!$BD45</f>
        <v>44.25</v>
      </c>
      <c r="I30" s="159">
        <f>'5.4 Export Event'!$E7</f>
        <v>59</v>
      </c>
      <c r="J30" s="159">
        <f>'Initiatives Summary'!$P68</f>
        <v>-101.30140625</v>
      </c>
      <c r="K30" s="159">
        <f>'Initiatives Summary'!$BD68</f>
        <v>-108.01625</v>
      </c>
      <c r="L30" s="159">
        <f>'5.4 Export Event'!$E28</f>
        <v>-98.355000000000004</v>
      </c>
      <c r="M30" s="159">
        <f>'Initiatives Summary'!$P77</f>
        <v>-125</v>
      </c>
      <c r="N30" s="160" t="str">
        <f t="shared" si="0"/>
        <v>Low</v>
      </c>
      <c r="O30" s="160" t="s">
        <v>39</v>
      </c>
      <c r="P30" s="160" t="s">
        <v>35</v>
      </c>
      <c r="Q30" s="160" t="s">
        <v>36</v>
      </c>
      <c r="R30" s="161">
        <v>45992</v>
      </c>
      <c r="S30" s="161">
        <v>46113</v>
      </c>
      <c r="T30" s="158" t="s">
        <v>82</v>
      </c>
      <c r="U30" s="175"/>
      <c r="V30" s="175"/>
      <c r="W30" s="175"/>
      <c r="X30" s="175"/>
      <c r="Y30" s="176"/>
      <c r="Z30" s="176"/>
      <c r="AA30" s="176"/>
      <c r="AB30" s="176"/>
      <c r="AC30" s="176"/>
    </row>
    <row r="31" spans="2:29" ht="27.95" customHeight="1">
      <c r="B31" s="211" t="s">
        <v>102</v>
      </c>
      <c r="C31" s="171" t="s">
        <v>103</v>
      </c>
      <c r="D31" s="158" t="s">
        <v>100</v>
      </c>
      <c r="E31" s="158" t="s">
        <v>80</v>
      </c>
      <c r="F31" s="158" t="s">
        <v>104</v>
      </c>
      <c r="G31" s="159">
        <f>'Initiatives Log'!G17</f>
        <v>250</v>
      </c>
      <c r="H31" s="159">
        <f>'Initiatives Log'!H17</f>
        <v>1000</v>
      </c>
      <c r="I31" s="159">
        <f>'Initiatives Log'!I17</f>
        <v>2000</v>
      </c>
      <c r="J31" s="159">
        <f>'Initiatives Log'!J17</f>
        <v>157.5</v>
      </c>
      <c r="K31" s="159">
        <f>'Initiatives Log'!K17</f>
        <v>655</v>
      </c>
      <c r="L31" s="159">
        <f>'Initiatives Log'!L17</f>
        <v>1330</v>
      </c>
      <c r="M31" s="159">
        <f>'Initiatives Log'!M17</f>
        <v>-8</v>
      </c>
      <c r="N31" s="160" t="str">
        <f t="shared" ref="N31" si="5">IF(OR(I31&gt;1000,L31&gt;500),"High",IF(OR(I31&gt;500,L31&gt;250),"Medium","Low"))</f>
        <v>High</v>
      </c>
      <c r="O31" s="160" t="s">
        <v>39</v>
      </c>
      <c r="P31" s="160" t="s">
        <v>34</v>
      </c>
      <c r="Q31" s="160" t="s">
        <v>36</v>
      </c>
      <c r="R31" s="161">
        <v>45992</v>
      </c>
      <c r="S31" s="161">
        <v>46174</v>
      </c>
      <c r="T31" s="158" t="s">
        <v>37</v>
      </c>
      <c r="U31" s="175"/>
      <c r="V31" s="175"/>
      <c r="W31" s="175"/>
      <c r="X31" s="175"/>
      <c r="Y31" s="176"/>
      <c r="Z31" s="176"/>
      <c r="AA31" s="176"/>
      <c r="AB31" s="176"/>
      <c r="AC31" s="176"/>
    </row>
    <row r="32" spans="2:29" ht="27.95" customHeight="1">
      <c r="B32" s="158" t="s">
        <v>105</v>
      </c>
      <c r="C32" s="171" t="s">
        <v>106</v>
      </c>
      <c r="D32" s="158" t="s">
        <v>107</v>
      </c>
      <c r="E32" s="158" t="s">
        <v>101</v>
      </c>
      <c r="F32" s="158" t="s">
        <v>33</v>
      </c>
      <c r="G32" s="159">
        <f>'Initiatives Summary'!$R45</f>
        <v>252.7</v>
      </c>
      <c r="H32" s="159">
        <f>'Initiatives Summary'!$BF45</f>
        <v>484.69574999999992</v>
      </c>
      <c r="I32" s="159">
        <f>'6.1 eComm Growth EU'!$E7</f>
        <v>692.4224999999999</v>
      </c>
      <c r="J32" s="159">
        <f>'Initiatives Summary'!$R68</f>
        <v>-46.293000000000006</v>
      </c>
      <c r="K32" s="159">
        <f>'Initiatives Summary'!$BF68</f>
        <v>134.8091062499999</v>
      </c>
      <c r="L32" s="159">
        <f>'6.1 eComm Growth EU'!$E28</f>
        <v>320.72454749999974</v>
      </c>
      <c r="M32" s="159">
        <f>'Initiatives Summary'!$R77</f>
        <v>-22.599666666666668</v>
      </c>
      <c r="N32" s="160" t="str">
        <f t="shared" si="0"/>
        <v>Medium</v>
      </c>
      <c r="O32" s="160" t="s">
        <v>39</v>
      </c>
      <c r="P32" s="160" t="s">
        <v>35</v>
      </c>
      <c r="Q32" s="160" t="s">
        <v>36</v>
      </c>
      <c r="R32" s="161">
        <v>46023</v>
      </c>
      <c r="S32" s="161">
        <v>46082</v>
      </c>
      <c r="T32" s="158" t="s">
        <v>37</v>
      </c>
      <c r="U32" s="175"/>
      <c r="V32" s="175"/>
      <c r="W32" s="175"/>
      <c r="X32" s="175"/>
      <c r="Y32" s="176"/>
      <c r="Z32" s="176"/>
      <c r="AA32" s="176"/>
      <c r="AB32" s="176"/>
      <c r="AC32" s="176"/>
    </row>
    <row r="33" spans="2:29" ht="27.95" customHeight="1">
      <c r="B33" s="162" t="s">
        <v>108</v>
      </c>
      <c r="C33" s="171" t="s">
        <v>109</v>
      </c>
      <c r="D33" s="162" t="s">
        <v>107</v>
      </c>
      <c r="E33" s="162" t="s">
        <v>101</v>
      </c>
      <c r="F33" s="162" t="s">
        <v>33</v>
      </c>
      <c r="G33" s="163">
        <f>'Initiatives Summary'!$S45</f>
        <v>119.69999999999999</v>
      </c>
      <c r="H33" s="163">
        <f>'Initiatives Summary'!$BG45</f>
        <v>308.80324999999993</v>
      </c>
      <c r="I33" s="163">
        <f>'6.2 eComm Growth US'!$E7</f>
        <v>441.14749999999992</v>
      </c>
      <c r="J33" s="163">
        <f>'Initiatives Summary'!$S68</f>
        <v>-7.9440000000000026</v>
      </c>
      <c r="K33" s="163">
        <f>'Initiatives Summary'!$BG68</f>
        <v>148.39967624999991</v>
      </c>
      <c r="L33" s="163">
        <f>'6.2 eComm Growth US'!$E28</f>
        <v>265.52433749999989</v>
      </c>
      <c r="M33" s="163">
        <f>'Initiatives Summary'!$S77</f>
        <v>-9.44</v>
      </c>
      <c r="N33" s="164" t="str">
        <f t="shared" si="0"/>
        <v>Medium</v>
      </c>
      <c r="O33" s="164" t="s">
        <v>39</v>
      </c>
      <c r="P33" s="164" t="s">
        <v>35</v>
      </c>
      <c r="Q33" s="164" t="s">
        <v>36</v>
      </c>
      <c r="R33" s="161">
        <v>46023</v>
      </c>
      <c r="S33" s="161">
        <v>46082</v>
      </c>
      <c r="T33" s="158" t="s">
        <v>37</v>
      </c>
      <c r="U33" s="175"/>
      <c r="V33" s="175"/>
      <c r="W33" s="175"/>
      <c r="X33" s="175"/>
      <c r="Y33" s="176"/>
      <c r="Z33" s="176"/>
      <c r="AA33" s="176"/>
      <c r="AB33" s="176"/>
      <c r="AC33" s="176"/>
    </row>
    <row r="34" spans="2:29" ht="27.95" customHeight="1">
      <c r="B34" s="162" t="s">
        <v>110</v>
      </c>
      <c r="C34" s="172" t="s">
        <v>111</v>
      </c>
      <c r="D34" s="162" t="s">
        <v>112</v>
      </c>
      <c r="E34" s="162" t="s">
        <v>113</v>
      </c>
      <c r="F34" s="162" t="s">
        <v>114</v>
      </c>
      <c r="G34" s="163">
        <f>'Initiatives Summary'!$T45</f>
        <v>154.417478679</v>
      </c>
      <c r="H34" s="163">
        <f>'Initiatives Summary'!$BH45</f>
        <v>810.13109061599982</v>
      </c>
      <c r="I34" s="163">
        <f>'7.1 Cambrium NPD'!$E7</f>
        <v>1080.174787488</v>
      </c>
      <c r="J34" s="163">
        <f>'Initiatives Summary'!$T68</f>
        <v>22.474211470469982</v>
      </c>
      <c r="K34" s="163">
        <f>'Initiatives Summary'!$BH68</f>
        <v>573.2581831044597</v>
      </c>
      <c r="L34" s="163">
        <f>'7.1 Cambrium NPD'!$E28</f>
        <v>769.34424413928002</v>
      </c>
      <c r="M34" s="163">
        <f>'Initiatives Summary'!$T77</f>
        <v>-300</v>
      </c>
      <c r="N34" s="164" t="str">
        <f t="shared" si="0"/>
        <v>High</v>
      </c>
      <c r="O34" s="164" t="s">
        <v>35</v>
      </c>
      <c r="P34" s="164" t="s">
        <v>35</v>
      </c>
      <c r="Q34" s="164" t="s">
        <v>36</v>
      </c>
      <c r="R34" s="161">
        <v>46023</v>
      </c>
      <c r="S34" s="161">
        <v>46296</v>
      </c>
      <c r="T34" s="158" t="s">
        <v>37</v>
      </c>
      <c r="U34" s="175"/>
      <c r="V34" s="175"/>
      <c r="W34" s="175"/>
      <c r="X34" s="175"/>
      <c r="Y34" s="176"/>
      <c r="Z34" s="176"/>
      <c r="AA34" s="176"/>
      <c r="AB34" s="176"/>
      <c r="AC34" s="176"/>
    </row>
    <row r="35" spans="2:29" ht="27.95" customHeight="1">
      <c r="B35" s="146" t="s">
        <v>115</v>
      </c>
      <c r="C35" s="170" t="s">
        <v>116</v>
      </c>
      <c r="D35" s="146" t="s">
        <v>112</v>
      </c>
      <c r="E35" s="146" t="s">
        <v>101</v>
      </c>
      <c r="F35" s="146" t="s">
        <v>33</v>
      </c>
      <c r="G35" s="147">
        <f>'Initiatives Summary'!$U45</f>
        <v>205.88997157200001</v>
      </c>
      <c r="H35" s="147">
        <f>'Initiatives Summary'!$BI45</f>
        <v>405.06554530799991</v>
      </c>
      <c r="I35" s="147">
        <f>'7.2 Social Media_Mkting'!$E7</f>
        <v>540.087393744</v>
      </c>
      <c r="J35" s="147">
        <f>'Initiatives Summary'!$U68</f>
        <v>-161.03438470604002</v>
      </c>
      <c r="K35" s="147">
        <f>'Initiatives Summary'!$BI68</f>
        <v>60.879091552229866</v>
      </c>
      <c r="L35" s="147">
        <f>'7.2 Social Media_Mkting'!$E7</f>
        <v>540.087393744</v>
      </c>
      <c r="M35" s="147">
        <f>'Initiatives Summary'!$U77</f>
        <v>-311</v>
      </c>
      <c r="N35" s="145" t="str">
        <f t="shared" si="0"/>
        <v>High</v>
      </c>
      <c r="O35" s="145" t="s">
        <v>35</v>
      </c>
      <c r="P35" s="145" t="s">
        <v>35</v>
      </c>
      <c r="Q35" s="145" t="s">
        <v>36</v>
      </c>
      <c r="R35" s="148">
        <v>46023</v>
      </c>
      <c r="S35" s="148">
        <v>46174</v>
      </c>
      <c r="T35" s="146" t="s">
        <v>37</v>
      </c>
      <c r="U35" s="179"/>
      <c r="V35" s="179"/>
      <c r="W35" s="179"/>
      <c r="X35" s="179"/>
      <c r="Y35" s="180"/>
      <c r="Z35" s="180"/>
      <c r="AA35" s="180"/>
      <c r="AB35" s="180"/>
      <c r="AC35" s="180"/>
    </row>
    <row r="36" spans="2:29" ht="27.95" hidden="1" customHeight="1">
      <c r="B36" s="146"/>
      <c r="C36" s="170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</row>
    <row r="37" spans="2:29" ht="27.95" customHeight="1">
      <c r="B37" s="149" t="s">
        <v>117</v>
      </c>
      <c r="C37" s="174"/>
      <c r="D37" s="149"/>
      <c r="E37" s="149"/>
      <c r="F37" s="149"/>
      <c r="G37" s="150">
        <f>SUM(G4:G36)</f>
        <v>4191.2872560509995</v>
      </c>
      <c r="H37" s="150">
        <f t="shared" ref="H37:M37" si="6">SUM(H4:H36)</f>
        <v>13904.760873471998</v>
      </c>
      <c r="I37" s="150">
        <f t="shared" si="6"/>
        <v>30537.177670231998</v>
      </c>
      <c r="J37" s="150">
        <f t="shared" si="6"/>
        <v>128.24057432743027</v>
      </c>
      <c r="K37" s="150">
        <f t="shared" si="6"/>
        <v>6078.3226240877066</v>
      </c>
      <c r="L37" s="150">
        <f t="shared" si="6"/>
        <v>17080.60748604028</v>
      </c>
      <c r="M37" s="150">
        <f t="shared" si="6"/>
        <v>-2019.5974018351667</v>
      </c>
      <c r="N37" s="149"/>
      <c r="O37" s="149"/>
      <c r="P37" s="149"/>
      <c r="Q37" s="149"/>
      <c r="R37" s="149"/>
      <c r="S37" s="149"/>
      <c r="T37" s="149"/>
    </row>
  </sheetData>
  <mergeCells count="14">
    <mergeCell ref="B26:B28"/>
    <mergeCell ref="M26:M28"/>
    <mergeCell ref="AA7:AA12"/>
    <mergeCell ref="AB7:AB12"/>
    <mergeCell ref="AC7:AC12"/>
    <mergeCell ref="AA13:AA17"/>
    <mergeCell ref="AB13:AB17"/>
    <mergeCell ref="AC13:AC17"/>
    <mergeCell ref="B18:B19"/>
    <mergeCell ref="B4:B5"/>
    <mergeCell ref="B7:B12"/>
    <mergeCell ref="B13:B17"/>
    <mergeCell ref="M13:M17"/>
    <mergeCell ref="M7:M1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A759A2-CDFB-4554-8107-9F290E477686}">
          <x14:formula1>
            <xm:f>List!$F:$F</xm:f>
          </x14:formula1>
          <xm:sqref>T4:T35</xm:sqref>
        </x14:dataValidation>
        <x14:dataValidation type="list" allowBlank="1" showInputMessage="1" showErrorMessage="1" xr:uid="{E45CBE1F-A536-4CCF-BA94-FAD2C5E66F77}">
          <x14:formula1>
            <xm:f>List!$D:$D</xm:f>
          </x14:formula1>
          <xm:sqref>Q4:Q35</xm:sqref>
        </x14:dataValidation>
        <x14:dataValidation type="list" allowBlank="1" showInputMessage="1" showErrorMessage="1" xr:uid="{2F7BF194-9145-4D6D-99A4-E40CE5167CB3}">
          <x14:formula1>
            <xm:f>List!$B:$B</xm:f>
          </x14:formula1>
          <xm:sqref>N4:P35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9B07-14E0-4831-AF0B-1465D213F761}">
  <dimension ref="B1:R21"/>
  <sheetViews>
    <sheetView showGridLines="0" workbookViewId="0">
      <pane xSplit="3" ySplit="3" topLeftCell="F4" activePane="bottomRight" state="frozen"/>
      <selection pane="bottomRight" activeCell="K6" sqref="K6"/>
      <selection pane="bottomLeft" activeCell="A4" sqref="A4"/>
      <selection pane="topRight" activeCell="D1" sqref="D1"/>
    </sheetView>
  </sheetViews>
  <sheetFormatPr defaultColWidth="8.85546875" defaultRowHeight="15"/>
  <cols>
    <col min="1" max="1" width="5" customWidth="1"/>
    <col min="2" max="2" width="15" customWidth="1"/>
    <col min="3" max="3" width="22.28515625" customWidth="1"/>
    <col min="4" max="5" width="13.28515625" customWidth="1"/>
    <col min="6" max="8" width="12.7109375" customWidth="1"/>
    <col min="9" max="9" width="15.7109375" customWidth="1"/>
    <col min="10" max="10" width="42" customWidth="1"/>
    <col min="11" max="11" width="41.42578125" customWidth="1"/>
    <col min="12" max="12" width="26.140625" customWidth="1"/>
    <col min="13" max="13" width="45.85546875" style="2" customWidth="1"/>
    <col min="14" max="15" width="26.7109375" style="2" customWidth="1"/>
    <col min="16" max="16" width="50.5703125" style="2" customWidth="1"/>
    <col min="17" max="18" width="15" customWidth="1"/>
  </cols>
  <sheetData>
    <row r="1" spans="2:18">
      <c r="B1" s="15" t="s">
        <v>0</v>
      </c>
      <c r="C1" s="181">
        <f ca="1">TODAY()</f>
        <v>46044</v>
      </c>
      <c r="D1" s="182" t="str">
        <f ca="1">MONTH(C1)&amp;RIGHT(YEAR(C1), 2)</f>
        <v>126</v>
      </c>
      <c r="F1" t="s">
        <v>118</v>
      </c>
    </row>
    <row r="2" spans="2:18" ht="6.75" customHeight="1"/>
    <row r="3" spans="2:18" ht="45">
      <c r="B3" s="68" t="s">
        <v>3</v>
      </c>
      <c r="C3" s="68" t="s">
        <v>4</v>
      </c>
      <c r="D3" s="144" t="s">
        <v>119</v>
      </c>
      <c r="E3" s="144" t="s">
        <v>120</v>
      </c>
      <c r="F3" s="144" t="s">
        <v>13</v>
      </c>
      <c r="G3" s="144" t="s">
        <v>14</v>
      </c>
      <c r="H3" s="144" t="s">
        <v>15</v>
      </c>
      <c r="I3" s="68" t="s">
        <v>19</v>
      </c>
      <c r="J3" s="68" t="s">
        <v>121</v>
      </c>
      <c r="K3" s="68" t="s">
        <v>122</v>
      </c>
      <c r="L3" s="68" t="s">
        <v>123</v>
      </c>
      <c r="M3" s="68" t="s">
        <v>20</v>
      </c>
      <c r="N3" s="68" t="s">
        <v>21</v>
      </c>
      <c r="O3" s="68" t="s">
        <v>22</v>
      </c>
      <c r="P3" s="68" t="s">
        <v>23</v>
      </c>
      <c r="Q3" s="68" t="s">
        <v>24</v>
      </c>
      <c r="R3" s="68" t="s">
        <v>25</v>
      </c>
    </row>
    <row r="4" spans="2:18" ht="45">
      <c r="B4" s="158" t="s">
        <v>31</v>
      </c>
      <c r="C4" s="158" t="s">
        <v>32</v>
      </c>
      <c r="D4" s="159">
        <f>'3YP'!E11</f>
        <v>7837.5750000000007</v>
      </c>
      <c r="E4" s="159">
        <f>'3YP'!G11</f>
        <v>9226.8725000000013</v>
      </c>
      <c r="F4" s="160" t="str">
        <f>IF(E4&gt;3000,"High",IF(E4&gt;1500,"Medium","Low"))</f>
        <v>High</v>
      </c>
      <c r="G4" s="160" t="s">
        <v>35</v>
      </c>
      <c r="H4" s="160" t="s">
        <v>35</v>
      </c>
      <c r="I4" s="158" t="s">
        <v>124</v>
      </c>
      <c r="J4" s="188" t="s">
        <v>125</v>
      </c>
      <c r="K4" s="175"/>
      <c r="L4" s="188" t="s">
        <v>126</v>
      </c>
      <c r="M4" s="175"/>
      <c r="N4" s="175"/>
      <c r="O4" s="175"/>
      <c r="P4" s="175"/>
      <c r="Q4" s="176"/>
      <c r="R4" s="176"/>
    </row>
    <row r="5" spans="2:18" ht="45">
      <c r="B5" s="158" t="s">
        <v>127</v>
      </c>
      <c r="C5" s="158" t="s">
        <v>76</v>
      </c>
      <c r="D5" s="159">
        <f>'3YP'!E15</f>
        <v>496.7</v>
      </c>
      <c r="E5" s="159">
        <f>'3YP'!G15</f>
        <v>850.56999999999994</v>
      </c>
      <c r="F5" s="160" t="str">
        <f>IF(E5&gt;3000,"High",IF(E5&gt;1500,"Medium","Low"))</f>
        <v>Low</v>
      </c>
      <c r="G5" s="160" t="s">
        <v>34</v>
      </c>
      <c r="H5" s="160" t="s">
        <v>35</v>
      </c>
      <c r="I5" s="158" t="s">
        <v>124</v>
      </c>
      <c r="J5" s="188" t="s">
        <v>128</v>
      </c>
      <c r="K5" s="175"/>
      <c r="L5" s="188"/>
      <c r="M5" s="175"/>
      <c r="N5" s="175"/>
      <c r="O5" s="175"/>
      <c r="P5" s="175"/>
      <c r="Q5" s="176"/>
      <c r="R5" s="176"/>
    </row>
    <row r="6" spans="2:18" ht="45">
      <c r="B6" s="158" t="s">
        <v>46</v>
      </c>
      <c r="C6" s="158" t="s">
        <v>47</v>
      </c>
      <c r="D6" s="159">
        <f>'3YP'!E19</f>
        <v>1003.242</v>
      </c>
      <c r="E6" s="159">
        <f>'3YP'!G19</f>
        <v>1553.85752</v>
      </c>
      <c r="F6" s="160" t="str">
        <f>IF(E6&gt;3000,"High",IF(E6&gt;1500,"Medium","Low"))</f>
        <v>Medium</v>
      </c>
      <c r="G6" s="160" t="s">
        <v>35</v>
      </c>
      <c r="H6" s="160" t="s">
        <v>39</v>
      </c>
      <c r="I6" s="158" t="s">
        <v>129</v>
      </c>
      <c r="J6" s="188" t="s">
        <v>130</v>
      </c>
      <c r="K6" s="175"/>
      <c r="L6" s="188"/>
      <c r="M6" s="175"/>
      <c r="N6" s="175"/>
      <c r="O6" s="175"/>
      <c r="P6" s="175"/>
      <c r="Q6" s="176"/>
      <c r="R6" s="176"/>
    </row>
    <row r="7" spans="2:18" ht="60">
      <c r="B7" s="190" t="s">
        <v>100</v>
      </c>
      <c r="C7" s="190" t="s">
        <v>80</v>
      </c>
      <c r="D7" s="191">
        <f>'3YP'!E28</f>
        <v>1944.5</v>
      </c>
      <c r="E7" s="191">
        <f>'3YP'!G28</f>
        <v>2360</v>
      </c>
      <c r="F7" s="192" t="str">
        <f>IF(E7&gt;3000,"High",IF(E7&gt;1500,"Medium","Low"))</f>
        <v>Medium</v>
      </c>
      <c r="G7" s="192" t="s">
        <v>39</v>
      </c>
      <c r="H7" s="192" t="s">
        <v>34</v>
      </c>
      <c r="I7" s="190" t="s">
        <v>124</v>
      </c>
      <c r="J7" s="193" t="s">
        <v>131</v>
      </c>
      <c r="K7" s="179"/>
      <c r="L7" s="193"/>
      <c r="M7" s="179"/>
      <c r="N7" s="179"/>
      <c r="O7" s="179"/>
      <c r="P7" s="179"/>
      <c r="Q7" s="180"/>
      <c r="R7" s="180"/>
    </row>
    <row r="8" spans="2:18" ht="27.95" customHeight="1">
      <c r="B8" s="187" t="s">
        <v>132</v>
      </c>
      <c r="C8" s="187"/>
      <c r="D8" s="194">
        <f>SUM(D4:D7)</f>
        <v>11282.017000000002</v>
      </c>
      <c r="E8" s="194">
        <f>SUM(E4:E7)</f>
        <v>13991.300020000001</v>
      </c>
      <c r="F8" s="195" t="s">
        <v>35</v>
      </c>
      <c r="G8" s="195" t="s">
        <v>35</v>
      </c>
      <c r="H8" s="195" t="s">
        <v>39</v>
      </c>
      <c r="I8" s="187" t="s">
        <v>124</v>
      </c>
      <c r="J8" s="189"/>
      <c r="K8" s="2"/>
      <c r="L8" s="189"/>
    </row>
    <row r="9" spans="2:18" ht="8.25" customHeight="1">
      <c r="B9" s="146"/>
      <c r="C9" s="146"/>
      <c r="D9" s="147"/>
      <c r="E9" s="147"/>
      <c r="F9" s="145"/>
      <c r="G9" s="145"/>
      <c r="H9" s="145"/>
      <c r="I9" s="146"/>
      <c r="J9" s="189"/>
      <c r="K9" s="2"/>
      <c r="L9" s="189"/>
    </row>
    <row r="10" spans="2:18" ht="27.95" customHeight="1">
      <c r="B10" s="158" t="s">
        <v>71</v>
      </c>
      <c r="C10" s="158" t="s">
        <v>72</v>
      </c>
      <c r="D10" s="159">
        <f>'3YP'!E32</f>
        <v>800</v>
      </c>
      <c r="E10" s="159">
        <f>'3YP'!G32</f>
        <v>1600</v>
      </c>
      <c r="F10" s="160" t="str">
        <f t="shared" ref="F10:F12" si="0">IF(E10&gt;3000,"High",IF(E10&gt;1500,"Medium","Low"))</f>
        <v>Medium</v>
      </c>
      <c r="G10" s="160" t="s">
        <v>35</v>
      </c>
      <c r="H10" s="160" t="s">
        <v>34</v>
      </c>
      <c r="I10" s="158" t="s">
        <v>129</v>
      </c>
      <c r="J10" s="158"/>
      <c r="K10" s="158"/>
      <c r="L10" s="158"/>
      <c r="M10" s="175"/>
      <c r="N10" s="175"/>
      <c r="O10" s="175"/>
      <c r="P10" s="175"/>
      <c r="Q10" s="176"/>
      <c r="R10" s="176"/>
    </row>
    <row r="11" spans="2:18" ht="27.95" customHeight="1">
      <c r="B11" s="158" t="s">
        <v>79</v>
      </c>
      <c r="C11" s="158" t="s">
        <v>80</v>
      </c>
      <c r="D11" s="159">
        <f>'3YP'!E33</f>
        <v>200</v>
      </c>
      <c r="E11" s="159">
        <f>'3YP'!G33</f>
        <v>500</v>
      </c>
      <c r="F11" s="160" t="str">
        <f t="shared" si="0"/>
        <v>Low</v>
      </c>
      <c r="G11" s="160" t="s">
        <v>39</v>
      </c>
      <c r="H11" s="160" t="s">
        <v>34</v>
      </c>
      <c r="I11" s="162" t="s">
        <v>129</v>
      </c>
      <c r="J11" s="158"/>
      <c r="K11" s="158"/>
      <c r="L11" s="158"/>
      <c r="M11" s="175"/>
      <c r="N11" s="175"/>
      <c r="O11" s="175"/>
      <c r="P11" s="175"/>
      <c r="Q11" s="176"/>
      <c r="R11" s="176"/>
    </row>
    <row r="12" spans="2:18" ht="27.95" customHeight="1">
      <c r="B12" s="190" t="s">
        <v>87</v>
      </c>
      <c r="C12" s="190" t="s">
        <v>72</v>
      </c>
      <c r="D12" s="191">
        <f>'3YP'!E34</f>
        <v>145</v>
      </c>
      <c r="E12" s="191">
        <f>'3YP'!G34</f>
        <v>375</v>
      </c>
      <c r="F12" s="192" t="str">
        <f t="shared" si="0"/>
        <v>Low</v>
      </c>
      <c r="G12" s="192" t="s">
        <v>39</v>
      </c>
      <c r="H12" s="192" t="s">
        <v>34</v>
      </c>
      <c r="I12" s="190" t="s">
        <v>129</v>
      </c>
      <c r="J12" s="190"/>
      <c r="K12" s="190"/>
      <c r="L12" s="190"/>
      <c r="M12" s="179"/>
      <c r="N12" s="179"/>
      <c r="O12" s="179"/>
      <c r="P12" s="179"/>
      <c r="Q12" s="180"/>
      <c r="R12" s="180"/>
    </row>
    <row r="13" spans="2:18" ht="27.95" customHeight="1">
      <c r="B13" s="187" t="s">
        <v>133</v>
      </c>
      <c r="C13" s="187"/>
      <c r="D13" s="194">
        <f>SUM(D10:D12)</f>
        <v>1145</v>
      </c>
      <c r="E13" s="194">
        <f>SUM(E10:E12)</f>
        <v>2475</v>
      </c>
      <c r="F13" s="195" t="s">
        <v>39</v>
      </c>
      <c r="G13" s="195" t="s">
        <v>39</v>
      </c>
      <c r="H13" s="195" t="s">
        <v>34</v>
      </c>
      <c r="I13" s="187" t="s">
        <v>129</v>
      </c>
      <c r="J13" s="189"/>
      <c r="K13" s="2"/>
      <c r="L13" s="189"/>
    </row>
    <row r="14" spans="2:18" ht="8.25" customHeight="1">
      <c r="B14" s="146"/>
      <c r="C14" s="146"/>
      <c r="D14" s="147"/>
      <c r="E14" s="147"/>
      <c r="F14" s="145"/>
      <c r="G14" s="145"/>
      <c r="H14" s="145"/>
      <c r="I14" s="146"/>
      <c r="J14" s="189"/>
      <c r="K14" s="2"/>
      <c r="L14" s="189"/>
    </row>
    <row r="15" spans="2:18" ht="27.95" customHeight="1">
      <c r="B15" s="158" t="s">
        <v>134</v>
      </c>
      <c r="C15" s="158" t="s">
        <v>101</v>
      </c>
      <c r="D15" s="159">
        <f>'3YP'!E38</f>
        <v>748</v>
      </c>
      <c r="E15" s="159">
        <f>'3YP'!G38</f>
        <v>888.62400000000014</v>
      </c>
      <c r="F15" s="160" t="str">
        <f t="shared" ref="F15:F18" si="1">IF(E15&gt;3000,"High",IF(E15&gt;1500,"Medium","Low"))</f>
        <v>Low</v>
      </c>
      <c r="G15" s="160" t="s">
        <v>39</v>
      </c>
      <c r="H15" s="160" t="s">
        <v>35</v>
      </c>
      <c r="I15" s="158" t="s">
        <v>124</v>
      </c>
      <c r="J15" s="158"/>
      <c r="K15" s="158"/>
      <c r="L15" s="158"/>
      <c r="M15" s="175"/>
      <c r="N15" s="175"/>
      <c r="O15" s="175"/>
      <c r="P15" s="175"/>
      <c r="Q15" s="176"/>
      <c r="R15" s="176"/>
    </row>
    <row r="16" spans="2:18" ht="27.95" customHeight="1">
      <c r="B16" s="162" t="s">
        <v>135</v>
      </c>
      <c r="C16" s="162" t="s">
        <v>101</v>
      </c>
      <c r="D16" s="163">
        <f>'3YP'!E39</f>
        <v>406</v>
      </c>
      <c r="E16" s="163">
        <f>'3YP'!G39</f>
        <v>482.32800000000003</v>
      </c>
      <c r="F16" s="160" t="str">
        <f t="shared" si="1"/>
        <v>Low</v>
      </c>
      <c r="G16" s="164" t="s">
        <v>39</v>
      </c>
      <c r="H16" s="164" t="s">
        <v>35</v>
      </c>
      <c r="I16" s="158" t="s">
        <v>136</v>
      </c>
      <c r="J16" s="158"/>
      <c r="K16" s="158"/>
      <c r="L16" s="158"/>
      <c r="M16" s="175"/>
      <c r="N16" s="175"/>
      <c r="O16" s="175"/>
      <c r="P16" s="175"/>
      <c r="Q16" s="176"/>
      <c r="R16" s="176"/>
    </row>
    <row r="17" spans="2:18" ht="27.95" customHeight="1">
      <c r="B17" s="162" t="s">
        <v>137</v>
      </c>
      <c r="C17" s="162" t="s">
        <v>101</v>
      </c>
      <c r="D17" s="163">
        <f>'3YP'!E40</f>
        <v>110</v>
      </c>
      <c r="E17" s="163">
        <f>'3YP'!G40</f>
        <v>130.68000000000004</v>
      </c>
      <c r="F17" s="160" t="str">
        <f t="shared" si="1"/>
        <v>Low</v>
      </c>
      <c r="G17" s="164" t="s">
        <v>39</v>
      </c>
      <c r="H17" s="164" t="s">
        <v>35</v>
      </c>
      <c r="I17" s="158" t="s">
        <v>136</v>
      </c>
      <c r="J17" s="158"/>
      <c r="K17" s="158"/>
      <c r="L17" s="158"/>
      <c r="M17" s="175"/>
      <c r="N17" s="175"/>
      <c r="O17" s="175"/>
      <c r="P17" s="175"/>
      <c r="Q17" s="176"/>
      <c r="R17" s="176"/>
    </row>
    <row r="18" spans="2:18" ht="27.95" customHeight="1">
      <c r="B18" s="190" t="s">
        <v>138</v>
      </c>
      <c r="C18" s="190" t="s">
        <v>76</v>
      </c>
      <c r="D18" s="191">
        <f>'3YP'!E41</f>
        <v>34.981104799999997</v>
      </c>
      <c r="E18" s="191">
        <f>'3YP'!G41</f>
        <v>34.981104799999997</v>
      </c>
      <c r="F18" s="192" t="str">
        <f t="shared" si="1"/>
        <v>Low</v>
      </c>
      <c r="G18" s="192" t="s">
        <v>34</v>
      </c>
      <c r="H18" s="192" t="s">
        <v>34</v>
      </c>
      <c r="I18" s="190" t="s">
        <v>124</v>
      </c>
      <c r="J18" s="190"/>
      <c r="K18" s="190"/>
      <c r="L18" s="190"/>
      <c r="M18" s="179"/>
      <c r="N18" s="179"/>
      <c r="O18" s="179"/>
      <c r="P18" s="179"/>
      <c r="Q18" s="180"/>
      <c r="R18" s="180"/>
    </row>
    <row r="19" spans="2:18" ht="27.95" customHeight="1">
      <c r="B19" s="187" t="s">
        <v>139</v>
      </c>
      <c r="C19" s="187"/>
      <c r="D19" s="194">
        <f>SUM(D15:D18)</f>
        <v>1298.9811047999999</v>
      </c>
      <c r="E19" s="194">
        <f>SUM(E15:E18)</f>
        <v>1536.6131048000002</v>
      </c>
      <c r="F19" s="195" t="s">
        <v>39</v>
      </c>
      <c r="G19" s="195" t="s">
        <v>39</v>
      </c>
      <c r="H19" s="195" t="s">
        <v>35</v>
      </c>
      <c r="I19" s="187" t="s">
        <v>136</v>
      </c>
      <c r="J19" s="189"/>
      <c r="K19" s="2"/>
      <c r="L19" s="189"/>
    </row>
    <row r="20" spans="2:18" ht="27.95" customHeight="1"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</row>
    <row r="21" spans="2:18" ht="27.95" customHeight="1" thickBot="1">
      <c r="B21" s="196" t="s">
        <v>140</v>
      </c>
      <c r="C21" s="196"/>
      <c r="D21" s="197">
        <f>SUM(D19,D13,D8)</f>
        <v>13725.998104800001</v>
      </c>
      <c r="E21" s="197">
        <f>SUM(E19,E13,E8)</f>
        <v>18002.913124800001</v>
      </c>
      <c r="F21" s="196"/>
      <c r="G21" s="196"/>
      <c r="H21" s="196"/>
      <c r="I21" s="196"/>
      <c r="J21" s="196"/>
      <c r="K21" s="196"/>
      <c r="L21" s="196"/>
      <c r="M21" s="198"/>
      <c r="N21" s="198"/>
      <c r="O21" s="198"/>
      <c r="P21" s="198"/>
      <c r="Q21" s="199"/>
      <c r="R21" s="19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AC6A5E-94FA-48A7-921D-696425C7C7F5}">
          <x14:formula1>
            <xm:f>List!$B:$B</xm:f>
          </x14:formula1>
          <xm:sqref>F4:H19</xm:sqref>
        </x14:dataValidation>
        <x14:dataValidation type="list" allowBlank="1" showInputMessage="1" showErrorMessage="1" xr:uid="{048A0A3B-7C58-4F96-9819-6B2C80924535}">
          <x14:formula1>
            <xm:f>List!$I:$I</xm:f>
          </x14:formula1>
          <xm:sqref>I4:I19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F66B-2F94-4C0A-BC24-A511EEB80AD2}">
  <dimension ref="B1:D4"/>
  <sheetViews>
    <sheetView showGridLines="0" workbookViewId="0">
      <selection activeCell="D4" sqref="D4"/>
    </sheetView>
  </sheetViews>
  <sheetFormatPr defaultRowHeight="15"/>
  <cols>
    <col min="2" max="2" width="12" bestFit="1" customWidth="1"/>
    <col min="3" max="3" width="74.42578125" customWidth="1"/>
    <col min="4" max="4" width="57.140625" customWidth="1"/>
  </cols>
  <sheetData>
    <row r="1" spans="2:4">
      <c r="B1" s="13"/>
      <c r="C1" s="13" t="s">
        <v>141</v>
      </c>
      <c r="D1" s="13" t="s">
        <v>142</v>
      </c>
    </row>
    <row r="2" spans="2:4" s="200" customFormat="1" ht="45">
      <c r="B2" s="203" t="s">
        <v>121</v>
      </c>
      <c r="C2" s="204" t="s">
        <v>143</v>
      </c>
      <c r="D2" s="205" t="s">
        <v>144</v>
      </c>
    </row>
    <row r="3" spans="2:4" s="200" customFormat="1" ht="120">
      <c r="B3" s="206" t="s">
        <v>122</v>
      </c>
      <c r="C3" s="207" t="s">
        <v>145</v>
      </c>
      <c r="D3" s="208" t="s">
        <v>146</v>
      </c>
    </row>
    <row r="4" spans="2:4" s="200" customFormat="1" ht="60">
      <c r="B4" s="200" t="s">
        <v>123</v>
      </c>
      <c r="C4" s="201" t="s">
        <v>147</v>
      </c>
      <c r="D4" s="202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4F9F-E124-4906-8EC6-3D72A632514D}">
  <sheetPr>
    <tabColor theme="1"/>
  </sheetPr>
  <dimension ref="A1"/>
  <sheetViews>
    <sheetView showGridLines="0" workbookViewId="0"/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B9BB-9F27-47E0-BD35-6089C62F97F6}">
  <sheetPr>
    <tabColor rgb="FF92D050"/>
  </sheetPr>
  <dimension ref="B1:AT47"/>
  <sheetViews>
    <sheetView showGridLines="0" topLeftCell="J1" workbookViewId="0">
      <selection activeCell="Z1" sqref="Z1:AE1"/>
    </sheetView>
  </sheetViews>
  <sheetFormatPr defaultColWidth="8.85546875" defaultRowHeight="15"/>
  <cols>
    <col min="2" max="2" width="29" bestFit="1" customWidth="1"/>
    <col min="10" max="10" width="29" bestFit="1" customWidth="1"/>
    <col min="17" max="17" width="19.140625" bestFit="1" customWidth="1"/>
  </cols>
  <sheetData>
    <row r="1" spans="2:46">
      <c r="Z1" s="9">
        <v>0.05</v>
      </c>
      <c r="AA1" s="9">
        <v>0.1</v>
      </c>
      <c r="AB1" s="9">
        <v>0.1</v>
      </c>
      <c r="AC1" s="9">
        <v>0.2</v>
      </c>
      <c r="AD1" s="9">
        <v>0.25</v>
      </c>
      <c r="AE1" s="9">
        <v>0.3</v>
      </c>
    </row>
    <row r="2" spans="2:46">
      <c r="B2" t="s">
        <v>149</v>
      </c>
    </row>
    <row r="3" spans="2:46">
      <c r="B3" t="s">
        <v>150</v>
      </c>
      <c r="R3" t="s">
        <v>151</v>
      </c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G3" t="s">
        <v>152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</row>
    <row r="4" spans="2:46">
      <c r="R4" s="184" t="str">
        <f>MONTH(R5)&amp;RIGHT(YEAR(R5), 2)</f>
        <v>1125</v>
      </c>
      <c r="S4" s="184" t="str">
        <f t="shared" ref="S4:AE4" si="0">MONTH(S5)&amp;RIGHT(YEAR(S5), 2)</f>
        <v>1225</v>
      </c>
      <c r="T4" s="184" t="str">
        <f t="shared" si="0"/>
        <v>126</v>
      </c>
      <c r="U4" s="184" t="str">
        <f t="shared" si="0"/>
        <v>226</v>
      </c>
      <c r="V4" s="184" t="str">
        <f t="shared" si="0"/>
        <v>326</v>
      </c>
      <c r="W4" s="184" t="str">
        <f t="shared" si="0"/>
        <v>426</v>
      </c>
      <c r="X4" s="184" t="str">
        <f t="shared" si="0"/>
        <v>526</v>
      </c>
      <c r="Y4" s="184" t="str">
        <f t="shared" si="0"/>
        <v>626</v>
      </c>
      <c r="Z4" s="184" t="str">
        <f t="shared" si="0"/>
        <v>726</v>
      </c>
      <c r="AA4" s="184" t="str">
        <f t="shared" si="0"/>
        <v>826</v>
      </c>
      <c r="AB4" s="184" t="str">
        <f t="shared" si="0"/>
        <v>926</v>
      </c>
      <c r="AC4" s="184" t="str">
        <f t="shared" si="0"/>
        <v>1026</v>
      </c>
      <c r="AD4" s="184" t="str">
        <f t="shared" si="0"/>
        <v>1126</v>
      </c>
      <c r="AE4" s="184" t="str">
        <f t="shared" si="0"/>
        <v>1226</v>
      </c>
      <c r="AG4" s="184" t="str">
        <f>MONTH(AG5)&amp;RIGHT(YEAR(AG5), 2)</f>
        <v>1125</v>
      </c>
      <c r="AH4" s="184" t="str">
        <f t="shared" ref="AH4:AT4" si="1">MONTH(AH5)&amp;RIGHT(YEAR(AH5), 2)</f>
        <v>1225</v>
      </c>
      <c r="AI4" s="184" t="str">
        <f t="shared" si="1"/>
        <v>126</v>
      </c>
      <c r="AJ4" s="184" t="str">
        <f t="shared" si="1"/>
        <v>226</v>
      </c>
      <c r="AK4" s="184" t="str">
        <f t="shared" si="1"/>
        <v>326</v>
      </c>
      <c r="AL4" s="184" t="str">
        <f t="shared" si="1"/>
        <v>426</v>
      </c>
      <c r="AM4" s="184" t="str">
        <f t="shared" si="1"/>
        <v>526</v>
      </c>
      <c r="AN4" s="184" t="str">
        <f t="shared" si="1"/>
        <v>626</v>
      </c>
      <c r="AO4" s="184" t="str">
        <f t="shared" si="1"/>
        <v>726</v>
      </c>
      <c r="AP4" s="184" t="str">
        <f t="shared" si="1"/>
        <v>826</v>
      </c>
      <c r="AQ4" s="184" t="str">
        <f t="shared" si="1"/>
        <v>926</v>
      </c>
      <c r="AR4" s="184" t="str">
        <f t="shared" si="1"/>
        <v>1026</v>
      </c>
      <c r="AS4" s="184" t="str">
        <f t="shared" si="1"/>
        <v>1126</v>
      </c>
      <c r="AT4" s="184" t="str">
        <f t="shared" si="1"/>
        <v>1226</v>
      </c>
    </row>
    <row r="5" spans="2:46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R5" s="185">
        <v>45962</v>
      </c>
      <c r="S5" s="185">
        <v>45992</v>
      </c>
      <c r="T5" s="185">
        <v>46023</v>
      </c>
      <c r="U5" s="185">
        <v>46054</v>
      </c>
      <c r="V5" s="185">
        <v>46082</v>
      </c>
      <c r="W5" s="185">
        <v>46113</v>
      </c>
      <c r="X5" s="185">
        <v>46143</v>
      </c>
      <c r="Y5" s="185">
        <v>46174</v>
      </c>
      <c r="Z5" s="185">
        <v>46204</v>
      </c>
      <c r="AA5" s="185">
        <v>46235</v>
      </c>
      <c r="AB5" s="185">
        <v>46266</v>
      </c>
      <c r="AC5" s="185">
        <v>46296</v>
      </c>
      <c r="AD5" s="185">
        <v>46327</v>
      </c>
      <c r="AE5" s="185">
        <v>46357</v>
      </c>
      <c r="AG5" s="185">
        <v>45962</v>
      </c>
      <c r="AH5" s="185">
        <v>45992</v>
      </c>
      <c r="AI5" s="185">
        <v>46023</v>
      </c>
      <c r="AJ5" s="185">
        <v>46054</v>
      </c>
      <c r="AK5" s="185">
        <v>46082</v>
      </c>
      <c r="AL5" s="185">
        <v>46113</v>
      </c>
      <c r="AM5" s="185">
        <v>46143</v>
      </c>
      <c r="AN5" s="185">
        <v>46174</v>
      </c>
      <c r="AO5" s="185">
        <v>46204</v>
      </c>
      <c r="AP5" s="185">
        <v>46235</v>
      </c>
      <c r="AQ5" s="185">
        <v>46266</v>
      </c>
      <c r="AR5" s="185">
        <v>46296</v>
      </c>
      <c r="AS5" s="185">
        <v>46327</v>
      </c>
      <c r="AT5" s="185">
        <v>46357</v>
      </c>
    </row>
    <row r="6" spans="2:46">
      <c r="Q6" t="s">
        <v>154</v>
      </c>
      <c r="Z6" s="212">
        <f>$K7*50%*Z$1</f>
        <v>6.7397268749999997</v>
      </c>
      <c r="AA6" s="212">
        <f t="shared" ref="AA6:AE6" si="2">$K7*50%*AA$1</f>
        <v>13.479453749999999</v>
      </c>
      <c r="AB6" s="212">
        <f t="shared" si="2"/>
        <v>13.479453749999999</v>
      </c>
      <c r="AC6" s="212">
        <f t="shared" si="2"/>
        <v>26.958907499999999</v>
      </c>
      <c r="AD6" s="212">
        <f t="shared" si="2"/>
        <v>33.698634374999997</v>
      </c>
      <c r="AE6" s="212">
        <f t="shared" si="2"/>
        <v>40.438361249999993</v>
      </c>
      <c r="AG6" s="3">
        <f>R6</f>
        <v>0</v>
      </c>
      <c r="AH6" s="4">
        <f>AG6+S6</f>
        <v>0</v>
      </c>
      <c r="AI6" s="4">
        <f t="shared" ref="AI6:AT7" si="3">AH6+T6</f>
        <v>0</v>
      </c>
      <c r="AJ6" s="4">
        <f t="shared" si="3"/>
        <v>0</v>
      </c>
      <c r="AK6" s="4">
        <f t="shared" si="3"/>
        <v>0</v>
      </c>
      <c r="AL6" s="4">
        <f t="shared" si="3"/>
        <v>0</v>
      </c>
      <c r="AM6" s="4">
        <f t="shared" si="3"/>
        <v>0</v>
      </c>
      <c r="AN6" s="4">
        <f t="shared" si="3"/>
        <v>0</v>
      </c>
      <c r="AO6" s="4">
        <f t="shared" si="3"/>
        <v>6.7397268749999997</v>
      </c>
      <c r="AP6" s="4">
        <f t="shared" si="3"/>
        <v>20.219180625</v>
      </c>
      <c r="AQ6" s="4">
        <f t="shared" si="3"/>
        <v>33.698634374999997</v>
      </c>
      <c r="AR6" s="4">
        <f t="shared" si="3"/>
        <v>60.657541874999993</v>
      </c>
      <c r="AS6" s="4">
        <f t="shared" si="3"/>
        <v>94.35617624999999</v>
      </c>
      <c r="AT6" s="4">
        <f t="shared" si="3"/>
        <v>134.79453749999999</v>
      </c>
    </row>
    <row r="7" spans="2:46">
      <c r="B7" s="64" t="s">
        <v>155</v>
      </c>
      <c r="C7" s="93">
        <f>C46*10+'3YP'!E11*C47</f>
        <v>385.12725</v>
      </c>
      <c r="D7" s="93">
        <f>C46*20+D46*15+'3YP'!F11*D47</f>
        <v>930.467625</v>
      </c>
      <c r="E7" s="93">
        <f>C46*25+D46*20+E46*15+'3YP'!G11*E47</f>
        <v>1601.8061750000002</v>
      </c>
      <c r="H7" s="9">
        <v>-0.3</v>
      </c>
      <c r="J7" s="64" t="s">
        <v>155</v>
      </c>
      <c r="K7" s="93">
        <f>C7*(1+$H$7)</f>
        <v>269.58907499999998</v>
      </c>
      <c r="L7" s="93">
        <f t="shared" ref="L7:M8" si="4">D7*(1+$H$7)</f>
        <v>651.3273375</v>
      </c>
      <c r="M7" s="93">
        <f t="shared" si="4"/>
        <v>1121.2643224999999</v>
      </c>
      <c r="Q7" t="s">
        <v>156</v>
      </c>
      <c r="Z7" s="212">
        <f>$K7*50%*Z$1</f>
        <v>6.7397268749999997</v>
      </c>
      <c r="AA7" s="212">
        <f t="shared" ref="AA7:AE7" si="5">$K7*50%*AA$1</f>
        <v>13.479453749999999</v>
      </c>
      <c r="AB7" s="212">
        <f t="shared" si="5"/>
        <v>13.479453749999999</v>
      </c>
      <c r="AC7" s="212">
        <f t="shared" si="5"/>
        <v>26.958907499999999</v>
      </c>
      <c r="AD7" s="212">
        <f t="shared" si="5"/>
        <v>33.698634374999997</v>
      </c>
      <c r="AE7" s="212">
        <f t="shared" si="5"/>
        <v>40.438361249999993</v>
      </c>
      <c r="AG7" s="3">
        <f>R7</f>
        <v>0</v>
      </c>
      <c r="AH7" s="4">
        <f>AG7+S7</f>
        <v>0</v>
      </c>
      <c r="AI7" s="4">
        <f t="shared" si="3"/>
        <v>0</v>
      </c>
      <c r="AJ7" s="4">
        <f t="shared" si="3"/>
        <v>0</v>
      </c>
      <c r="AK7" s="4">
        <f t="shared" si="3"/>
        <v>0</v>
      </c>
      <c r="AL7" s="4">
        <f t="shared" si="3"/>
        <v>0</v>
      </c>
      <c r="AM7" s="4">
        <f t="shared" si="3"/>
        <v>0</v>
      </c>
      <c r="AN7" s="4">
        <f t="shared" si="3"/>
        <v>0</v>
      </c>
      <c r="AO7" s="4">
        <f t="shared" si="3"/>
        <v>6.7397268749999997</v>
      </c>
      <c r="AP7" s="4">
        <f t="shared" si="3"/>
        <v>20.219180625</v>
      </c>
      <c r="AQ7" s="4">
        <f t="shared" si="3"/>
        <v>33.698634374999997</v>
      </c>
      <c r="AR7" s="4">
        <f t="shared" si="3"/>
        <v>60.657541874999993</v>
      </c>
      <c r="AS7" s="4">
        <f t="shared" si="3"/>
        <v>94.35617624999999</v>
      </c>
      <c r="AT7" s="4">
        <f t="shared" si="3"/>
        <v>134.79453749999999</v>
      </c>
    </row>
    <row r="8" spans="2:46">
      <c r="B8" t="s">
        <v>157</v>
      </c>
      <c r="C8" s="91">
        <f>-C7*(1-COGS!C3)</f>
        <v>-57.769087500000012</v>
      </c>
      <c r="D8" s="91">
        <f>-D7*(1-COGS!D3)</f>
        <v>-137.24397468750007</v>
      </c>
      <c r="E8" s="91">
        <f>-E7*(1-COGS!E3)</f>
        <v>-232.26189537500022</v>
      </c>
      <c r="J8" t="s">
        <v>157</v>
      </c>
      <c r="K8" s="91">
        <f>C8*(1+$H$7)</f>
        <v>-40.438361250000007</v>
      </c>
      <c r="L8" s="91">
        <f t="shared" si="4"/>
        <v>-96.070782281250047</v>
      </c>
      <c r="M8" s="91">
        <f t="shared" si="4"/>
        <v>-162.58332676250015</v>
      </c>
    </row>
    <row r="9" spans="2:46">
      <c r="B9" s="49"/>
      <c r="C9" s="3"/>
      <c r="D9" s="3"/>
      <c r="E9" s="3"/>
      <c r="J9" s="49"/>
      <c r="K9" s="3"/>
      <c r="L9" s="3"/>
      <c r="M9" s="3"/>
    </row>
    <row r="10" spans="2:46">
      <c r="B10" s="65" t="s">
        <v>158</v>
      </c>
      <c r="C10" s="94">
        <f>SUM(C7:C8)</f>
        <v>327.35816249999999</v>
      </c>
      <c r="D10" s="94">
        <f>SUM(D7:D8)</f>
        <v>793.2236503124999</v>
      </c>
      <c r="E10" s="94">
        <f>SUM(E7:E8)</f>
        <v>1369.5442796249999</v>
      </c>
      <c r="J10" s="65" t="s">
        <v>158</v>
      </c>
      <c r="K10" s="94">
        <f>SUM(K7:K8)</f>
        <v>229.15071374999997</v>
      </c>
      <c r="L10" s="94">
        <f>SUM(L7:L8)</f>
        <v>555.25655521875001</v>
      </c>
      <c r="M10" s="94">
        <f>SUM(M7:M8)</f>
        <v>958.68099573749976</v>
      </c>
      <c r="Q10" t="s">
        <v>159</v>
      </c>
      <c r="V10" s="91">
        <f>V6*$K$17+V14+SUM($K$25:$K$26)*(V6/SUM($T6:$AE6))/2</f>
        <v>-12</v>
      </c>
      <c r="W10" s="91">
        <f t="shared" ref="W10:AE11" si="6">W6*$K$17+W14+SUM($K$25:$K$26)*(W6/SUM($T6:$AE6))/2</f>
        <v>-12</v>
      </c>
      <c r="X10" s="91">
        <f t="shared" si="6"/>
        <v>-12</v>
      </c>
      <c r="Y10" s="91">
        <f t="shared" si="6"/>
        <v>-12</v>
      </c>
      <c r="Z10" s="91">
        <f t="shared" si="6"/>
        <v>-7.1376021125000007</v>
      </c>
      <c r="AA10" s="91">
        <f t="shared" si="6"/>
        <v>-2.2752042250000013</v>
      </c>
      <c r="AB10" s="91">
        <f t="shared" si="6"/>
        <v>-2.2752042250000013</v>
      </c>
      <c r="AC10" s="91">
        <f t="shared" si="6"/>
        <v>7.4495915499999974</v>
      </c>
      <c r="AD10" s="91">
        <f t="shared" si="6"/>
        <v>12.311989437499998</v>
      </c>
      <c r="AE10" s="91">
        <f t="shared" si="6"/>
        <v>17.174387324999991</v>
      </c>
      <c r="AG10" s="3">
        <f>R10</f>
        <v>0</v>
      </c>
      <c r="AH10" s="4">
        <f>AG10+S10</f>
        <v>0</v>
      </c>
      <c r="AI10" s="4">
        <f t="shared" ref="AI10:AT11" si="7">AH10+T10</f>
        <v>0</v>
      </c>
      <c r="AJ10" s="4">
        <f t="shared" si="7"/>
        <v>0</v>
      </c>
      <c r="AK10" s="4">
        <f t="shared" si="7"/>
        <v>-12</v>
      </c>
      <c r="AL10" s="4">
        <f t="shared" si="7"/>
        <v>-24</v>
      </c>
      <c r="AM10" s="4">
        <f t="shared" si="7"/>
        <v>-36</v>
      </c>
      <c r="AN10" s="4">
        <f t="shared" si="7"/>
        <v>-48</v>
      </c>
      <c r="AO10" s="4">
        <f t="shared" si="7"/>
        <v>-55.137602112499998</v>
      </c>
      <c r="AP10" s="4">
        <f t="shared" si="7"/>
        <v>-57.412806337500001</v>
      </c>
      <c r="AQ10" s="4">
        <f t="shared" si="7"/>
        <v>-59.688010562500004</v>
      </c>
      <c r="AR10" s="4">
        <f t="shared" si="7"/>
        <v>-52.238419012500003</v>
      </c>
      <c r="AS10" s="4">
        <f t="shared" si="7"/>
        <v>-39.926429575000007</v>
      </c>
      <c r="AT10" s="4">
        <f t="shared" si="7"/>
        <v>-22.752042250000017</v>
      </c>
    </row>
    <row r="11" spans="2:46">
      <c r="B11" s="66" t="s">
        <v>160</v>
      </c>
      <c r="C11" s="67">
        <f>C10/C$7</f>
        <v>0.85</v>
      </c>
      <c r="D11" s="67">
        <f>D10/D$7</f>
        <v>0.85249999999999992</v>
      </c>
      <c r="E11" s="67">
        <f>E10/E$7</f>
        <v>0.85499999999999987</v>
      </c>
      <c r="J11" s="66" t="s">
        <v>160</v>
      </c>
      <c r="K11" s="67">
        <f>K10/K$7</f>
        <v>0.85</v>
      </c>
      <c r="L11" s="67">
        <f>L10/L$7</f>
        <v>0.85250000000000004</v>
      </c>
      <c r="M11" s="67">
        <f>M10/M$7</f>
        <v>0.85499999999999987</v>
      </c>
      <c r="Q11" t="s">
        <v>161</v>
      </c>
      <c r="V11" s="91">
        <f>V7*$K$17+V15+SUM($K$25:$K$26)*(V7/SUM($T7:$AE7))/2</f>
        <v>-54.29</v>
      </c>
      <c r="W11" s="91">
        <f t="shared" si="6"/>
        <v>-54.29</v>
      </c>
      <c r="X11" s="91">
        <f t="shared" si="6"/>
        <v>-54.29</v>
      </c>
      <c r="Y11" s="91">
        <f t="shared" si="6"/>
        <v>-54.29</v>
      </c>
      <c r="Z11" s="91">
        <f t="shared" si="6"/>
        <v>-49.427602112499997</v>
      </c>
      <c r="AA11" s="91">
        <f t="shared" si="6"/>
        <v>-44.565204225000002</v>
      </c>
      <c r="AB11" s="91">
        <f t="shared" si="6"/>
        <v>-44.565204225000002</v>
      </c>
      <c r="AC11" s="91">
        <f t="shared" si="6"/>
        <v>-34.840408449999998</v>
      </c>
      <c r="AD11" s="91">
        <f t="shared" si="6"/>
        <v>-29.978010562500003</v>
      </c>
      <c r="AE11" s="91">
        <f t="shared" si="6"/>
        <v>-25.115612675000008</v>
      </c>
      <c r="AG11" s="3">
        <f>R11</f>
        <v>0</v>
      </c>
      <c r="AH11" s="4">
        <f>AG11+S11</f>
        <v>0</v>
      </c>
      <c r="AI11" s="4">
        <f t="shared" si="7"/>
        <v>0</v>
      </c>
      <c r="AJ11" s="4">
        <f t="shared" si="7"/>
        <v>0</v>
      </c>
      <c r="AK11" s="4">
        <f t="shared" si="7"/>
        <v>-54.29</v>
      </c>
      <c r="AL11" s="4">
        <f t="shared" si="7"/>
        <v>-108.58</v>
      </c>
      <c r="AM11" s="4">
        <f t="shared" si="7"/>
        <v>-162.87</v>
      </c>
      <c r="AN11" s="4">
        <f t="shared" si="7"/>
        <v>-217.16</v>
      </c>
      <c r="AO11" s="4">
        <f t="shared" si="7"/>
        <v>-266.58760211250001</v>
      </c>
      <c r="AP11" s="4">
        <f t="shared" si="7"/>
        <v>-311.15280633750001</v>
      </c>
      <c r="AQ11" s="4">
        <f t="shared" si="7"/>
        <v>-355.71801056250001</v>
      </c>
      <c r="AR11" s="4">
        <f t="shared" si="7"/>
        <v>-390.5584190125</v>
      </c>
      <c r="AS11" s="4">
        <f t="shared" si="7"/>
        <v>-420.536429575</v>
      </c>
      <c r="AT11" s="4">
        <f t="shared" si="7"/>
        <v>-445.65204225000002</v>
      </c>
    </row>
    <row r="12" spans="2:46">
      <c r="B12" s="49"/>
      <c r="C12" s="3"/>
      <c r="D12" s="3"/>
      <c r="E12" s="3"/>
      <c r="J12" s="49"/>
      <c r="K12" s="3"/>
      <c r="L12" s="3"/>
      <c r="M12" s="3"/>
    </row>
    <row r="13" spans="2:46">
      <c r="B13" t="s">
        <v>162</v>
      </c>
      <c r="C13" s="91">
        <f>-C7*'Other COS'!$C$4</f>
        <v>-3.8512725000000003</v>
      </c>
      <c r="D13" s="91">
        <f>-D7*'Other COS'!$C$4</f>
        <v>-9.30467625</v>
      </c>
      <c r="E13" s="91">
        <f>-E7*'Other COS'!$C$4</f>
        <v>-16.018061750000001</v>
      </c>
      <c r="J13" t="s">
        <v>162</v>
      </c>
      <c r="K13" s="91">
        <f>-K7*'Other COS'!$C$4</f>
        <v>-2.6958907499999998</v>
      </c>
      <c r="L13" s="91">
        <f>-L7*'Other COS'!$C$4</f>
        <v>-6.5132733749999998</v>
      </c>
      <c r="M13" s="91">
        <f>-M7*'Other COS'!$C$4</f>
        <v>-11.212643224999999</v>
      </c>
    </row>
    <row r="14" spans="2:46">
      <c r="B14" t="s">
        <v>163</v>
      </c>
      <c r="C14" s="91">
        <v>0</v>
      </c>
      <c r="D14" s="91">
        <f>-D7*3%</f>
        <v>-27.91402875</v>
      </c>
      <c r="E14" s="91">
        <f>-E7*3%</f>
        <v>-48.054185250000003</v>
      </c>
      <c r="J14" t="s">
        <v>163</v>
      </c>
      <c r="K14" s="91">
        <v>0</v>
      </c>
      <c r="L14" s="91">
        <f>-L7*3%</f>
        <v>-19.539820124999999</v>
      </c>
      <c r="M14" s="91">
        <f>-M7*3%</f>
        <v>-33.637929674999995</v>
      </c>
      <c r="Q14" t="s">
        <v>164</v>
      </c>
      <c r="V14" s="91">
        <f>$K20*10%</f>
        <v>-12</v>
      </c>
      <c r="W14" s="91">
        <f t="shared" ref="W14:AE14" si="8">$K20*10%</f>
        <v>-12</v>
      </c>
      <c r="X14" s="91">
        <f t="shared" si="8"/>
        <v>-12</v>
      </c>
      <c r="Y14" s="91">
        <f t="shared" si="8"/>
        <v>-12</v>
      </c>
      <c r="Z14" s="91">
        <f t="shared" si="8"/>
        <v>-12</v>
      </c>
      <c r="AA14" s="91">
        <f t="shared" si="8"/>
        <v>-12</v>
      </c>
      <c r="AB14" s="91">
        <f t="shared" si="8"/>
        <v>-12</v>
      </c>
      <c r="AC14" s="91">
        <f t="shared" si="8"/>
        <v>-12</v>
      </c>
      <c r="AD14" s="91">
        <f t="shared" si="8"/>
        <v>-12</v>
      </c>
      <c r="AE14" s="91">
        <f t="shared" si="8"/>
        <v>-12</v>
      </c>
    </row>
    <row r="15" spans="2:46">
      <c r="B15" s="49"/>
      <c r="C15" s="3"/>
      <c r="D15" s="3"/>
      <c r="E15" s="3"/>
      <c r="J15" s="49"/>
      <c r="K15" s="3"/>
      <c r="L15" s="3"/>
      <c r="M15" s="3"/>
      <c r="Q15" t="s">
        <v>165</v>
      </c>
      <c r="V15" s="91">
        <f>$K19*10%</f>
        <v>-54.29</v>
      </c>
      <c r="W15" s="91">
        <f t="shared" ref="W15:AE15" si="9">$K19*10%</f>
        <v>-54.29</v>
      </c>
      <c r="X15" s="91">
        <f t="shared" si="9"/>
        <v>-54.29</v>
      </c>
      <c r="Y15" s="91">
        <f t="shared" si="9"/>
        <v>-54.29</v>
      </c>
      <c r="Z15" s="91">
        <f t="shared" si="9"/>
        <v>-54.29</v>
      </c>
      <c r="AA15" s="91">
        <f t="shared" si="9"/>
        <v>-54.29</v>
      </c>
      <c r="AB15" s="91">
        <f t="shared" si="9"/>
        <v>-54.29</v>
      </c>
      <c r="AC15" s="91">
        <f t="shared" si="9"/>
        <v>-54.29</v>
      </c>
      <c r="AD15" s="91">
        <f t="shared" si="9"/>
        <v>-54.29</v>
      </c>
      <c r="AE15" s="91">
        <f t="shared" si="9"/>
        <v>-54.29</v>
      </c>
    </row>
    <row r="16" spans="2:46">
      <c r="B16" s="65" t="s">
        <v>166</v>
      </c>
      <c r="C16" s="94">
        <f>SUM(C10,C13:C14)</f>
        <v>323.50689</v>
      </c>
      <c r="D16" s="94">
        <f>SUM(D10,D13:D14)</f>
        <v>756.00494531250001</v>
      </c>
      <c r="E16" s="94">
        <f>SUM(E10,E13:E14)</f>
        <v>1305.4720326249999</v>
      </c>
      <c r="J16" s="65" t="s">
        <v>166</v>
      </c>
      <c r="K16" s="94">
        <f>SUM(K10,K13:K14)</f>
        <v>226.45482299999998</v>
      </c>
      <c r="L16" s="94">
        <f>SUM(L10,L13:L14)</f>
        <v>529.20346171874996</v>
      </c>
      <c r="M16" s="94">
        <f>SUM(M10,M13:M14)</f>
        <v>913.83042283749978</v>
      </c>
    </row>
    <row r="17" spans="2:13">
      <c r="B17" s="66" t="s">
        <v>167</v>
      </c>
      <c r="C17" s="67">
        <f>C16/C$7</f>
        <v>0.84</v>
      </c>
      <c r="D17" s="67">
        <f>D16/D$7</f>
        <v>0.8125</v>
      </c>
      <c r="E17" s="67">
        <f>E16/E$7</f>
        <v>0.81499999999999984</v>
      </c>
      <c r="J17" s="66" t="s">
        <v>167</v>
      </c>
      <c r="K17" s="67">
        <f>K16/K$7</f>
        <v>0.84</v>
      </c>
      <c r="L17" s="67">
        <f>L16/L$7</f>
        <v>0.8125</v>
      </c>
      <c r="M17" s="67">
        <f>M16/M$7</f>
        <v>0.81499999999999984</v>
      </c>
    </row>
    <row r="18" spans="2:13">
      <c r="B18" s="49"/>
      <c r="C18" s="3"/>
      <c r="D18" s="3"/>
      <c r="E18" s="3"/>
      <c r="J18" s="49"/>
      <c r="K18" s="3"/>
      <c r="L18" s="3"/>
      <c r="M18" s="3"/>
    </row>
    <row r="19" spans="2:13">
      <c r="B19" t="s">
        <v>168</v>
      </c>
      <c r="C19" s="91">
        <f>-Extra!F5/1000</f>
        <v>-542.9</v>
      </c>
      <c r="D19" s="91">
        <f>C19*1.1</f>
        <v>-597.19000000000005</v>
      </c>
      <c r="E19" s="91">
        <f>D19*1.1</f>
        <v>-656.90900000000011</v>
      </c>
      <c r="J19" t="s">
        <v>168</v>
      </c>
      <c r="K19" s="91">
        <f t="shared" ref="K19:K20" si="10">C19</f>
        <v>-542.9</v>
      </c>
      <c r="L19" s="91">
        <f t="shared" ref="L19:L20" si="11">D19</f>
        <v>-597.19000000000005</v>
      </c>
      <c r="M19" s="91">
        <f t="shared" ref="M19:M20" si="12">E19</f>
        <v>-656.90900000000011</v>
      </c>
    </row>
    <row r="20" spans="2:13">
      <c r="B20" t="s">
        <v>169</v>
      </c>
      <c r="C20" s="91">
        <f>-Extra!F42/1000</f>
        <v>-120</v>
      </c>
      <c r="D20" s="91">
        <f>C20*1.1</f>
        <v>-132</v>
      </c>
      <c r="E20" s="91">
        <f>D20*1.1</f>
        <v>-145.20000000000002</v>
      </c>
      <c r="J20" t="s">
        <v>169</v>
      </c>
      <c r="K20" s="91">
        <f t="shared" si="10"/>
        <v>-120</v>
      </c>
      <c r="L20" s="91">
        <f t="shared" si="11"/>
        <v>-132</v>
      </c>
      <c r="M20" s="91">
        <f t="shared" si="12"/>
        <v>-145.20000000000002</v>
      </c>
    </row>
    <row r="21" spans="2:13">
      <c r="B21" s="49"/>
      <c r="C21" s="3"/>
      <c r="D21" s="3"/>
      <c r="E21" s="3"/>
      <c r="J21" s="49"/>
      <c r="K21" s="3"/>
      <c r="L21" s="3"/>
      <c r="M21" s="3"/>
    </row>
    <row r="22" spans="2:13">
      <c r="B22" s="65" t="s">
        <v>170</v>
      </c>
      <c r="C22" s="94">
        <f>SUM(C16,C19:C20)</f>
        <v>-339.39310999999998</v>
      </c>
      <c r="D22" s="94">
        <f>SUM(D16,D19:D20)</f>
        <v>26.814945312499958</v>
      </c>
      <c r="E22" s="94">
        <f>SUM(E16,E19:E20)</f>
        <v>503.36303262499973</v>
      </c>
      <c r="J22" s="65" t="s">
        <v>170</v>
      </c>
      <c r="K22" s="94">
        <f>SUM(K16,K19:K20)</f>
        <v>-436.445177</v>
      </c>
      <c r="L22" s="94">
        <f>SUM(L16,L19:L20)</f>
        <v>-199.98653828125009</v>
      </c>
      <c r="M22" s="94">
        <f>SUM(M16,M19:M20)</f>
        <v>111.72142283749966</v>
      </c>
    </row>
    <row r="23" spans="2:13">
      <c r="B23" s="66" t="s">
        <v>171</v>
      </c>
      <c r="C23" s="67">
        <f>C22/C$7</f>
        <v>-0.8812492754018314</v>
      </c>
      <c r="D23" s="67">
        <f>D22/D$7</f>
        <v>2.8818783794331327E-2</v>
      </c>
      <c r="E23" s="67">
        <f>E22/E$7</f>
        <v>0.31424715454415059</v>
      </c>
      <c r="J23" s="66" t="s">
        <v>171</v>
      </c>
      <c r="K23" s="67">
        <f>K22/K$7</f>
        <v>-1.6189275362883309</v>
      </c>
      <c r="L23" s="67">
        <f>L22/L$7</f>
        <v>-0.30704459457952676</v>
      </c>
      <c r="M23" s="67">
        <f>M22/M$7</f>
        <v>9.9638792205929361E-2</v>
      </c>
    </row>
    <row r="24" spans="2:13">
      <c r="B24" s="49"/>
      <c r="C24" s="3"/>
      <c r="D24" s="3"/>
      <c r="E24" s="3"/>
      <c r="J24" s="49"/>
      <c r="K24" s="3"/>
      <c r="L24" s="3"/>
      <c r="M24" s="3"/>
    </row>
    <row r="25" spans="2:13">
      <c r="B25" t="s">
        <v>172</v>
      </c>
      <c r="C25" s="91">
        <f>-C7*10%</f>
        <v>-38.512725000000003</v>
      </c>
      <c r="D25" s="91">
        <f t="shared" ref="D25:E25" si="13">-D7*10%</f>
        <v>-93.0467625</v>
      </c>
      <c r="E25" s="91">
        <f t="shared" si="13"/>
        <v>-160.18061750000004</v>
      </c>
      <c r="J25" t="s">
        <v>172</v>
      </c>
      <c r="K25" s="91">
        <f>-K7*10%</f>
        <v>-26.958907499999999</v>
      </c>
      <c r="L25" s="91">
        <f t="shared" ref="L25:M25" si="14">-L7*10%</f>
        <v>-65.13273375</v>
      </c>
      <c r="M25" s="91">
        <f t="shared" si="14"/>
        <v>-112.12643224999999</v>
      </c>
    </row>
    <row r="26" spans="2:13">
      <c r="B26" t="s">
        <v>173</v>
      </c>
      <c r="C26" s="91">
        <v>-5</v>
      </c>
      <c r="D26" s="91">
        <v>-5</v>
      </c>
      <c r="E26" s="91">
        <v>-5</v>
      </c>
      <c r="J26" t="s">
        <v>173</v>
      </c>
      <c r="K26" s="91">
        <v>-5</v>
      </c>
      <c r="L26" s="91">
        <v>-5</v>
      </c>
      <c r="M26" s="91">
        <v>-5</v>
      </c>
    </row>
    <row r="27" spans="2:13">
      <c r="B27" s="49"/>
      <c r="C27" s="3"/>
      <c r="D27" s="3"/>
      <c r="E27" s="3"/>
      <c r="J27" s="49"/>
      <c r="K27" s="3"/>
      <c r="L27" s="3"/>
      <c r="M27" s="3"/>
    </row>
    <row r="28" spans="2:13">
      <c r="B28" s="65" t="s">
        <v>174</v>
      </c>
      <c r="C28" s="94">
        <f>SUM(C22,C25:C26)</f>
        <v>-382.90583499999997</v>
      </c>
      <c r="D28" s="94">
        <f>SUM(D22,D25:D26)</f>
        <v>-71.231817187500042</v>
      </c>
      <c r="E28" s="94">
        <f>SUM(E22,E25:E26)</f>
        <v>338.18241512499969</v>
      </c>
      <c r="J28" s="65" t="s">
        <v>174</v>
      </c>
      <c r="K28" s="94">
        <f>SUM(K22,K25:K26)</f>
        <v>-468.40408450000001</v>
      </c>
      <c r="L28" s="94">
        <f>SUM(L22,L25:L26)</f>
        <v>-270.11927203125009</v>
      </c>
      <c r="M28" s="94">
        <f>SUM(M22,M25:M26)</f>
        <v>-5.4050094125003341</v>
      </c>
    </row>
    <row r="29" spans="2:13">
      <c r="B29" s="66" t="s">
        <v>175</v>
      </c>
      <c r="C29" s="67">
        <f>C28/C$7</f>
        <v>-0.9942319973463315</v>
      </c>
      <c r="D29" s="67">
        <f>D28/D$7</f>
        <v>-7.6554858303103282E-2</v>
      </c>
      <c r="E29" s="67">
        <f>E28/E$7</f>
        <v>0.21112567825192685</v>
      </c>
      <c r="J29" s="66" t="s">
        <v>175</v>
      </c>
      <c r="K29" s="67">
        <f>K28/K$7</f>
        <v>-1.7374742819233311</v>
      </c>
      <c r="L29" s="67">
        <f>L28/L$7</f>
        <v>-0.41472122614729046</v>
      </c>
      <c r="M29" s="67">
        <f>M28/M$7</f>
        <v>-4.8204596401044721E-3</v>
      </c>
    </row>
    <row r="30" spans="2:13">
      <c r="B30" s="49"/>
      <c r="C30" s="3"/>
      <c r="D30" s="3"/>
      <c r="E30" s="3"/>
      <c r="J30" s="49"/>
      <c r="K30" s="3"/>
      <c r="L30" s="3"/>
      <c r="M30" s="3"/>
    </row>
    <row r="31" spans="2:13">
      <c r="B31" t="s">
        <v>176</v>
      </c>
      <c r="C31" s="91">
        <v>0</v>
      </c>
      <c r="D31" s="91">
        <v>0</v>
      </c>
      <c r="E31" s="91">
        <v>0</v>
      </c>
      <c r="J31" t="s">
        <v>176</v>
      </c>
      <c r="K31" s="91">
        <v>0</v>
      </c>
      <c r="L31" s="91">
        <v>0</v>
      </c>
      <c r="M31" s="91">
        <v>0</v>
      </c>
    </row>
    <row r="32" spans="2:13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-382.90583499999997</v>
      </c>
      <c r="D33" s="94">
        <f>SUM(D28,D31)</f>
        <v>-71.231817187500042</v>
      </c>
      <c r="E33" s="94">
        <f>SUM(E28,E31)</f>
        <v>338.18241512499969</v>
      </c>
      <c r="J33" s="65" t="s">
        <v>177</v>
      </c>
      <c r="K33" s="94">
        <f>SUM(K28,K31)</f>
        <v>-468.40408450000001</v>
      </c>
      <c r="L33" s="94">
        <f>SUM(L28,L31)</f>
        <v>-270.11927203125009</v>
      </c>
      <c r="M33" s="94">
        <f>SUM(M28,M31)</f>
        <v>-5.4050094125003341</v>
      </c>
    </row>
    <row r="34" spans="2:14">
      <c r="B34" s="66" t="s">
        <v>178</v>
      </c>
      <c r="C34" s="67">
        <f>C33/C$7</f>
        <v>-0.9942319973463315</v>
      </c>
      <c r="D34" s="67">
        <f>D33/D$7</f>
        <v>-7.6554858303103282E-2</v>
      </c>
      <c r="E34" s="67">
        <f>E33/E$7</f>
        <v>0.21112567825192685</v>
      </c>
      <c r="J34" s="66" t="s">
        <v>178</v>
      </c>
      <c r="K34" s="67">
        <f>K33/K$7</f>
        <v>-1.7374742819233311</v>
      </c>
      <c r="L34" s="67">
        <f>L33/L$7</f>
        <v>-0.41472122614729046</v>
      </c>
      <c r="M34" s="67">
        <f>M33/M$7</f>
        <v>-4.8204596401044721E-3</v>
      </c>
    </row>
    <row r="37" spans="2:14">
      <c r="B37" t="s">
        <v>179</v>
      </c>
      <c r="C37" s="91">
        <f>C20+C19*60%</f>
        <v>-445.73999999999995</v>
      </c>
      <c r="F37" t="s">
        <v>180</v>
      </c>
      <c r="J37" t="s">
        <v>179</v>
      </c>
      <c r="K37" s="91">
        <f>K20+K19*60%</f>
        <v>-445.73999999999995</v>
      </c>
      <c r="N37" t="s">
        <v>180</v>
      </c>
    </row>
    <row r="44" spans="2:14">
      <c r="B44" t="s">
        <v>181</v>
      </c>
    </row>
    <row r="46" spans="2:14">
      <c r="B46" t="s">
        <v>182</v>
      </c>
      <c r="C46">
        <v>15</v>
      </c>
      <c r="D46">
        <v>25</v>
      </c>
      <c r="E46">
        <v>30</v>
      </c>
    </row>
    <row r="47" spans="2:14">
      <c r="B47" t="s">
        <v>183</v>
      </c>
      <c r="C47" s="9">
        <v>0.03</v>
      </c>
      <c r="D47" s="57">
        <v>0.03</v>
      </c>
      <c r="E47" s="9">
        <v>0.03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E44F-4891-45AE-857B-C511A50A323C}">
  <sheetPr>
    <tabColor rgb="FF92D050"/>
  </sheetPr>
  <dimension ref="B1:AU47"/>
  <sheetViews>
    <sheetView showGridLines="0" topLeftCell="S1" workbookViewId="0">
      <selection activeCell="AH7" sqref="AH7:AU7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1" spans="2:47">
      <c r="U1" s="209">
        <v>0</v>
      </c>
      <c r="V1" s="209">
        <v>0</v>
      </c>
      <c r="W1" s="209">
        <v>0</v>
      </c>
      <c r="X1" s="209">
        <v>0</v>
      </c>
      <c r="Y1" s="209">
        <v>0</v>
      </c>
      <c r="Z1" s="209">
        <v>0</v>
      </c>
      <c r="AA1" s="209">
        <v>0.1</v>
      </c>
      <c r="AB1" s="209">
        <v>0.1</v>
      </c>
      <c r="AC1" s="209">
        <v>0.15</v>
      </c>
      <c r="AD1" s="209">
        <v>0.2</v>
      </c>
      <c r="AE1" s="209">
        <v>0.2</v>
      </c>
      <c r="AF1" s="209">
        <v>0.25</v>
      </c>
    </row>
    <row r="2" spans="2:47">
      <c r="B2" s="136" t="s">
        <v>184</v>
      </c>
    </row>
    <row r="3" spans="2:47">
      <c r="B3" s="136" t="s">
        <v>185</v>
      </c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" si="1">MONTH(AI5)&amp;RIGHT(YEAR(AI5), 2)</f>
        <v>1225</v>
      </c>
      <c r="AJ4" s="184" t="str">
        <f t="shared" ref="AJ4" si="2">MONTH(AJ5)&amp;RIGHT(YEAR(AJ5), 2)</f>
        <v>126</v>
      </c>
      <c r="AK4" s="184" t="str">
        <f t="shared" ref="AK4" si="3">MONTH(AK5)&amp;RIGHT(YEAR(AK5), 2)</f>
        <v>226</v>
      </c>
      <c r="AL4" s="184" t="str">
        <f t="shared" ref="AL4" si="4">MONTH(AL5)&amp;RIGHT(YEAR(AL5), 2)</f>
        <v>326</v>
      </c>
      <c r="AM4" s="184" t="str">
        <f t="shared" ref="AM4" si="5">MONTH(AM5)&amp;RIGHT(YEAR(AM5), 2)</f>
        <v>426</v>
      </c>
      <c r="AN4" s="184" t="str">
        <f t="shared" ref="AN4" si="6">MONTH(AN5)&amp;RIGHT(YEAR(AN5), 2)</f>
        <v>526</v>
      </c>
      <c r="AO4" s="184" t="str">
        <f t="shared" ref="AO4" si="7">MONTH(AO5)&amp;RIGHT(YEAR(AO5), 2)</f>
        <v>626</v>
      </c>
      <c r="AP4" s="184" t="str">
        <f t="shared" ref="AP4" si="8">MONTH(AP5)&amp;RIGHT(YEAR(AP5), 2)</f>
        <v>726</v>
      </c>
      <c r="AQ4" s="184" t="str">
        <f t="shared" ref="AQ4" si="9">MONTH(AQ5)&amp;RIGHT(YEAR(AQ5), 2)</f>
        <v>826</v>
      </c>
      <c r="AR4" s="184" t="str">
        <f t="shared" ref="AR4" si="10">MONTH(AR5)&amp;RIGHT(YEAR(AR5), 2)</f>
        <v>926</v>
      </c>
      <c r="AS4" s="184" t="str">
        <f t="shared" ref="AS4" si="11">MONTH(AS5)&amp;RIGHT(YEAR(AS5), 2)</f>
        <v>1026</v>
      </c>
      <c r="AT4" s="184" t="str">
        <f t="shared" ref="AT4" si="12">MONTH(AT5)&amp;RIGHT(YEAR(AT5), 2)</f>
        <v>1126</v>
      </c>
      <c r="AU4" s="184" t="str">
        <f t="shared" ref="AU4" si="13">MONTH(AU5)&amp;RIGHT(YEAR(AU5), 2)</f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C46*10</f>
        <v>120</v>
      </c>
      <c r="D7" s="93">
        <f>C46*20+D46*15</f>
        <v>480</v>
      </c>
      <c r="E7" s="93">
        <f>C46*25+D46*20+E46*15</f>
        <v>920</v>
      </c>
      <c r="H7" s="9">
        <v>-0.3</v>
      </c>
      <c r="J7" s="64" t="s">
        <v>155</v>
      </c>
      <c r="K7" s="93">
        <f>C7*(1+$H$7)</f>
        <v>84</v>
      </c>
      <c r="L7" s="93">
        <f t="shared" ref="L7:M7" si="14">D7*(1+$H$7)</f>
        <v>336</v>
      </c>
      <c r="M7" s="93">
        <f t="shared" si="14"/>
        <v>644</v>
      </c>
      <c r="R7" t="s">
        <v>186</v>
      </c>
      <c r="U7" s="3">
        <f>$K7*U1</f>
        <v>0</v>
      </c>
      <c r="V7" s="3">
        <f t="shared" ref="V7:AF7" si="15">$K7*V1</f>
        <v>0</v>
      </c>
      <c r="W7" s="3">
        <f t="shared" si="15"/>
        <v>0</v>
      </c>
      <c r="X7" s="3">
        <f t="shared" si="15"/>
        <v>0</v>
      </c>
      <c r="Y7" s="3">
        <f t="shared" si="15"/>
        <v>0</v>
      </c>
      <c r="Z7" s="3">
        <f t="shared" si="15"/>
        <v>0</v>
      </c>
      <c r="AA7" s="3">
        <f t="shared" si="15"/>
        <v>8.4</v>
      </c>
      <c r="AB7" s="3">
        <f t="shared" si="15"/>
        <v>8.4</v>
      </c>
      <c r="AC7" s="3">
        <f t="shared" si="15"/>
        <v>12.6</v>
      </c>
      <c r="AD7" s="3">
        <f t="shared" si="15"/>
        <v>16.8</v>
      </c>
      <c r="AE7" s="3">
        <f t="shared" si="15"/>
        <v>16.8</v>
      </c>
      <c r="AF7" s="3">
        <f t="shared" si="15"/>
        <v>21</v>
      </c>
      <c r="AH7" s="3">
        <f>S7</f>
        <v>0</v>
      </c>
      <c r="AI7" s="4">
        <f>AH7+T7</f>
        <v>0</v>
      </c>
      <c r="AJ7" s="4">
        <f t="shared" ref="AJ7:AU7" si="16">AI7+U7</f>
        <v>0</v>
      </c>
      <c r="AK7" s="4">
        <f t="shared" si="16"/>
        <v>0</v>
      </c>
      <c r="AL7" s="4">
        <f t="shared" si="16"/>
        <v>0</v>
      </c>
      <c r="AM7" s="4">
        <f t="shared" si="16"/>
        <v>0</v>
      </c>
      <c r="AN7" s="4">
        <f t="shared" si="16"/>
        <v>0</v>
      </c>
      <c r="AO7" s="4">
        <f t="shared" si="16"/>
        <v>0</v>
      </c>
      <c r="AP7" s="4">
        <f t="shared" si="16"/>
        <v>8.4</v>
      </c>
      <c r="AQ7" s="4">
        <f t="shared" si="16"/>
        <v>16.8</v>
      </c>
      <c r="AR7" s="4">
        <f t="shared" si="16"/>
        <v>29.4</v>
      </c>
      <c r="AS7" s="4">
        <f t="shared" si="16"/>
        <v>46.2</v>
      </c>
      <c r="AT7" s="4">
        <f t="shared" si="16"/>
        <v>63</v>
      </c>
      <c r="AU7" s="4">
        <f t="shared" si="16"/>
        <v>84</v>
      </c>
    </row>
    <row r="8" spans="2:47">
      <c r="B8" t="s">
        <v>157</v>
      </c>
      <c r="C8" s="91">
        <f>-C7*(1-COGS!C3)</f>
        <v>-18.000000000000004</v>
      </c>
      <c r="D8" s="91">
        <f>-D7*(1-COGS!D3)</f>
        <v>-70.80000000000004</v>
      </c>
      <c r="E8" s="91">
        <f>-E7*(1-COGS!E3)</f>
        <v>-133.40000000000012</v>
      </c>
      <c r="J8" t="s">
        <v>157</v>
      </c>
      <c r="K8" s="91">
        <f>C8*(1+$H$7)</f>
        <v>-12.600000000000001</v>
      </c>
      <c r="L8" s="91">
        <f t="shared" ref="L8" si="17">D8*(1+$H$7)</f>
        <v>-49.560000000000024</v>
      </c>
      <c r="M8" s="91">
        <f t="shared" ref="M8" si="18">E8*(1+$H$7)</f>
        <v>-93.380000000000081</v>
      </c>
    </row>
    <row r="9" spans="2:47">
      <c r="B9" s="49"/>
      <c r="C9" s="3"/>
      <c r="D9" s="3"/>
      <c r="E9" s="3"/>
      <c r="J9" s="49"/>
      <c r="K9" s="3"/>
      <c r="L9" s="3"/>
      <c r="M9" s="3"/>
      <c r="R9" t="s">
        <v>177</v>
      </c>
      <c r="U9" s="4">
        <f>U7*$K17-U11</f>
        <v>0</v>
      </c>
      <c r="V9" s="4">
        <f t="shared" ref="V9:AF9" si="19">V7*$K17-V11</f>
        <v>0</v>
      </c>
      <c r="W9" s="4">
        <f t="shared" si="19"/>
        <v>0</v>
      </c>
      <c r="X9" s="4">
        <f t="shared" si="19"/>
        <v>-15</v>
      </c>
      <c r="Y9" s="4">
        <f t="shared" si="19"/>
        <v>-15</v>
      </c>
      <c r="Z9" s="4">
        <f t="shared" si="19"/>
        <v>-15</v>
      </c>
      <c r="AA9" s="4">
        <f t="shared" si="19"/>
        <v>-8.7839999999999989</v>
      </c>
      <c r="AB9" s="4">
        <f t="shared" si="19"/>
        <v>-8.7839999999999989</v>
      </c>
      <c r="AC9" s="4">
        <f t="shared" si="19"/>
        <v>-5.6760000000000002</v>
      </c>
      <c r="AD9" s="4">
        <f t="shared" si="19"/>
        <v>-2.5679999999999978</v>
      </c>
      <c r="AE9" s="4">
        <f t="shared" si="19"/>
        <v>-2.5679999999999978</v>
      </c>
      <c r="AF9" s="4">
        <f t="shared" si="19"/>
        <v>0.53999999999999915</v>
      </c>
      <c r="AH9" s="3">
        <f>S9</f>
        <v>0</v>
      </c>
      <c r="AI9" s="4">
        <f>AH9+T9</f>
        <v>0</v>
      </c>
      <c r="AJ9" s="4">
        <f t="shared" ref="AJ9:AU9" si="20">AI9+U9</f>
        <v>0</v>
      </c>
      <c r="AK9" s="4">
        <f t="shared" si="20"/>
        <v>0</v>
      </c>
      <c r="AL9" s="4">
        <f t="shared" si="20"/>
        <v>0</v>
      </c>
      <c r="AM9" s="4">
        <f t="shared" si="20"/>
        <v>-15</v>
      </c>
      <c r="AN9" s="4">
        <f t="shared" si="20"/>
        <v>-30</v>
      </c>
      <c r="AO9" s="4">
        <f t="shared" si="20"/>
        <v>-45</v>
      </c>
      <c r="AP9" s="4">
        <f t="shared" si="20"/>
        <v>-53.783999999999999</v>
      </c>
      <c r="AQ9" s="4">
        <f t="shared" si="20"/>
        <v>-62.567999999999998</v>
      </c>
      <c r="AR9" s="4">
        <f t="shared" si="20"/>
        <v>-68.244</v>
      </c>
      <c r="AS9" s="4">
        <f t="shared" si="20"/>
        <v>-70.811999999999998</v>
      </c>
      <c r="AT9" s="4">
        <f t="shared" si="20"/>
        <v>-73.38</v>
      </c>
      <c r="AU9" s="4">
        <f t="shared" si="20"/>
        <v>-72.84</v>
      </c>
    </row>
    <row r="10" spans="2:47">
      <c r="B10" s="65" t="s">
        <v>158</v>
      </c>
      <c r="C10" s="94">
        <f>SUM(C7:C8)</f>
        <v>102</v>
      </c>
      <c r="D10" s="94">
        <f>SUM(D7:D8)</f>
        <v>409.19999999999993</v>
      </c>
      <c r="E10" s="94">
        <f>SUM(E7:E8)</f>
        <v>786.59999999999991</v>
      </c>
      <c r="J10" s="65" t="s">
        <v>158</v>
      </c>
      <c r="K10" s="94">
        <f>SUM(K7:K8)</f>
        <v>71.400000000000006</v>
      </c>
      <c r="L10" s="94">
        <f>SUM(L7:L8)</f>
        <v>286.44</v>
      </c>
      <c r="M10" s="94">
        <f>SUM(M7:M8)</f>
        <v>550.61999999999989</v>
      </c>
    </row>
    <row r="11" spans="2:47">
      <c r="B11" s="66" t="s">
        <v>160</v>
      </c>
      <c r="C11" s="67">
        <f>C10/C$7</f>
        <v>0.85</v>
      </c>
      <c r="D11" s="67">
        <f>D10/D$7</f>
        <v>0.85249999999999981</v>
      </c>
      <c r="E11" s="67">
        <f>E10/E$7</f>
        <v>0.85499999999999987</v>
      </c>
      <c r="J11" s="66" t="s">
        <v>160</v>
      </c>
      <c r="K11" s="67">
        <f>K10/K$7</f>
        <v>0.85000000000000009</v>
      </c>
      <c r="L11" s="67">
        <f>L10/L$7</f>
        <v>0.85250000000000004</v>
      </c>
      <c r="M11" s="67">
        <f>M10/M$7</f>
        <v>0.85499999999999987</v>
      </c>
      <c r="R11" t="s">
        <v>187</v>
      </c>
      <c r="X11" s="4">
        <f>-($K25+$K7*10%)/9+X7*10%-$K26/9</f>
        <v>15</v>
      </c>
      <c r="Y11" s="4">
        <f t="shared" ref="Y11:AF11" si="21">-($K25+$K7*10%)/9+Y7*10%-$K26/9</f>
        <v>15</v>
      </c>
      <c r="Z11" s="4">
        <f t="shared" si="21"/>
        <v>15</v>
      </c>
      <c r="AA11" s="4">
        <f t="shared" si="21"/>
        <v>15.84</v>
      </c>
      <c r="AB11" s="4">
        <f t="shared" si="21"/>
        <v>15.84</v>
      </c>
      <c r="AC11" s="4">
        <f t="shared" si="21"/>
        <v>16.260000000000002</v>
      </c>
      <c r="AD11" s="4">
        <f t="shared" si="21"/>
        <v>16.68</v>
      </c>
      <c r="AE11" s="4">
        <f t="shared" si="21"/>
        <v>16.68</v>
      </c>
      <c r="AF11" s="4">
        <f t="shared" si="21"/>
        <v>17.100000000000001</v>
      </c>
      <c r="AH11" s="3">
        <f>S11</f>
        <v>0</v>
      </c>
      <c r="AI11" s="4">
        <f>AH11+T11</f>
        <v>0</v>
      </c>
      <c r="AJ11" s="4">
        <f t="shared" ref="AJ11:AU11" si="22">AI11+U11</f>
        <v>0</v>
      </c>
      <c r="AK11" s="4">
        <f t="shared" si="22"/>
        <v>0</v>
      </c>
      <c r="AL11" s="4">
        <f t="shared" si="22"/>
        <v>0</v>
      </c>
      <c r="AM11" s="4">
        <f t="shared" si="22"/>
        <v>15</v>
      </c>
      <c r="AN11" s="4">
        <f t="shared" si="22"/>
        <v>30</v>
      </c>
      <c r="AO11" s="4">
        <f t="shared" si="22"/>
        <v>45</v>
      </c>
      <c r="AP11" s="4">
        <f t="shared" si="22"/>
        <v>60.84</v>
      </c>
      <c r="AQ11" s="4">
        <f t="shared" si="22"/>
        <v>76.680000000000007</v>
      </c>
      <c r="AR11" s="4">
        <f t="shared" si="22"/>
        <v>92.940000000000012</v>
      </c>
      <c r="AS11" s="4">
        <f t="shared" si="22"/>
        <v>109.62</v>
      </c>
      <c r="AT11" s="4">
        <f t="shared" si="22"/>
        <v>126.30000000000001</v>
      </c>
      <c r="AU11" s="4">
        <f t="shared" si="22"/>
        <v>143.4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COS'!$C$4</f>
        <v>-1.2</v>
      </c>
      <c r="D13" s="91">
        <f>-D7*'Other COS'!$C$4</f>
        <v>-4.8</v>
      </c>
      <c r="E13" s="91">
        <f>-E7*'Other COS'!$C$4</f>
        <v>-9.2000000000000011</v>
      </c>
      <c r="J13" t="s">
        <v>162</v>
      </c>
      <c r="K13" s="91">
        <f t="shared" ref="K13:K14" si="23">C13*(1+$H$7)</f>
        <v>-0.84</v>
      </c>
      <c r="L13" s="91">
        <f t="shared" ref="L13:L14" si="24">D13*(1+$H$7)</f>
        <v>-3.36</v>
      </c>
      <c r="M13" s="91">
        <f t="shared" ref="M13:M14" si="25">E13*(1+$H$7)</f>
        <v>-6.44</v>
      </c>
    </row>
    <row r="14" spans="2:47">
      <c r="B14" t="s">
        <v>163</v>
      </c>
      <c r="C14" s="91">
        <v>0</v>
      </c>
      <c r="D14" s="91">
        <f>-D7*3%</f>
        <v>-14.399999999999999</v>
      </c>
      <c r="E14" s="91">
        <f>-E7*3%</f>
        <v>-27.599999999999998</v>
      </c>
      <c r="J14" t="s">
        <v>163</v>
      </c>
      <c r="K14" s="91">
        <f t="shared" si="23"/>
        <v>0</v>
      </c>
      <c r="L14" s="91">
        <f t="shared" si="24"/>
        <v>-10.079999999999998</v>
      </c>
      <c r="M14" s="91">
        <f t="shared" si="25"/>
        <v>-19.319999999999997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100.8</v>
      </c>
      <c r="D16" s="94">
        <f>SUM(D10,D13:D14)</f>
        <v>389.99999999999994</v>
      </c>
      <c r="E16" s="94">
        <f>SUM(E10,E13:E14)</f>
        <v>749.79999999999984</v>
      </c>
      <c r="J16" s="65" t="s">
        <v>166</v>
      </c>
      <c r="K16" s="94">
        <f>SUM(K10,K13:K14)</f>
        <v>70.56</v>
      </c>
      <c r="L16" s="94">
        <f>SUM(L10,L13:L14)</f>
        <v>273</v>
      </c>
      <c r="M16" s="94">
        <f>SUM(M10,M13:M14)</f>
        <v>524.85999999999979</v>
      </c>
    </row>
    <row r="17" spans="2:13">
      <c r="B17" s="66" t="s">
        <v>167</v>
      </c>
      <c r="C17" s="67">
        <f>C16/C$7</f>
        <v>0.84</v>
      </c>
      <c r="D17" s="67">
        <f>D16/D$7</f>
        <v>0.81249999999999989</v>
      </c>
      <c r="E17" s="67">
        <f>E16/E$7</f>
        <v>0.81499999999999984</v>
      </c>
      <c r="J17" s="66" t="s">
        <v>167</v>
      </c>
      <c r="K17" s="67">
        <f>K16/K$7</f>
        <v>0.84000000000000008</v>
      </c>
      <c r="L17" s="67">
        <f>L16/L$7</f>
        <v>0.8125</v>
      </c>
      <c r="M17" s="67">
        <f>M16/M$7</f>
        <v>0.81499999999999961</v>
      </c>
    </row>
    <row r="18" spans="2:13">
      <c r="B18" s="49"/>
      <c r="C18" s="3"/>
      <c r="D18" s="3"/>
      <c r="E18" s="3"/>
      <c r="J18" s="49"/>
      <c r="K18" s="3"/>
      <c r="L18" s="3"/>
      <c r="M18" s="3"/>
    </row>
    <row r="19" spans="2:13">
      <c r="B19" t="s">
        <v>168</v>
      </c>
      <c r="C19" s="91">
        <v>0</v>
      </c>
      <c r="D19" s="91">
        <v>0</v>
      </c>
      <c r="E19" s="91">
        <v>0</v>
      </c>
      <c r="J19" t="s">
        <v>168</v>
      </c>
      <c r="K19" s="91">
        <f t="shared" ref="K19:K20" si="26">C19</f>
        <v>0</v>
      </c>
      <c r="L19" s="91">
        <f t="shared" ref="L19:L20" si="27">D19</f>
        <v>0</v>
      </c>
      <c r="M19" s="91">
        <f t="shared" ref="M19:M20" si="28">E19</f>
        <v>0</v>
      </c>
    </row>
    <row r="20" spans="2:13">
      <c r="B20" t="s">
        <v>169</v>
      </c>
      <c r="C20" s="91">
        <v>0</v>
      </c>
      <c r="D20" s="91">
        <v>0</v>
      </c>
      <c r="E20" s="91">
        <v>0</v>
      </c>
      <c r="J20" t="s">
        <v>169</v>
      </c>
      <c r="K20" s="91">
        <f t="shared" si="26"/>
        <v>0</v>
      </c>
      <c r="L20" s="91">
        <f t="shared" si="27"/>
        <v>0</v>
      </c>
      <c r="M20" s="91">
        <f t="shared" si="28"/>
        <v>0</v>
      </c>
    </row>
    <row r="21" spans="2:13">
      <c r="B21" s="49"/>
      <c r="C21" s="3"/>
      <c r="D21" s="3"/>
      <c r="E21" s="3"/>
      <c r="J21" s="49"/>
      <c r="K21" s="3"/>
      <c r="L21" s="3"/>
      <c r="M21" s="3"/>
    </row>
    <row r="22" spans="2:13">
      <c r="B22" s="65" t="s">
        <v>170</v>
      </c>
      <c r="C22" s="94">
        <f>SUM(C16,C19:C20)</f>
        <v>100.8</v>
      </c>
      <c r="D22" s="94">
        <f>SUM(D16,D19:D20)</f>
        <v>389.99999999999994</v>
      </c>
      <c r="E22" s="94">
        <f>SUM(E16,E19:E20)</f>
        <v>749.79999999999984</v>
      </c>
      <c r="J22" s="65" t="s">
        <v>170</v>
      </c>
      <c r="K22" s="94">
        <f>SUM(K16,K19:K20)</f>
        <v>70.56</v>
      </c>
      <c r="L22" s="94">
        <f>SUM(L16,L19:L20)</f>
        <v>273</v>
      </c>
      <c r="M22" s="94">
        <f>SUM(M16,M19:M20)</f>
        <v>524.85999999999979</v>
      </c>
    </row>
    <row r="23" spans="2:13">
      <c r="B23" s="66" t="s">
        <v>171</v>
      </c>
      <c r="C23" s="67">
        <f>C22/C$7</f>
        <v>0.84</v>
      </c>
      <c r="D23" s="67">
        <f>D22/D$7</f>
        <v>0.81249999999999989</v>
      </c>
      <c r="E23" s="67">
        <f>E22/E$7</f>
        <v>0.81499999999999984</v>
      </c>
      <c r="J23" s="66" t="s">
        <v>171</v>
      </c>
      <c r="K23" s="67">
        <f>K22/K$7</f>
        <v>0.84000000000000008</v>
      </c>
      <c r="L23" s="67">
        <f>L22/L$7</f>
        <v>0.8125</v>
      </c>
      <c r="M23" s="67">
        <f>M22/M$7</f>
        <v>0.81499999999999961</v>
      </c>
    </row>
    <row r="24" spans="2:13">
      <c r="B24" s="49"/>
      <c r="C24" s="3"/>
      <c r="D24" s="3"/>
      <c r="E24" s="3"/>
      <c r="J24" s="49"/>
      <c r="K24" s="3"/>
      <c r="L24" s="3"/>
      <c r="M24" s="3"/>
    </row>
    <row r="25" spans="2:13">
      <c r="B25" t="s">
        <v>172</v>
      </c>
      <c r="C25" s="91">
        <f>-C7*10%-60*2</f>
        <v>-132</v>
      </c>
      <c r="D25" s="91">
        <f>-D7*10%-60*2*1.1</f>
        <v>-180</v>
      </c>
      <c r="E25" s="91">
        <f>-E7*10%-60*2*1.1^2</f>
        <v>-237.20000000000002</v>
      </c>
      <c r="J25" t="s">
        <v>172</v>
      </c>
      <c r="K25" s="91">
        <f>-K7*10%-60*2</f>
        <v>-128.4</v>
      </c>
      <c r="L25" s="91">
        <f>-L7*10%-60*2*1.1</f>
        <v>-165.6</v>
      </c>
      <c r="M25" s="91">
        <f>-M7*10%-60*2*1.1^2</f>
        <v>-209.60000000000002</v>
      </c>
    </row>
    <row r="26" spans="2:13">
      <c r="B26" t="s">
        <v>173</v>
      </c>
      <c r="C26" s="91">
        <v>-15</v>
      </c>
      <c r="D26" s="91">
        <v>-20</v>
      </c>
      <c r="E26" s="91">
        <v>-22</v>
      </c>
      <c r="J26" t="s">
        <v>173</v>
      </c>
      <c r="K26" s="91">
        <f t="shared" ref="K26" si="29">C26</f>
        <v>-15</v>
      </c>
      <c r="L26" s="91">
        <f t="shared" ref="L26" si="30">D26</f>
        <v>-20</v>
      </c>
      <c r="M26" s="91">
        <f t="shared" ref="M26" si="31">E26</f>
        <v>-22</v>
      </c>
    </row>
    <row r="27" spans="2:13">
      <c r="B27" s="49"/>
      <c r="C27" s="3"/>
      <c r="D27" s="3"/>
      <c r="E27" s="3"/>
      <c r="J27" s="49"/>
      <c r="K27" s="3"/>
      <c r="L27" s="3"/>
      <c r="M27" s="3"/>
    </row>
    <row r="28" spans="2:13">
      <c r="B28" s="65" t="s">
        <v>174</v>
      </c>
      <c r="C28" s="94">
        <f>SUM(C22,C25:C26)</f>
        <v>-46.2</v>
      </c>
      <c r="D28" s="94">
        <f>SUM(D22,D25:D26)</f>
        <v>189.99999999999994</v>
      </c>
      <c r="E28" s="94">
        <f>SUM(E22,E25:E26)</f>
        <v>490.5999999999998</v>
      </c>
      <c r="J28" s="65" t="s">
        <v>174</v>
      </c>
      <c r="K28" s="94">
        <f>SUM(K22,K25:K26)</f>
        <v>-72.84</v>
      </c>
      <c r="L28" s="94">
        <f>SUM(L22,L25:L26)</f>
        <v>87.4</v>
      </c>
      <c r="M28" s="94">
        <f>SUM(M22,M25:M26)</f>
        <v>293.25999999999976</v>
      </c>
    </row>
    <row r="29" spans="2:13">
      <c r="B29" s="66" t="s">
        <v>175</v>
      </c>
      <c r="C29" s="67">
        <f>C28/C$7</f>
        <v>-0.38500000000000001</v>
      </c>
      <c r="D29" s="67">
        <f>D28/D$7</f>
        <v>0.3958333333333332</v>
      </c>
      <c r="E29" s="67">
        <f>E28/E$7</f>
        <v>0.53326086956521712</v>
      </c>
      <c r="J29" s="66" t="s">
        <v>175</v>
      </c>
      <c r="K29" s="67">
        <f>K28/K$7</f>
        <v>-0.86714285714285722</v>
      </c>
      <c r="L29" s="67">
        <f>L28/L$7</f>
        <v>0.26011904761904764</v>
      </c>
      <c r="M29" s="67">
        <f>M28/M$7</f>
        <v>0.45537267080745303</v>
      </c>
    </row>
    <row r="30" spans="2:13">
      <c r="B30" s="49"/>
      <c r="C30" s="3"/>
      <c r="D30" s="3"/>
      <c r="E30" s="3"/>
      <c r="J30" s="49"/>
      <c r="K30" s="3"/>
      <c r="L30" s="3"/>
      <c r="M30" s="3"/>
    </row>
    <row r="31" spans="2:13">
      <c r="B31" t="s">
        <v>176</v>
      </c>
      <c r="C31" s="91">
        <v>0</v>
      </c>
      <c r="D31" s="91">
        <v>0</v>
      </c>
      <c r="E31" s="91">
        <v>0</v>
      </c>
      <c r="J31" t="s">
        <v>176</v>
      </c>
      <c r="K31" s="91">
        <f>C31</f>
        <v>0</v>
      </c>
      <c r="L31" s="91">
        <f t="shared" ref="L31" si="32">D31</f>
        <v>0</v>
      </c>
      <c r="M31" s="91">
        <f t="shared" ref="M31" si="33">E31</f>
        <v>0</v>
      </c>
    </row>
    <row r="32" spans="2:13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-46.2</v>
      </c>
      <c r="D33" s="94">
        <f>SUM(D28,D31)</f>
        <v>189.99999999999994</v>
      </c>
      <c r="E33" s="94">
        <f>SUM(E28,E31)</f>
        <v>490.5999999999998</v>
      </c>
      <c r="J33" s="65" t="s">
        <v>177</v>
      </c>
      <c r="K33" s="94">
        <f>SUM(K28,K31)</f>
        <v>-72.84</v>
      </c>
      <c r="L33" s="94">
        <f>SUM(L28,L31)</f>
        <v>87.4</v>
      </c>
      <c r="M33" s="94">
        <f>SUM(M28,M31)</f>
        <v>293.25999999999976</v>
      </c>
    </row>
    <row r="34" spans="2:14">
      <c r="B34" s="66" t="s">
        <v>178</v>
      </c>
      <c r="C34" s="67">
        <f>C33/C$7</f>
        <v>-0.38500000000000001</v>
      </c>
      <c r="D34" s="67">
        <f>D33/D$7</f>
        <v>0.3958333333333332</v>
      </c>
      <c r="E34" s="67">
        <f>E33/E$7</f>
        <v>0.53326086956521712</v>
      </c>
      <c r="J34" s="66" t="s">
        <v>178</v>
      </c>
      <c r="K34" s="67">
        <f>K33/K$7</f>
        <v>-0.86714285714285722</v>
      </c>
      <c r="L34" s="67">
        <f>L33/L$7</f>
        <v>0.26011904761904764</v>
      </c>
      <c r="M34" s="67">
        <f>M33/M$7</f>
        <v>0.45537267080745303</v>
      </c>
    </row>
    <row r="37" spans="2:14">
      <c r="B37" t="s">
        <v>179</v>
      </c>
      <c r="C37" s="91">
        <f>(C25+C26)*6/12</f>
        <v>-73.5</v>
      </c>
      <c r="F37" t="s">
        <v>188</v>
      </c>
      <c r="J37" t="s">
        <v>179</v>
      </c>
      <c r="K37" s="91">
        <f>(K25+K26)*6/12</f>
        <v>-71.7</v>
      </c>
      <c r="N37" t="s">
        <v>188</v>
      </c>
    </row>
    <row r="44" spans="2:14">
      <c r="B44" t="s">
        <v>181</v>
      </c>
    </row>
    <row r="46" spans="2:14">
      <c r="B46" t="s">
        <v>182</v>
      </c>
      <c r="C46">
        <v>12</v>
      </c>
      <c r="D46">
        <v>16</v>
      </c>
      <c r="E46">
        <v>20</v>
      </c>
    </row>
    <row r="47" spans="2:14">
      <c r="C47" s="9"/>
      <c r="D47" s="57"/>
      <c r="E47" s="9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171C-80A0-4E9D-AC53-4094439650AA}">
  <sheetPr>
    <tabColor rgb="FF92D050"/>
  </sheetPr>
  <dimension ref="B2:AU52"/>
  <sheetViews>
    <sheetView showGridLines="0" topLeftCell="T1" workbookViewId="0">
      <selection activeCell="AQ6" sqref="AQ6:AQ21"/>
    </sheetView>
  </sheetViews>
  <sheetFormatPr defaultColWidth="8.85546875" defaultRowHeight="15"/>
  <cols>
    <col min="2" max="2" width="29" bestFit="1" customWidth="1"/>
    <col min="10" max="10" width="29" bestFit="1" customWidth="1"/>
    <col min="17" max="17" width="29.28515625" bestFit="1" customWidth="1"/>
  </cols>
  <sheetData>
    <row r="2" spans="2:47">
      <c r="B2" t="s">
        <v>189</v>
      </c>
    </row>
    <row r="3" spans="2:47">
      <c r="B3" t="s">
        <v>190</v>
      </c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6" spans="2:47">
      <c r="Q6" t="s">
        <v>45</v>
      </c>
      <c r="R6" t="s">
        <v>186</v>
      </c>
      <c r="U6" s="3">
        <f>'Initiative Log - Detailed'!$G7*U27</f>
        <v>0</v>
      </c>
      <c r="V6" s="3">
        <f>'Initiative Log - Detailed'!$G7*V27</f>
        <v>0</v>
      </c>
      <c r="W6" s="3">
        <f>'Initiative Log - Detailed'!$G7*W27</f>
        <v>0</v>
      </c>
      <c r="X6" s="3">
        <f>'Initiative Log - Detailed'!$G7*X27</f>
        <v>0</v>
      </c>
      <c r="Y6" s="3">
        <f>'Initiative Log - Detailed'!$G7*Y27</f>
        <v>0</v>
      </c>
      <c r="Z6" s="3">
        <f>'Initiative Log - Detailed'!$G7*Z27</f>
        <v>0</v>
      </c>
      <c r="AA6" s="3">
        <f>'Initiative Log - Detailed'!$G7*AA27</f>
        <v>0</v>
      </c>
      <c r="AB6" s="3">
        <f>'Initiative Log - Detailed'!$G7*AB27</f>
        <v>60</v>
      </c>
      <c r="AC6" s="3">
        <f>'Initiative Log - Detailed'!$G7*AC27</f>
        <v>20</v>
      </c>
      <c r="AD6" s="3">
        <f>'Initiative Log - Detailed'!$G7*AD27</f>
        <v>40</v>
      </c>
      <c r="AE6" s="3">
        <f>'Initiative Log - Detailed'!$G7*AE27</f>
        <v>40</v>
      </c>
      <c r="AF6" s="3">
        <f>'Initiative Log - Detailed'!$G7*AF27</f>
        <v>40</v>
      </c>
      <c r="AH6" s="3">
        <f>S6</f>
        <v>0</v>
      </c>
      <c r="AI6" s="3">
        <f>AH6+T6</f>
        <v>0</v>
      </c>
      <c r="AJ6" s="3">
        <f t="shared" ref="AJ6:AU6" si="2">AI6+U6</f>
        <v>0</v>
      </c>
      <c r="AK6" s="3">
        <f t="shared" si="2"/>
        <v>0</v>
      </c>
      <c r="AL6" s="3">
        <f t="shared" si="2"/>
        <v>0</v>
      </c>
      <c r="AM6" s="3">
        <f t="shared" si="2"/>
        <v>0</v>
      </c>
      <c r="AN6" s="3">
        <f t="shared" si="2"/>
        <v>0</v>
      </c>
      <c r="AO6" s="3">
        <f t="shared" si="2"/>
        <v>0</v>
      </c>
      <c r="AP6" s="3">
        <f t="shared" si="2"/>
        <v>0</v>
      </c>
      <c r="AQ6" s="3">
        <f t="shared" si="2"/>
        <v>60</v>
      </c>
      <c r="AR6" s="3">
        <f t="shared" si="2"/>
        <v>80</v>
      </c>
      <c r="AS6" s="3">
        <f t="shared" si="2"/>
        <v>120</v>
      </c>
      <c r="AT6" s="3">
        <f t="shared" si="2"/>
        <v>160</v>
      </c>
      <c r="AU6" s="3">
        <f t="shared" si="2"/>
        <v>200</v>
      </c>
    </row>
    <row r="7" spans="2:47">
      <c r="B7" s="64" t="s">
        <v>155</v>
      </c>
      <c r="C7" s="93">
        <f>SUM(C46:C49)+C51*30+'3YP'!E17*C52</f>
        <v>4089.4972600000001</v>
      </c>
      <c r="D7" s="93">
        <f>SUM(D46:D49)+D51*30+C51*50+'3YP'!F17*D52</f>
        <v>8948.3464380000005</v>
      </c>
      <c r="E7" s="93">
        <f>SUM(E46:E49)+E51*30+D51*50+C51*55+'3YP'!G17*E52</f>
        <v>11816.0157256</v>
      </c>
      <c r="H7" s="9">
        <v>-0.67</v>
      </c>
      <c r="J7" s="64" t="s">
        <v>155</v>
      </c>
      <c r="K7" s="93">
        <f>C7*(1+$H$7)</f>
        <v>1349.5340957999999</v>
      </c>
      <c r="L7" s="93">
        <f t="shared" ref="L7:M8" si="3">D7*(1+$H$7)</f>
        <v>2952.95432454</v>
      </c>
      <c r="M7" s="93">
        <f t="shared" si="3"/>
        <v>3899.2851894479995</v>
      </c>
      <c r="Q7" t="s">
        <v>51</v>
      </c>
      <c r="R7" t="s">
        <v>186</v>
      </c>
      <c r="U7" s="3">
        <f>'Initiative Log - Detailed'!$G8*U28</f>
        <v>0</v>
      </c>
      <c r="V7" s="3">
        <f>'Initiative Log - Detailed'!$G8*V28</f>
        <v>0</v>
      </c>
      <c r="W7" s="3">
        <f>'Initiative Log - Detailed'!$G8*W28</f>
        <v>60</v>
      </c>
      <c r="X7" s="3">
        <f>'Initiative Log - Detailed'!$G8*X28</f>
        <v>18</v>
      </c>
      <c r="Y7" s="3">
        <f>'Initiative Log - Detailed'!$G8*Y28</f>
        <v>24</v>
      </c>
      <c r="Z7" s="3">
        <f>'Initiative Log - Detailed'!$G8*Z28</f>
        <v>24</v>
      </c>
      <c r="AA7" s="3">
        <f>'Initiative Log - Detailed'!$G8*AA28</f>
        <v>90</v>
      </c>
      <c r="AB7" s="3">
        <f>'Initiative Log - Detailed'!$G8*AB28</f>
        <v>42.000000000000007</v>
      </c>
      <c r="AC7" s="3">
        <f>'Initiative Log - Detailed'!$G8*AC28</f>
        <v>42.000000000000007</v>
      </c>
      <c r="AD7" s="3">
        <f>'Initiative Log - Detailed'!$G8*AD28</f>
        <v>144</v>
      </c>
      <c r="AE7" s="3">
        <f>'Initiative Log - Detailed'!$G8*AE28</f>
        <v>78</v>
      </c>
      <c r="AF7" s="3">
        <f>'Initiative Log - Detailed'!$G8*AF28</f>
        <v>78</v>
      </c>
      <c r="AH7" s="3">
        <f t="shared" ref="AH7:AH11" si="4">S7</f>
        <v>0</v>
      </c>
      <c r="AI7" s="3">
        <f t="shared" ref="AI7:AI11" si="5">AH7+T7</f>
        <v>0</v>
      </c>
      <c r="AJ7" s="3">
        <f t="shared" ref="AJ7:AJ11" si="6">AI7+U7</f>
        <v>0</v>
      </c>
      <c r="AK7" s="3">
        <f t="shared" ref="AK7:AK11" si="7">AJ7+V7</f>
        <v>0</v>
      </c>
      <c r="AL7" s="3">
        <f t="shared" ref="AL7:AL11" si="8">AK7+W7</f>
        <v>60</v>
      </c>
      <c r="AM7" s="3">
        <f t="shared" ref="AM7:AM11" si="9">AL7+X7</f>
        <v>78</v>
      </c>
      <c r="AN7" s="3">
        <f t="shared" ref="AN7:AN11" si="10">AM7+Y7</f>
        <v>102</v>
      </c>
      <c r="AO7" s="3">
        <f t="shared" ref="AO7:AO11" si="11">AN7+Z7</f>
        <v>126</v>
      </c>
      <c r="AP7" s="3">
        <f t="shared" ref="AP7:AP11" si="12">AO7+AA7</f>
        <v>216</v>
      </c>
      <c r="AQ7" s="3">
        <f t="shared" ref="AQ7:AQ11" si="13">AP7+AB7</f>
        <v>258</v>
      </c>
      <c r="AR7" s="3">
        <f t="shared" ref="AR7:AR11" si="14">AQ7+AC7</f>
        <v>300</v>
      </c>
      <c r="AS7" s="3">
        <f t="shared" ref="AS7:AS11" si="15">AR7+AD7</f>
        <v>444</v>
      </c>
      <c r="AT7" s="3">
        <f t="shared" ref="AT7:AT11" si="16">AS7+AE7</f>
        <v>522</v>
      </c>
      <c r="AU7" s="3">
        <f t="shared" ref="AU7:AU11" si="17">AT7+AF7</f>
        <v>600</v>
      </c>
    </row>
    <row r="8" spans="2:47">
      <c r="B8" t="s">
        <v>157</v>
      </c>
      <c r="C8" s="91">
        <f>-C7*(1-COGS!C15+5%)</f>
        <v>-817.89945200000011</v>
      </c>
      <c r="D8" s="91">
        <f>-D7*(1-COGS!D15+5%)</f>
        <v>-1767.2984215050008</v>
      </c>
      <c r="E8" s="91">
        <f>-E7*(1-COGS!E15+5%)</f>
        <v>-2304.1230664920013</v>
      </c>
      <c r="J8" t="s">
        <v>157</v>
      </c>
      <c r="K8" s="91">
        <f>C8*(1+$H$7)</f>
        <v>-269.90681916</v>
      </c>
      <c r="L8" s="91">
        <f t="shared" si="3"/>
        <v>-583.20847909665019</v>
      </c>
      <c r="M8" s="91">
        <f t="shared" si="3"/>
        <v>-760.36061194236038</v>
      </c>
      <c r="Q8" t="s">
        <v>54</v>
      </c>
      <c r="R8" t="s">
        <v>186</v>
      </c>
      <c r="U8" s="3">
        <f>'Initiative Log - Detailed'!$G9*U29</f>
        <v>0</v>
      </c>
      <c r="V8" s="3">
        <f>'Initiative Log - Detailed'!$G9*V29</f>
        <v>0</v>
      </c>
      <c r="W8" s="3">
        <f>'Initiative Log - Detailed'!$G9*W29</f>
        <v>0</v>
      </c>
      <c r="X8" s="3">
        <f>'Initiative Log - Detailed'!$G9*X29</f>
        <v>40</v>
      </c>
      <c r="Y8" s="3">
        <f>'Initiative Log - Detailed'!$G9*Y29</f>
        <v>16</v>
      </c>
      <c r="Z8" s="3">
        <f>'Initiative Log - Detailed'!$G9*Z29</f>
        <v>24</v>
      </c>
      <c r="AA8" s="3">
        <f>'Initiative Log - Detailed'!$G9*AA29</f>
        <v>60</v>
      </c>
      <c r="AB8" s="3">
        <f>'Initiative Log - Detailed'!$G9*AB29</f>
        <v>28.000000000000004</v>
      </c>
      <c r="AC8" s="3">
        <f>'Initiative Log - Detailed'!$G9*AC29</f>
        <v>32</v>
      </c>
      <c r="AD8" s="3">
        <f>'Initiative Log - Detailed'!$G9*AD29</f>
        <v>96</v>
      </c>
      <c r="AE8" s="3">
        <f>'Initiative Log - Detailed'!$G9*AE29</f>
        <v>52</v>
      </c>
      <c r="AF8" s="3">
        <f>'Initiative Log - Detailed'!$G9*AF29</f>
        <v>52</v>
      </c>
      <c r="AH8" s="3">
        <f t="shared" si="4"/>
        <v>0</v>
      </c>
      <c r="AI8" s="3">
        <f t="shared" si="5"/>
        <v>0</v>
      </c>
      <c r="AJ8" s="3">
        <f t="shared" si="6"/>
        <v>0</v>
      </c>
      <c r="AK8" s="3">
        <f t="shared" si="7"/>
        <v>0</v>
      </c>
      <c r="AL8" s="3">
        <f t="shared" si="8"/>
        <v>0</v>
      </c>
      <c r="AM8" s="3">
        <f t="shared" si="9"/>
        <v>40</v>
      </c>
      <c r="AN8" s="3">
        <f t="shared" si="10"/>
        <v>56</v>
      </c>
      <c r="AO8" s="3">
        <f t="shared" si="11"/>
        <v>80</v>
      </c>
      <c r="AP8" s="3">
        <f t="shared" si="12"/>
        <v>140</v>
      </c>
      <c r="AQ8" s="3">
        <f t="shared" si="13"/>
        <v>168</v>
      </c>
      <c r="AR8" s="3">
        <f t="shared" si="14"/>
        <v>200</v>
      </c>
      <c r="AS8" s="3">
        <f t="shared" si="15"/>
        <v>296</v>
      </c>
      <c r="AT8" s="3">
        <f t="shared" si="16"/>
        <v>348</v>
      </c>
      <c r="AU8" s="3">
        <f t="shared" si="17"/>
        <v>400</v>
      </c>
    </row>
    <row r="9" spans="2:47">
      <c r="B9" s="49"/>
      <c r="C9" s="3"/>
      <c r="D9" s="3"/>
      <c r="E9" s="3"/>
      <c r="J9" s="49"/>
      <c r="K9" s="3"/>
      <c r="L9" s="3"/>
      <c r="M9" s="3"/>
      <c r="Q9" t="s">
        <v>55</v>
      </c>
      <c r="R9" t="s">
        <v>186</v>
      </c>
      <c r="U9" s="3">
        <f>'Initiative Log - Detailed'!$G10*U30</f>
        <v>0</v>
      </c>
      <c r="V9" s="3">
        <f>'Initiative Log - Detailed'!$G10*V30</f>
        <v>0</v>
      </c>
      <c r="W9" s="3">
        <f>'Initiative Log - Detailed'!$G10*W30</f>
        <v>0</v>
      </c>
      <c r="X9" s="3">
        <f>'Initiative Log - Detailed'!$G10*X30</f>
        <v>0</v>
      </c>
      <c r="Y9" s="3">
        <f>'Initiative Log - Detailed'!$G10*Y30</f>
        <v>0</v>
      </c>
      <c r="Z9" s="3">
        <f>'Initiative Log - Detailed'!$G10*Z30</f>
        <v>0</v>
      </c>
      <c r="AA9" s="3">
        <f>'Initiative Log - Detailed'!$G10*AA30</f>
        <v>0</v>
      </c>
      <c r="AB9" s="3">
        <f>'Initiative Log - Detailed'!$G10*AB30</f>
        <v>0</v>
      </c>
      <c r="AC9" s="3">
        <f>'Initiative Log - Detailed'!$G10*AC30</f>
        <v>40</v>
      </c>
      <c r="AD9" s="3">
        <f>'Initiative Log - Detailed'!$G10*AD30</f>
        <v>15</v>
      </c>
      <c r="AE9" s="3">
        <f>'Initiative Log - Detailed'!$G10*AE30</f>
        <v>20</v>
      </c>
      <c r="AF9" s="3">
        <f>'Initiative Log - Detailed'!$G10*AF30</f>
        <v>25</v>
      </c>
      <c r="AH9" s="3">
        <f t="shared" si="4"/>
        <v>0</v>
      </c>
      <c r="AI9" s="3">
        <f t="shared" si="5"/>
        <v>0</v>
      </c>
      <c r="AJ9" s="3">
        <f t="shared" si="6"/>
        <v>0</v>
      </c>
      <c r="AK9" s="3">
        <f t="shared" si="7"/>
        <v>0</v>
      </c>
      <c r="AL9" s="3">
        <f t="shared" si="8"/>
        <v>0</v>
      </c>
      <c r="AM9" s="3">
        <f t="shared" si="9"/>
        <v>0</v>
      </c>
      <c r="AN9" s="3">
        <f t="shared" si="10"/>
        <v>0</v>
      </c>
      <c r="AO9" s="3">
        <f t="shared" si="11"/>
        <v>0</v>
      </c>
      <c r="AP9" s="3">
        <f t="shared" si="12"/>
        <v>0</v>
      </c>
      <c r="AQ9" s="3">
        <f t="shared" si="13"/>
        <v>0</v>
      </c>
      <c r="AR9" s="3">
        <f t="shared" si="14"/>
        <v>40</v>
      </c>
      <c r="AS9" s="3">
        <f t="shared" si="15"/>
        <v>55</v>
      </c>
      <c r="AT9" s="3">
        <f t="shared" si="16"/>
        <v>75</v>
      </c>
      <c r="AU9" s="3">
        <f t="shared" si="17"/>
        <v>100</v>
      </c>
    </row>
    <row r="10" spans="2:47">
      <c r="B10" s="65" t="s">
        <v>158</v>
      </c>
      <c r="C10" s="94">
        <f>SUM(C7:C8)</f>
        <v>3271.597808</v>
      </c>
      <c r="D10" s="94">
        <f>SUM(D7:D8)</f>
        <v>7181.0480164949995</v>
      </c>
      <c r="E10" s="94">
        <f>SUM(E7:E8)</f>
        <v>9511.892659107998</v>
      </c>
      <c r="J10" s="65" t="s">
        <v>158</v>
      </c>
      <c r="K10" s="94">
        <f>SUM(K7:K8)</f>
        <v>1079.62727664</v>
      </c>
      <c r="L10" s="94">
        <f>SUM(L7:L8)</f>
        <v>2369.7458454433499</v>
      </c>
      <c r="M10" s="94">
        <f>SUM(M7:M8)</f>
        <v>3138.9245775056393</v>
      </c>
      <c r="Q10" t="s">
        <v>57</v>
      </c>
      <c r="R10" t="s">
        <v>186</v>
      </c>
      <c r="U10" s="3">
        <f>'Initiative Log - Detailed'!$G11*U31</f>
        <v>0</v>
      </c>
      <c r="V10" s="3">
        <f>'Initiative Log - Detailed'!$G11*V31</f>
        <v>0</v>
      </c>
      <c r="W10" s="3">
        <f>'Initiative Log - Detailed'!$G11*W31</f>
        <v>0</v>
      </c>
      <c r="X10" s="3">
        <f>'Initiative Log - Detailed'!$G11*X31</f>
        <v>0</v>
      </c>
      <c r="Y10" s="3">
        <f>'Initiative Log - Detailed'!$G11*Y31</f>
        <v>0</v>
      </c>
      <c r="Z10" s="3">
        <f>'Initiative Log - Detailed'!$G11*Z31</f>
        <v>0</v>
      </c>
      <c r="AA10" s="3">
        <f>'Initiative Log - Detailed'!$G11*AA31</f>
        <v>1.9799999999999998</v>
      </c>
      <c r="AB10" s="3">
        <f>'Initiative Log - Detailed'!$G11*AB31</f>
        <v>1.9799999999999998</v>
      </c>
      <c r="AC10" s="3">
        <f>'Initiative Log - Detailed'!$G11*AC31</f>
        <v>2.9699999999999993</v>
      </c>
      <c r="AD10" s="3">
        <f>'Initiative Log - Detailed'!$G11*AD31</f>
        <v>3.9599999999999995</v>
      </c>
      <c r="AE10" s="3">
        <f>'Initiative Log - Detailed'!$G11*AE31</f>
        <v>3.9599999999999995</v>
      </c>
      <c r="AF10" s="3">
        <f>'Initiative Log - Detailed'!$G11*AF31</f>
        <v>4.9499999999999993</v>
      </c>
      <c r="AH10" s="3">
        <f t="shared" si="4"/>
        <v>0</v>
      </c>
      <c r="AI10" s="3">
        <f t="shared" si="5"/>
        <v>0</v>
      </c>
      <c r="AJ10" s="3">
        <f t="shared" si="6"/>
        <v>0</v>
      </c>
      <c r="AK10" s="3">
        <f t="shared" si="7"/>
        <v>0</v>
      </c>
      <c r="AL10" s="3">
        <f t="shared" si="8"/>
        <v>0</v>
      </c>
      <c r="AM10" s="3">
        <f t="shared" si="9"/>
        <v>0</v>
      </c>
      <c r="AN10" s="3">
        <f t="shared" si="10"/>
        <v>0</v>
      </c>
      <c r="AO10" s="3">
        <f t="shared" si="11"/>
        <v>0</v>
      </c>
      <c r="AP10" s="3">
        <f t="shared" si="12"/>
        <v>1.9799999999999998</v>
      </c>
      <c r="AQ10" s="3">
        <f t="shared" si="13"/>
        <v>3.9599999999999995</v>
      </c>
      <c r="AR10" s="3">
        <f t="shared" si="14"/>
        <v>6.9299999999999988</v>
      </c>
      <c r="AS10" s="3">
        <f t="shared" si="15"/>
        <v>10.889999999999999</v>
      </c>
      <c r="AT10" s="3">
        <f t="shared" si="16"/>
        <v>14.849999999999998</v>
      </c>
      <c r="AU10" s="3">
        <f t="shared" si="17"/>
        <v>19.799999999999997</v>
      </c>
    </row>
    <row r="11" spans="2:47">
      <c r="B11" s="66" t="s">
        <v>160</v>
      </c>
      <c r="C11" s="67">
        <f>C10/C$7</f>
        <v>0.79999999999999993</v>
      </c>
      <c r="D11" s="67">
        <f>D10/D$7</f>
        <v>0.80249999999999988</v>
      </c>
      <c r="E11" s="67">
        <f>E10/E$7</f>
        <v>0.80499999999999983</v>
      </c>
      <c r="J11" s="66" t="s">
        <v>160</v>
      </c>
      <c r="K11" s="67">
        <f>K10/K$7</f>
        <v>0.8</v>
      </c>
      <c r="L11" s="67">
        <f>L10/L$7</f>
        <v>0.80249999999999999</v>
      </c>
      <c r="M11" s="67">
        <f>M10/M$7</f>
        <v>0.80499999999999994</v>
      </c>
      <c r="Q11" t="s">
        <v>58</v>
      </c>
      <c r="R11" t="s">
        <v>186</v>
      </c>
      <c r="U11" s="3">
        <f>'Initiative Log - Detailed'!$G12*U32</f>
        <v>0</v>
      </c>
      <c r="V11" s="3">
        <f>'Initiative Log - Detailed'!$G12*V32</f>
        <v>0</v>
      </c>
      <c r="W11" s="3">
        <f>'Initiative Log - Detailed'!$G12*W32</f>
        <v>2.973409579999998</v>
      </c>
      <c r="X11" s="3">
        <f>'Initiative Log - Detailed'!$G12*X32</f>
        <v>2.973409579999998</v>
      </c>
      <c r="Y11" s="3">
        <f>'Initiative Log - Detailed'!$G12*Y32</f>
        <v>2.973409579999998</v>
      </c>
      <c r="Z11" s="3">
        <f>'Initiative Log - Detailed'!$G12*Z32</f>
        <v>2.973409579999998</v>
      </c>
      <c r="AA11" s="3">
        <f>'Initiative Log - Detailed'!$G12*AA32</f>
        <v>2.973409579999998</v>
      </c>
      <c r="AB11" s="3">
        <f>'Initiative Log - Detailed'!$G12*AB32</f>
        <v>2.973409579999998</v>
      </c>
      <c r="AC11" s="3">
        <f>'Initiative Log - Detailed'!$G12*AC32</f>
        <v>2.973409579999998</v>
      </c>
      <c r="AD11" s="3">
        <f>'Initiative Log - Detailed'!$G12*AD32</f>
        <v>2.973409579999998</v>
      </c>
      <c r="AE11" s="3">
        <f>'Initiative Log - Detailed'!$G12*AE32</f>
        <v>2.973409579999998</v>
      </c>
      <c r="AF11" s="3">
        <f>'Initiative Log - Detailed'!$G12*AF32</f>
        <v>2.973409579999998</v>
      </c>
      <c r="AH11" s="3">
        <f t="shared" si="4"/>
        <v>0</v>
      </c>
      <c r="AI11" s="3">
        <f t="shared" si="5"/>
        <v>0</v>
      </c>
      <c r="AJ11" s="3">
        <f t="shared" si="6"/>
        <v>0</v>
      </c>
      <c r="AK11" s="3">
        <f t="shared" si="7"/>
        <v>0</v>
      </c>
      <c r="AL11" s="3">
        <f t="shared" si="8"/>
        <v>2.973409579999998</v>
      </c>
      <c r="AM11" s="3">
        <f t="shared" si="9"/>
        <v>5.946819159999996</v>
      </c>
      <c r="AN11" s="3">
        <f t="shared" si="10"/>
        <v>8.9202287399999936</v>
      </c>
      <c r="AO11" s="3">
        <f t="shared" si="11"/>
        <v>11.893638319999992</v>
      </c>
      <c r="AP11" s="3">
        <f t="shared" si="12"/>
        <v>14.86704789999999</v>
      </c>
      <c r="AQ11" s="3">
        <f t="shared" si="13"/>
        <v>17.840457479999987</v>
      </c>
      <c r="AR11" s="3">
        <f t="shared" si="14"/>
        <v>20.813867059999986</v>
      </c>
      <c r="AS11" s="3">
        <f t="shared" si="15"/>
        <v>23.787276639999984</v>
      </c>
      <c r="AT11" s="3">
        <f t="shared" si="16"/>
        <v>26.760686219999982</v>
      </c>
      <c r="AU11" s="3">
        <f t="shared" si="17"/>
        <v>29.734095799999981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COS'!$C$16</f>
        <v>-286.26480820000006</v>
      </c>
      <c r="D13" s="91">
        <f>-D7*'Other COS'!$C$16</f>
        <v>-626.38425066000013</v>
      </c>
      <c r="E13" s="91">
        <f>-E7*'Other COS'!$C$16</f>
        <v>-827.12110079200011</v>
      </c>
      <c r="J13" t="s">
        <v>162</v>
      </c>
      <c r="K13" s="91">
        <f>-K7*'Other COS'!$C$16</f>
        <v>-94.467386705999999</v>
      </c>
      <c r="L13" s="91">
        <f>-L7*'Other COS'!$C$16</f>
        <v>-206.70680271780003</v>
      </c>
      <c r="M13" s="91">
        <f>-M7*'Other COS'!$C$16</f>
        <v>-272.94996326135998</v>
      </c>
    </row>
    <row r="14" spans="2:47">
      <c r="B14" t="s">
        <v>163</v>
      </c>
      <c r="C14" s="91">
        <f>-SUM(C46:C49)*5%</f>
        <v>-200</v>
      </c>
      <c r="D14" s="91">
        <f t="shared" ref="D14:E14" si="18">-SUM(D46:D49)*5%</f>
        <v>-437.5</v>
      </c>
      <c r="E14" s="91">
        <f t="shared" si="18"/>
        <v>-575</v>
      </c>
      <c r="J14" t="s">
        <v>163</v>
      </c>
      <c r="K14" s="91">
        <f>C14*(1+$H$7)</f>
        <v>-65.999999999999986</v>
      </c>
      <c r="L14" s="91">
        <f t="shared" ref="L14" si="19">D14*(1+$H$7)</f>
        <v>-144.37499999999997</v>
      </c>
      <c r="M14" s="91">
        <f t="shared" ref="M14" si="20">E14*(1+$H$7)</f>
        <v>-189.74999999999997</v>
      </c>
      <c r="Q14" t="s">
        <v>45</v>
      </c>
      <c r="R14" t="s">
        <v>177</v>
      </c>
      <c r="U14" s="3">
        <f>'Initiative Log - Detailed'!$J7*U27</f>
        <v>0</v>
      </c>
      <c r="V14" s="3">
        <f>'Initiative Log - Detailed'!$J7*V27</f>
        <v>0</v>
      </c>
      <c r="W14" s="3">
        <f>'Initiative Log - Detailed'!$J7*W27</f>
        <v>0</v>
      </c>
      <c r="X14" s="3">
        <f>'Initiative Log - Detailed'!$J7*X27</f>
        <v>0</v>
      </c>
      <c r="Y14" s="3">
        <f>'Initiative Log - Detailed'!$J7*Y27</f>
        <v>0</v>
      </c>
      <c r="Z14" s="3">
        <f>'Initiative Log - Detailed'!$J7*Z27</f>
        <v>0</v>
      </c>
      <c r="AA14" s="3">
        <f>'Initiative Log - Detailed'!$J7*AA27</f>
        <v>0</v>
      </c>
      <c r="AB14" s="3">
        <f>'Initiative Log - Detailed'!$J7*AB27</f>
        <v>30.385191055933905</v>
      </c>
      <c r="AC14" s="3">
        <f>'Initiative Log - Detailed'!$J7*AC27</f>
        <v>10.128397018644636</v>
      </c>
      <c r="AD14" s="3">
        <f>'Initiative Log - Detailed'!$J7*AD27</f>
        <v>20.256794037289271</v>
      </c>
      <c r="AE14" s="3">
        <f>'Initiative Log - Detailed'!$J7*AE27</f>
        <v>20.256794037289271</v>
      </c>
      <c r="AF14" s="3">
        <f>'Initiative Log - Detailed'!$J7*AF27</f>
        <v>20.256794037289271</v>
      </c>
      <c r="AH14" s="3">
        <f t="shared" ref="AH14:AH19" si="21">S14</f>
        <v>0</v>
      </c>
      <c r="AI14" s="3">
        <f t="shared" ref="AI14:AI19" si="22">AH14+T14</f>
        <v>0</v>
      </c>
      <c r="AJ14" s="3">
        <f t="shared" ref="AJ14:AJ19" si="23">AI14+U14</f>
        <v>0</v>
      </c>
      <c r="AK14" s="3">
        <f t="shared" ref="AK14:AK19" si="24">AJ14+V14</f>
        <v>0</v>
      </c>
      <c r="AL14" s="3">
        <f t="shared" ref="AL14:AL19" si="25">AK14+W14</f>
        <v>0</v>
      </c>
      <c r="AM14" s="3">
        <f t="shared" ref="AM14:AM19" si="26">AL14+X14</f>
        <v>0</v>
      </c>
      <c r="AN14" s="3">
        <f t="shared" ref="AN14:AN19" si="27">AM14+Y14</f>
        <v>0</v>
      </c>
      <c r="AO14" s="3">
        <f t="shared" ref="AO14:AO19" si="28">AN14+Z14</f>
        <v>0</v>
      </c>
      <c r="AP14" s="3">
        <f t="shared" ref="AP14:AP19" si="29">AO14+AA14</f>
        <v>0</v>
      </c>
      <c r="AQ14" s="3">
        <f t="shared" ref="AQ14:AQ19" si="30">AP14+AB14</f>
        <v>30.385191055933905</v>
      </c>
      <c r="AR14" s="3">
        <f t="shared" ref="AR14:AR19" si="31">AQ14+AC14</f>
        <v>40.513588074578543</v>
      </c>
      <c r="AS14" s="3">
        <f t="shared" ref="AS14:AS19" si="32">AR14+AD14</f>
        <v>60.770382111867818</v>
      </c>
      <c r="AT14" s="3">
        <f t="shared" ref="AT14:AT19" si="33">AS14+AE14</f>
        <v>81.027176149157086</v>
      </c>
      <c r="AU14" s="3">
        <f t="shared" ref="AU14:AU19" si="34">AT14+AF14</f>
        <v>101.28397018644635</v>
      </c>
    </row>
    <row r="15" spans="2:47">
      <c r="B15" s="49"/>
      <c r="C15" s="3"/>
      <c r="D15" s="3"/>
      <c r="E15" s="3"/>
      <c r="J15" s="49"/>
      <c r="K15" s="3"/>
      <c r="L15" s="3"/>
      <c r="M15" s="3"/>
      <c r="Q15" t="s">
        <v>51</v>
      </c>
      <c r="R15" t="s">
        <v>177</v>
      </c>
      <c r="U15" s="3">
        <f>'Initiative Log - Detailed'!$J8*U28</f>
        <v>0</v>
      </c>
      <c r="V15" s="3">
        <f>'Initiative Log - Detailed'!$J8*V28</f>
        <v>0</v>
      </c>
      <c r="W15" s="3">
        <f>'Initiative Log - Detailed'!$J8*W28</f>
        <v>30.385191055933905</v>
      </c>
      <c r="X15" s="3">
        <f>'Initiative Log - Detailed'!$J8*X28</f>
        <v>9.1155573167801709</v>
      </c>
      <c r="Y15" s="3">
        <f>'Initiative Log - Detailed'!$J8*Y28</f>
        <v>12.154076422373562</v>
      </c>
      <c r="Z15" s="3">
        <f>'Initiative Log - Detailed'!$J8*Z28</f>
        <v>12.154076422373562</v>
      </c>
      <c r="AA15" s="3">
        <f>'Initiative Log - Detailed'!$J8*AA28</f>
        <v>45.577786583900853</v>
      </c>
      <c r="AB15" s="3">
        <f>'Initiative Log - Detailed'!$J8*AB28</f>
        <v>21.269633739153736</v>
      </c>
      <c r="AC15" s="3">
        <f>'Initiative Log - Detailed'!$J8*AC28</f>
        <v>21.269633739153736</v>
      </c>
      <c r="AD15" s="3">
        <f>'Initiative Log - Detailed'!$J8*AD28</f>
        <v>72.924458534241367</v>
      </c>
      <c r="AE15" s="3">
        <f>'Initiative Log - Detailed'!$J8*AE28</f>
        <v>39.500748372714078</v>
      </c>
      <c r="AF15" s="3">
        <f>'Initiative Log - Detailed'!$J8*AF28</f>
        <v>39.500748372714078</v>
      </c>
      <c r="AH15" s="3">
        <f t="shared" si="21"/>
        <v>0</v>
      </c>
      <c r="AI15" s="3">
        <f t="shared" si="22"/>
        <v>0</v>
      </c>
      <c r="AJ15" s="3">
        <f t="shared" si="23"/>
        <v>0</v>
      </c>
      <c r="AK15" s="3">
        <f t="shared" si="24"/>
        <v>0</v>
      </c>
      <c r="AL15" s="3">
        <f t="shared" si="25"/>
        <v>30.385191055933905</v>
      </c>
      <c r="AM15" s="3">
        <f t="shared" si="26"/>
        <v>39.500748372714078</v>
      </c>
      <c r="AN15" s="3">
        <f t="shared" si="27"/>
        <v>51.654824795087642</v>
      </c>
      <c r="AO15" s="3">
        <f t="shared" si="28"/>
        <v>63.808901217461205</v>
      </c>
      <c r="AP15" s="3">
        <f t="shared" si="29"/>
        <v>109.38668780136206</v>
      </c>
      <c r="AQ15" s="3">
        <f t="shared" si="30"/>
        <v>130.65632154051579</v>
      </c>
      <c r="AR15" s="3">
        <f t="shared" si="31"/>
        <v>151.92595527966952</v>
      </c>
      <c r="AS15" s="3">
        <f t="shared" si="32"/>
        <v>224.8504138139109</v>
      </c>
      <c r="AT15" s="3">
        <f t="shared" si="33"/>
        <v>264.351162186625</v>
      </c>
      <c r="AU15" s="3">
        <f t="shared" si="34"/>
        <v>303.8519105593391</v>
      </c>
    </row>
    <row r="16" spans="2:47">
      <c r="B16" s="65" t="s">
        <v>166</v>
      </c>
      <c r="C16" s="94">
        <f>SUM(C10,C13:C14)</f>
        <v>2785.3329997999999</v>
      </c>
      <c r="D16" s="94">
        <f>SUM(D10,D13:D14)</f>
        <v>6117.1637658349991</v>
      </c>
      <c r="E16" s="94">
        <f>SUM(E10,E13:E14)</f>
        <v>8109.7715583159988</v>
      </c>
      <c r="J16" s="65" t="s">
        <v>166</v>
      </c>
      <c r="K16" s="94">
        <f>SUM(K10,K13:K14)</f>
        <v>919.15988993400003</v>
      </c>
      <c r="L16" s="94">
        <f>SUM(L10,L13:L14)</f>
        <v>2018.6640427255497</v>
      </c>
      <c r="M16" s="94">
        <f>SUM(M10,M13:M14)</f>
        <v>2676.2246142442791</v>
      </c>
      <c r="Q16" t="s">
        <v>54</v>
      </c>
      <c r="R16" t="s">
        <v>177</v>
      </c>
      <c r="U16" s="3">
        <f>'Initiative Log - Detailed'!$J9*U29</f>
        <v>0</v>
      </c>
      <c r="V16" s="3">
        <f>'Initiative Log - Detailed'!$J9*V29</f>
        <v>0</v>
      </c>
      <c r="W16" s="3">
        <f>'Initiative Log - Detailed'!$J9*W29</f>
        <v>0</v>
      </c>
      <c r="X16" s="3">
        <f>'Initiative Log - Detailed'!$J9*X29</f>
        <v>20.256794037289271</v>
      </c>
      <c r="Y16" s="3">
        <f>'Initiative Log - Detailed'!$J9*Y29</f>
        <v>8.1027176149157079</v>
      </c>
      <c r="Z16" s="3">
        <f>'Initiative Log - Detailed'!$J9*Z29</f>
        <v>12.154076422373562</v>
      </c>
      <c r="AA16" s="3">
        <f>'Initiative Log - Detailed'!$J9*AA29</f>
        <v>30.385191055933905</v>
      </c>
      <c r="AB16" s="3">
        <f>'Initiative Log - Detailed'!$J9*AB29</f>
        <v>14.179755826102491</v>
      </c>
      <c r="AC16" s="3">
        <f>'Initiative Log - Detailed'!$J9*AC29</f>
        <v>16.205435229831416</v>
      </c>
      <c r="AD16" s="3">
        <f>'Initiative Log - Detailed'!$J9*AD29</f>
        <v>48.616305689494247</v>
      </c>
      <c r="AE16" s="3">
        <f>'Initiative Log - Detailed'!$J9*AE29</f>
        <v>26.333832248476053</v>
      </c>
      <c r="AF16" s="3">
        <f>'Initiative Log - Detailed'!$J9*AF29</f>
        <v>26.333832248476053</v>
      </c>
      <c r="AH16" s="3">
        <f t="shared" si="21"/>
        <v>0</v>
      </c>
      <c r="AI16" s="3">
        <f t="shared" si="22"/>
        <v>0</v>
      </c>
      <c r="AJ16" s="3">
        <f t="shared" si="23"/>
        <v>0</v>
      </c>
      <c r="AK16" s="3">
        <f t="shared" si="24"/>
        <v>0</v>
      </c>
      <c r="AL16" s="3">
        <f t="shared" si="25"/>
        <v>0</v>
      </c>
      <c r="AM16" s="3">
        <f t="shared" si="26"/>
        <v>20.256794037289271</v>
      </c>
      <c r="AN16" s="3">
        <f t="shared" si="27"/>
        <v>28.359511652204979</v>
      </c>
      <c r="AO16" s="3">
        <f t="shared" si="28"/>
        <v>40.513588074578543</v>
      </c>
      <c r="AP16" s="3">
        <f t="shared" si="29"/>
        <v>70.898779130512452</v>
      </c>
      <c r="AQ16" s="3">
        <f t="shared" si="30"/>
        <v>85.078534956614945</v>
      </c>
      <c r="AR16" s="3">
        <f t="shared" si="31"/>
        <v>101.28397018644637</v>
      </c>
      <c r="AS16" s="3">
        <f t="shared" si="32"/>
        <v>149.90027587594062</v>
      </c>
      <c r="AT16" s="3">
        <f t="shared" si="33"/>
        <v>176.23410812441668</v>
      </c>
      <c r="AU16" s="3">
        <f t="shared" si="34"/>
        <v>202.56794037289274</v>
      </c>
    </row>
    <row r="17" spans="2:47">
      <c r="B17" s="66" t="s">
        <v>167</v>
      </c>
      <c r="C17" s="67">
        <f>C16/C$7</f>
        <v>0.68109423303538286</v>
      </c>
      <c r="D17" s="67">
        <f>D16/D$7</f>
        <v>0.68360828542107888</v>
      </c>
      <c r="E17" s="67">
        <f>E16/E$7</f>
        <v>0.68633723470304508</v>
      </c>
      <c r="J17" s="66" t="s">
        <v>167</v>
      </c>
      <c r="K17" s="67">
        <f>K16/K$7</f>
        <v>0.68109423303538297</v>
      </c>
      <c r="L17" s="67">
        <f>L16/L$7</f>
        <v>0.68360828542107899</v>
      </c>
      <c r="M17" s="67">
        <f>M16/M$7</f>
        <v>0.68633723470304508</v>
      </c>
      <c r="Q17" t="s">
        <v>55</v>
      </c>
      <c r="R17" t="s">
        <v>177</v>
      </c>
      <c r="U17" s="3">
        <f>'Initiative Log - Detailed'!$J10*U30</f>
        <v>0</v>
      </c>
      <c r="V17" s="3">
        <f>'Initiative Log - Detailed'!$J10*V30</f>
        <v>0</v>
      </c>
      <c r="W17" s="3">
        <f>'Initiative Log - Detailed'!$J10*W30</f>
        <v>0</v>
      </c>
      <c r="X17" s="3">
        <f>'Initiative Log - Detailed'!$J10*X30</f>
        <v>0</v>
      </c>
      <c r="Y17" s="3">
        <f>'Initiative Log - Detailed'!$J10*Y30</f>
        <v>0</v>
      </c>
      <c r="Z17" s="3">
        <f>'Initiative Log - Detailed'!$J10*Z30</f>
        <v>0</v>
      </c>
      <c r="AA17" s="3">
        <f>'Initiative Log - Detailed'!$J10*AA30</f>
        <v>0</v>
      </c>
      <c r="AB17" s="3">
        <f>'Initiative Log - Detailed'!$J10*AB30</f>
        <v>0</v>
      </c>
      <c r="AC17" s="3">
        <f>'Initiative Log - Detailed'!$J10*AC30</f>
        <v>20.256794037289271</v>
      </c>
      <c r="AD17" s="3">
        <f>'Initiative Log - Detailed'!$J10*AD30</f>
        <v>7.5962977639834763</v>
      </c>
      <c r="AE17" s="3">
        <f>'Initiative Log - Detailed'!$J10*AE30</f>
        <v>10.128397018644636</v>
      </c>
      <c r="AF17" s="3">
        <f>'Initiative Log - Detailed'!$J10*AF30</f>
        <v>12.660496273305794</v>
      </c>
      <c r="AH17" s="3">
        <f t="shared" si="21"/>
        <v>0</v>
      </c>
      <c r="AI17" s="3">
        <f t="shared" si="22"/>
        <v>0</v>
      </c>
      <c r="AJ17" s="3">
        <f t="shared" si="23"/>
        <v>0</v>
      </c>
      <c r="AK17" s="3">
        <f t="shared" si="24"/>
        <v>0</v>
      </c>
      <c r="AL17" s="3">
        <f t="shared" si="25"/>
        <v>0</v>
      </c>
      <c r="AM17" s="3">
        <f t="shared" si="26"/>
        <v>0</v>
      </c>
      <c r="AN17" s="3">
        <f t="shared" si="27"/>
        <v>0</v>
      </c>
      <c r="AO17" s="3">
        <f t="shared" si="28"/>
        <v>0</v>
      </c>
      <c r="AP17" s="3">
        <f t="shared" si="29"/>
        <v>0</v>
      </c>
      <c r="AQ17" s="3">
        <f t="shared" si="30"/>
        <v>0</v>
      </c>
      <c r="AR17" s="3">
        <f t="shared" si="31"/>
        <v>20.256794037289271</v>
      </c>
      <c r="AS17" s="3">
        <f t="shared" si="32"/>
        <v>27.853091801272747</v>
      </c>
      <c r="AT17" s="3">
        <f t="shared" si="33"/>
        <v>37.981488819917381</v>
      </c>
      <c r="AU17" s="3">
        <f t="shared" si="34"/>
        <v>50.641985093223177</v>
      </c>
    </row>
    <row r="18" spans="2:47">
      <c r="B18" s="49"/>
      <c r="C18" s="3"/>
      <c r="D18" s="3"/>
      <c r="E18" s="3"/>
      <c r="J18" s="49"/>
      <c r="K18" s="3"/>
      <c r="L18" s="3"/>
      <c r="M18" s="3"/>
      <c r="Q18" t="s">
        <v>57</v>
      </c>
      <c r="R18" t="s">
        <v>177</v>
      </c>
      <c r="U18" s="3">
        <f>'Initiative Log - Detailed'!$J11*U31</f>
        <v>0</v>
      </c>
      <c r="V18" s="3">
        <f>'Initiative Log - Detailed'!$J11*V31</f>
        <v>0</v>
      </c>
      <c r="W18" s="3">
        <f>'Initiative Log - Detailed'!$J11*W31</f>
        <v>0</v>
      </c>
      <c r="X18" s="3">
        <f>'Initiative Log - Detailed'!$J11*X31</f>
        <v>0</v>
      </c>
      <c r="Y18" s="3">
        <f>'Initiative Log - Detailed'!$J11*Y31</f>
        <v>0</v>
      </c>
      <c r="Z18" s="3">
        <f>'Initiative Log - Detailed'!$J11*Z31</f>
        <v>0</v>
      </c>
      <c r="AA18" s="3">
        <f>'Initiative Log - Detailed'!$J11*AA31</f>
        <v>1.0027113048458187</v>
      </c>
      <c r="AB18" s="3">
        <f>'Initiative Log - Detailed'!$J11*AB31</f>
        <v>1.0027113048458187</v>
      </c>
      <c r="AC18" s="3">
        <f>'Initiative Log - Detailed'!$J11*AC31</f>
        <v>1.504066957268728</v>
      </c>
      <c r="AD18" s="3">
        <f>'Initiative Log - Detailed'!$J11*AD31</f>
        <v>2.0054226096916374</v>
      </c>
      <c r="AE18" s="3">
        <f>'Initiative Log - Detailed'!$J11*AE31</f>
        <v>2.0054226096916374</v>
      </c>
      <c r="AF18" s="3">
        <f>'Initiative Log - Detailed'!$J11*AF31</f>
        <v>2.5067782621145467</v>
      </c>
      <c r="AH18" s="3">
        <f t="shared" si="21"/>
        <v>0</v>
      </c>
      <c r="AI18" s="3">
        <f t="shared" si="22"/>
        <v>0</v>
      </c>
      <c r="AJ18" s="3">
        <f t="shared" si="23"/>
        <v>0</v>
      </c>
      <c r="AK18" s="3">
        <f t="shared" si="24"/>
        <v>0</v>
      </c>
      <c r="AL18" s="3">
        <f t="shared" si="25"/>
        <v>0</v>
      </c>
      <c r="AM18" s="3">
        <f t="shared" si="26"/>
        <v>0</v>
      </c>
      <c r="AN18" s="3">
        <f t="shared" si="27"/>
        <v>0</v>
      </c>
      <c r="AO18" s="3">
        <f t="shared" si="28"/>
        <v>0</v>
      </c>
      <c r="AP18" s="3">
        <f t="shared" si="29"/>
        <v>1.0027113048458187</v>
      </c>
      <c r="AQ18" s="3">
        <f t="shared" si="30"/>
        <v>2.0054226096916374</v>
      </c>
      <c r="AR18" s="3">
        <f t="shared" si="31"/>
        <v>3.5094895669603652</v>
      </c>
      <c r="AS18" s="3">
        <f t="shared" si="32"/>
        <v>5.5149121766520022</v>
      </c>
      <c r="AT18" s="3">
        <f t="shared" si="33"/>
        <v>7.5203347863436392</v>
      </c>
      <c r="AU18" s="3">
        <f t="shared" si="34"/>
        <v>10.027113048458187</v>
      </c>
    </row>
    <row r="19" spans="2:47">
      <c r="B19" t="s">
        <v>168</v>
      </c>
      <c r="C19" s="91">
        <f>-C7*3%</f>
        <v>-122.68491779999999</v>
      </c>
      <c r="D19" s="91">
        <f t="shared" ref="D19:E19" si="35">-D7*3%</f>
        <v>-268.45039314000002</v>
      </c>
      <c r="E19" s="91">
        <f t="shared" si="35"/>
        <v>-354.48047176799997</v>
      </c>
      <c r="J19" t="s">
        <v>168</v>
      </c>
      <c r="K19" s="91">
        <f>-K7*3%</f>
        <v>-40.486022874</v>
      </c>
      <c r="L19" s="91">
        <f t="shared" ref="L19:M19" si="36">-L7*3%</f>
        <v>-88.588629736199991</v>
      </c>
      <c r="M19" s="91">
        <f t="shared" si="36"/>
        <v>-116.97855568343998</v>
      </c>
      <c r="Q19" t="s">
        <v>58</v>
      </c>
      <c r="R19" t="s">
        <v>177</v>
      </c>
      <c r="U19" s="3">
        <f>'Initiative Log - Detailed'!$J12*U32</f>
        <v>0</v>
      </c>
      <c r="V19" s="3">
        <f>'Initiative Log - Detailed'!$J12*V32</f>
        <v>0</v>
      </c>
      <c r="W19" s="3">
        <f>'Initiative Log - Detailed'!$J12*W32</f>
        <v>1.5057936362640687</v>
      </c>
      <c r="X19" s="3">
        <f>'Initiative Log - Detailed'!$J12*X32</f>
        <v>1.5057936362640687</v>
      </c>
      <c r="Y19" s="3">
        <f>'Initiative Log - Detailed'!$J12*Y32</f>
        <v>1.5057936362640687</v>
      </c>
      <c r="Z19" s="3">
        <f>'Initiative Log - Detailed'!$J12*Z32</f>
        <v>1.5057936362640687</v>
      </c>
      <c r="AA19" s="3">
        <f>'Initiative Log - Detailed'!$J12*AA32</f>
        <v>1.5057936362640687</v>
      </c>
      <c r="AB19" s="3">
        <f>'Initiative Log - Detailed'!$J12*AB32</f>
        <v>1.5057936362640687</v>
      </c>
      <c r="AC19" s="3">
        <f>'Initiative Log - Detailed'!$J12*AC32</f>
        <v>1.5057936362640687</v>
      </c>
      <c r="AD19" s="3">
        <f>'Initiative Log - Detailed'!$J12*AD32</f>
        <v>1.5057936362640687</v>
      </c>
      <c r="AE19" s="3">
        <f>'Initiative Log - Detailed'!$J12*AE32</f>
        <v>1.5057936362640687</v>
      </c>
      <c r="AF19" s="3">
        <f>'Initiative Log - Detailed'!$J12*AF32</f>
        <v>1.5057936362640687</v>
      </c>
      <c r="AH19" s="3">
        <f t="shared" si="21"/>
        <v>0</v>
      </c>
      <c r="AI19" s="3">
        <f t="shared" si="22"/>
        <v>0</v>
      </c>
      <c r="AJ19" s="3">
        <f t="shared" si="23"/>
        <v>0</v>
      </c>
      <c r="AK19" s="3">
        <f t="shared" si="24"/>
        <v>0</v>
      </c>
      <c r="AL19" s="3">
        <f t="shared" si="25"/>
        <v>1.5057936362640687</v>
      </c>
      <c r="AM19" s="3">
        <f t="shared" si="26"/>
        <v>3.0115872725281374</v>
      </c>
      <c r="AN19" s="3">
        <f t="shared" si="27"/>
        <v>4.5173809087922061</v>
      </c>
      <c r="AO19" s="3">
        <f t="shared" si="28"/>
        <v>6.0231745450562748</v>
      </c>
      <c r="AP19" s="3">
        <f t="shared" si="29"/>
        <v>7.5289681813203435</v>
      </c>
      <c r="AQ19" s="3">
        <f t="shared" si="30"/>
        <v>9.0347618175844122</v>
      </c>
      <c r="AR19" s="3">
        <f t="shared" si="31"/>
        <v>10.54055545384848</v>
      </c>
      <c r="AS19" s="3">
        <f t="shared" si="32"/>
        <v>12.04634909011255</v>
      </c>
      <c r="AT19" s="3">
        <f t="shared" si="33"/>
        <v>13.552142726376619</v>
      </c>
      <c r="AU19" s="3">
        <f t="shared" si="34"/>
        <v>15.057936362640689</v>
      </c>
    </row>
    <row r="20" spans="2:47">
      <c r="B20" t="s">
        <v>169</v>
      </c>
      <c r="C20" s="91">
        <f>C19/2</f>
        <v>-61.342458899999997</v>
      </c>
      <c r="D20" s="91">
        <f t="shared" ref="D20:E20" si="37">D19/2</f>
        <v>-134.22519657000001</v>
      </c>
      <c r="E20" s="91">
        <f t="shared" si="37"/>
        <v>-177.24023588399999</v>
      </c>
      <c r="J20" t="s">
        <v>169</v>
      </c>
      <c r="K20" s="91">
        <f>K19/2</f>
        <v>-20.243011437</v>
      </c>
      <c r="L20" s="91">
        <f t="shared" ref="L20" si="38">L19/2</f>
        <v>-44.294314868099995</v>
      </c>
      <c r="M20" s="91">
        <f t="shared" ref="M20" si="39">M19/2</f>
        <v>-58.489277841719989</v>
      </c>
    </row>
    <row r="21" spans="2:47">
      <c r="B21" s="49"/>
      <c r="C21" s="3"/>
      <c r="D21" s="3"/>
      <c r="E21" s="3"/>
      <c r="J21" s="49"/>
      <c r="K21" s="3"/>
      <c r="L21" s="3"/>
      <c r="M21" s="3"/>
      <c r="R21" t="s">
        <v>191</v>
      </c>
      <c r="S21">
        <v>14</v>
      </c>
      <c r="T21" s="210">
        <v>14</v>
      </c>
      <c r="U21" s="210">
        <f>15+SUM(U6:U11)*0.05</f>
        <v>15</v>
      </c>
      <c r="V21" s="210">
        <v>15</v>
      </c>
      <c r="W21" s="210">
        <f>ROUND(15+SUM(W6:W11)*0.05, 0)</f>
        <v>18</v>
      </c>
      <c r="X21" s="210">
        <f>ROUND(17+SUM(X6:X11)*0.05, 0)</f>
        <v>20</v>
      </c>
      <c r="Y21" s="210">
        <f t="shared" ref="Y21:AE21" si="40">ROUND(17+SUM(Y6:Y11)*0.05, 0)</f>
        <v>19</v>
      </c>
      <c r="Z21" s="210">
        <f t="shared" si="40"/>
        <v>20</v>
      </c>
      <c r="AA21" s="210">
        <f t="shared" si="40"/>
        <v>25</v>
      </c>
      <c r="AB21" s="210">
        <f t="shared" si="40"/>
        <v>24</v>
      </c>
      <c r="AC21" s="210">
        <f t="shared" si="40"/>
        <v>24</v>
      </c>
      <c r="AD21" s="210">
        <f t="shared" si="40"/>
        <v>32</v>
      </c>
      <c r="AE21" s="210">
        <f t="shared" si="40"/>
        <v>27</v>
      </c>
      <c r="AF21" s="210">
        <f>ROUND(17+SUM(AF6:AF11)*0.05, 0)+4</f>
        <v>31</v>
      </c>
      <c r="AH21" s="3">
        <f t="shared" ref="AH21" si="41">S21</f>
        <v>14</v>
      </c>
      <c r="AI21" s="3">
        <f t="shared" ref="AI21" si="42">AH21+T21</f>
        <v>28</v>
      </c>
      <c r="AJ21" s="3">
        <f t="shared" ref="AJ21" si="43">AI21+U21</f>
        <v>43</v>
      </c>
      <c r="AK21" s="3">
        <f t="shared" ref="AK21" si="44">AJ21+V21</f>
        <v>58</v>
      </c>
      <c r="AL21" s="3">
        <f t="shared" ref="AL21" si="45">AK21+W21</f>
        <v>76</v>
      </c>
      <c r="AM21" s="3">
        <f t="shared" ref="AM21" si="46">AL21+X21</f>
        <v>96</v>
      </c>
      <c r="AN21" s="3">
        <f t="shared" ref="AN21" si="47">AM21+Y21</f>
        <v>115</v>
      </c>
      <c r="AO21" s="3">
        <f t="shared" ref="AO21" si="48">AN21+Z21</f>
        <v>135</v>
      </c>
      <c r="AP21" s="3">
        <f t="shared" ref="AP21" si="49">AO21+AA21</f>
        <v>160</v>
      </c>
      <c r="AQ21" s="3">
        <f t="shared" ref="AQ21" si="50">AP21+AB21</f>
        <v>184</v>
      </c>
      <c r="AR21" s="3">
        <f t="shared" ref="AR21" si="51">AQ21+AC21</f>
        <v>208</v>
      </c>
      <c r="AS21" s="3">
        <f t="shared" ref="AS21" si="52">AR21+AD21</f>
        <v>240</v>
      </c>
      <c r="AT21" s="3">
        <f t="shared" ref="AT21" si="53">AS21+AE21</f>
        <v>267</v>
      </c>
      <c r="AU21" s="3">
        <f t="shared" ref="AU21" si="54">AT21+AF21</f>
        <v>298</v>
      </c>
    </row>
    <row r="22" spans="2:47">
      <c r="B22" s="65" t="s">
        <v>170</v>
      </c>
      <c r="C22" s="94">
        <f>SUM(C16,C19:C20)</f>
        <v>2601.3056230999996</v>
      </c>
      <c r="D22" s="94">
        <f>SUM(D16,D19:D20)</f>
        <v>5714.488176124999</v>
      </c>
      <c r="E22" s="94">
        <f>SUM(E16,E19:E20)</f>
        <v>7578.050850663999</v>
      </c>
      <c r="J22" s="65" t="s">
        <v>170</v>
      </c>
      <c r="K22" s="94">
        <f>SUM(K16,K19:K20)</f>
        <v>858.43085562300007</v>
      </c>
      <c r="L22" s="94">
        <f>SUM(L16,L19:L20)</f>
        <v>1885.7810981212499</v>
      </c>
      <c r="M22" s="94">
        <f>SUM(M16,M19:M20)</f>
        <v>2500.756780719119</v>
      </c>
    </row>
    <row r="23" spans="2:47">
      <c r="B23" s="66" t="s">
        <v>171</v>
      </c>
      <c r="C23" s="67">
        <f>C22/C$7</f>
        <v>0.63609423303538282</v>
      </c>
      <c r="D23" s="67">
        <f>D22/D$7</f>
        <v>0.63860828542107895</v>
      </c>
      <c r="E23" s="67">
        <f>E22/E$7</f>
        <v>0.64133723470304504</v>
      </c>
      <c r="J23" s="66" t="s">
        <v>171</v>
      </c>
      <c r="K23" s="67">
        <f>K22/K$7</f>
        <v>0.63609423303538304</v>
      </c>
      <c r="L23" s="67">
        <f>L22/L$7</f>
        <v>0.63860828542107906</v>
      </c>
      <c r="M23" s="67">
        <f>M22/M$7</f>
        <v>0.64133723470304504</v>
      </c>
    </row>
    <row r="24" spans="2:47">
      <c r="B24" s="49"/>
      <c r="C24" s="3"/>
      <c r="D24" s="3"/>
      <c r="E24" s="3"/>
      <c r="J24" s="49"/>
      <c r="K24" s="3"/>
      <c r="L24" s="3"/>
      <c r="M24" s="3"/>
    </row>
    <row r="25" spans="2:47">
      <c r="B25" t="s">
        <v>172</v>
      </c>
      <c r="C25" s="91">
        <v>-250</v>
      </c>
      <c r="D25" s="91">
        <v>-400</v>
      </c>
      <c r="E25" s="91">
        <v>-450</v>
      </c>
      <c r="J25" t="s">
        <v>172</v>
      </c>
      <c r="K25" s="91">
        <f>C25*50%</f>
        <v>-125</v>
      </c>
      <c r="L25" s="91">
        <f>C25</f>
        <v>-250</v>
      </c>
      <c r="M25" s="91">
        <f>D25*75%</f>
        <v>-300</v>
      </c>
    </row>
    <row r="26" spans="2:47">
      <c r="B26" t="s">
        <v>173</v>
      </c>
      <c r="C26" s="91">
        <v>-50</v>
      </c>
      <c r="D26" s="91">
        <v>-120</v>
      </c>
      <c r="E26" s="91">
        <v>-150</v>
      </c>
      <c r="J26" t="s">
        <v>173</v>
      </c>
      <c r="K26" s="91">
        <f>C26</f>
        <v>-50</v>
      </c>
      <c r="L26" s="91">
        <f>K26*1.3</f>
        <v>-65</v>
      </c>
      <c r="M26" s="91">
        <f>L26*1.3</f>
        <v>-84.5</v>
      </c>
    </row>
    <row r="27" spans="2:47">
      <c r="B27" s="49"/>
      <c r="C27" s="3"/>
      <c r="D27" s="3"/>
      <c r="E27" s="3"/>
      <c r="J27" s="49"/>
      <c r="K27" s="3"/>
      <c r="L27" s="3"/>
      <c r="M27" s="3"/>
      <c r="Q27" t="s">
        <v>45</v>
      </c>
      <c r="R27" t="s">
        <v>192</v>
      </c>
      <c r="AB27" s="9">
        <v>0.3</v>
      </c>
      <c r="AC27" s="9">
        <v>0.1</v>
      </c>
      <c r="AD27" s="9">
        <v>0.2</v>
      </c>
      <c r="AE27" s="9">
        <v>0.2</v>
      </c>
      <c r="AF27" s="9">
        <v>0.2</v>
      </c>
    </row>
    <row r="28" spans="2:47">
      <c r="B28" s="65" t="s">
        <v>174</v>
      </c>
      <c r="C28" s="94">
        <f>SUM(C22,C25:C26)</f>
        <v>2301.3056230999996</v>
      </c>
      <c r="D28" s="94">
        <f>SUM(D22,D25:D26)</f>
        <v>5194.488176124999</v>
      </c>
      <c r="E28" s="94">
        <f>SUM(E22,E25:E26)</f>
        <v>6978.050850663999</v>
      </c>
      <c r="J28" s="65" t="s">
        <v>174</v>
      </c>
      <c r="K28" s="94">
        <f>SUM(K22,K25:K26)</f>
        <v>683.43085562300007</v>
      </c>
      <c r="L28" s="94">
        <f>SUM(L22,L25:L26)</f>
        <v>1570.7810981212499</v>
      </c>
      <c r="M28" s="94">
        <f>SUM(M22,M25:M26)</f>
        <v>2116.256780719119</v>
      </c>
      <c r="Q28" t="s">
        <v>51</v>
      </c>
      <c r="R28" t="s">
        <v>192</v>
      </c>
      <c r="W28" s="10">
        <v>0.1</v>
      </c>
      <c r="X28" s="10">
        <v>0.03</v>
      </c>
      <c r="Y28" s="10">
        <v>0.04</v>
      </c>
      <c r="Z28" s="10">
        <v>0.04</v>
      </c>
      <c r="AA28" s="10">
        <v>0.15</v>
      </c>
      <c r="AB28" s="10">
        <v>7.0000000000000007E-2</v>
      </c>
      <c r="AC28" s="10">
        <v>7.0000000000000007E-2</v>
      </c>
      <c r="AD28" s="10">
        <v>0.24</v>
      </c>
      <c r="AE28" s="10">
        <v>0.13</v>
      </c>
      <c r="AF28" s="10">
        <v>0.13</v>
      </c>
    </row>
    <row r="29" spans="2:47">
      <c r="B29" s="66" t="s">
        <v>175</v>
      </c>
      <c r="C29" s="67">
        <f>C28/C$7</f>
        <v>0.56273558258845724</v>
      </c>
      <c r="D29" s="67">
        <f>D28/D$7</f>
        <v>0.58049699037870428</v>
      </c>
      <c r="E29" s="67">
        <f>E28/E$7</f>
        <v>0.5905586970018748</v>
      </c>
      <c r="J29" s="66" t="s">
        <v>175</v>
      </c>
      <c r="K29" s="67">
        <f>K28/K$7</f>
        <v>0.50641985093223174</v>
      </c>
      <c r="L29" s="67">
        <f>L28/L$7</f>
        <v>0.53193545361252415</v>
      </c>
      <c r="M29" s="67">
        <f>M28/M$7</f>
        <v>0.54272941780355022</v>
      </c>
      <c r="Q29" t="s">
        <v>54</v>
      </c>
      <c r="R29" t="s">
        <v>192</v>
      </c>
      <c r="W29" s="10"/>
      <c r="X29" s="10">
        <v>0.1</v>
      </c>
      <c r="Y29" s="10">
        <v>0.04</v>
      </c>
      <c r="Z29" s="10">
        <v>0.06</v>
      </c>
      <c r="AA29" s="10">
        <v>0.15</v>
      </c>
      <c r="AB29" s="10">
        <v>7.0000000000000007E-2</v>
      </c>
      <c r="AC29" s="10">
        <v>0.08</v>
      </c>
      <c r="AD29" s="10">
        <v>0.24</v>
      </c>
      <c r="AE29" s="10">
        <v>0.13</v>
      </c>
      <c r="AF29" s="10">
        <v>0.13</v>
      </c>
    </row>
    <row r="30" spans="2:47">
      <c r="B30" s="49"/>
      <c r="C30" s="3"/>
      <c r="D30" s="3"/>
      <c r="E30" s="3"/>
      <c r="J30" s="49"/>
      <c r="K30" s="3"/>
      <c r="L30" s="3"/>
      <c r="M30" s="3"/>
      <c r="Q30" t="s">
        <v>55</v>
      </c>
      <c r="R30" t="s">
        <v>192</v>
      </c>
      <c r="AC30" s="9">
        <v>0.4</v>
      </c>
      <c r="AD30" s="9">
        <v>0.15</v>
      </c>
      <c r="AE30" s="9">
        <v>0.2</v>
      </c>
      <c r="AF30" s="9">
        <v>0.25</v>
      </c>
    </row>
    <row r="31" spans="2:47">
      <c r="B31" t="s">
        <v>176</v>
      </c>
      <c r="C31" s="91">
        <f>-250-120</f>
        <v>-370</v>
      </c>
      <c r="D31" s="91">
        <f>-150-120</f>
        <v>-270</v>
      </c>
      <c r="E31" s="91">
        <f>-30-120</f>
        <v>-150</v>
      </c>
      <c r="J31" t="s">
        <v>176</v>
      </c>
      <c r="K31" s="91">
        <f>C31+100</f>
        <v>-270</v>
      </c>
      <c r="L31" s="91">
        <f>D31</f>
        <v>-270</v>
      </c>
      <c r="M31" s="91">
        <f>E31</f>
        <v>-150</v>
      </c>
      <c r="Q31" t="s">
        <v>57</v>
      </c>
      <c r="R31" t="s">
        <v>192</v>
      </c>
      <c r="AA31" s="9">
        <v>0.1</v>
      </c>
      <c r="AB31" s="9">
        <v>0.1</v>
      </c>
      <c r="AC31" s="9">
        <v>0.15</v>
      </c>
      <c r="AD31" s="9">
        <v>0.2</v>
      </c>
      <c r="AE31" s="9">
        <v>0.2</v>
      </c>
      <c r="AF31" s="9">
        <v>0.25</v>
      </c>
    </row>
    <row r="32" spans="2:47">
      <c r="B32" s="49"/>
      <c r="C32" s="3"/>
      <c r="D32" s="3"/>
      <c r="E32" s="3"/>
      <c r="J32" s="49"/>
      <c r="K32" s="3"/>
      <c r="L32" s="3"/>
      <c r="M32" s="3"/>
      <c r="Q32" t="s">
        <v>58</v>
      </c>
      <c r="R32" t="s">
        <v>192</v>
      </c>
      <c r="W32" s="10">
        <f>1/10</f>
        <v>0.1</v>
      </c>
      <c r="X32" s="10">
        <f t="shared" ref="X32:AF32" si="55">1/10</f>
        <v>0.1</v>
      </c>
      <c r="Y32" s="10">
        <f t="shared" si="55"/>
        <v>0.1</v>
      </c>
      <c r="Z32" s="10">
        <f t="shared" si="55"/>
        <v>0.1</v>
      </c>
      <c r="AA32" s="10">
        <f t="shared" si="55"/>
        <v>0.1</v>
      </c>
      <c r="AB32" s="10">
        <f t="shared" si="55"/>
        <v>0.1</v>
      </c>
      <c r="AC32" s="10">
        <f t="shared" si="55"/>
        <v>0.1</v>
      </c>
      <c r="AD32" s="10">
        <f t="shared" si="55"/>
        <v>0.1</v>
      </c>
      <c r="AE32" s="10">
        <f t="shared" si="55"/>
        <v>0.1</v>
      </c>
      <c r="AF32" s="10">
        <f t="shared" si="55"/>
        <v>0.1</v>
      </c>
    </row>
    <row r="33" spans="2:13">
      <c r="B33" s="65" t="s">
        <v>177</v>
      </c>
      <c r="C33" s="94">
        <f>SUM(C28,C31)</f>
        <v>1931.3056230999996</v>
      </c>
      <c r="D33" s="94">
        <f>SUM(D28,D31)</f>
        <v>4924.488176124999</v>
      </c>
      <c r="E33" s="94">
        <f>SUM(E28,E31)</f>
        <v>6828.050850663999</v>
      </c>
      <c r="J33" s="65" t="s">
        <v>177</v>
      </c>
      <c r="K33" s="94">
        <f>SUM(K28,K31)</f>
        <v>413.43085562300007</v>
      </c>
      <c r="L33" s="94">
        <f>SUM(L28,L31)</f>
        <v>1300.7810981212499</v>
      </c>
      <c r="M33" s="94">
        <f>SUM(M28,M31)</f>
        <v>1966.256780719119</v>
      </c>
    </row>
    <row r="34" spans="2:13">
      <c r="B34" s="66" t="s">
        <v>178</v>
      </c>
      <c r="C34" s="67">
        <f>C33/C$7</f>
        <v>0.47225991370391568</v>
      </c>
      <c r="D34" s="67">
        <f>D33/D$7</f>
        <v>0.5503238179528559</v>
      </c>
      <c r="E34" s="67">
        <f>E33/E$7</f>
        <v>0.57786406257658229</v>
      </c>
      <c r="J34" s="66" t="s">
        <v>178</v>
      </c>
      <c r="K34" s="67">
        <f>K33/K$7</f>
        <v>0.30635080425879824</v>
      </c>
      <c r="L34" s="67">
        <f>L33/L$7</f>
        <v>0.44050159777662007</v>
      </c>
      <c r="M34" s="67">
        <f>M33/M$7</f>
        <v>0.50426082863599708</v>
      </c>
    </row>
    <row r="37" spans="2:13">
      <c r="B37" t="s">
        <v>179</v>
      </c>
      <c r="C37" s="137">
        <f>-120/2+C26/2+C20/2</f>
        <v>-115.67122945</v>
      </c>
      <c r="F37" t="s">
        <v>193</v>
      </c>
      <c r="J37" t="s">
        <v>179</v>
      </c>
      <c r="K37" s="137">
        <f>-120/2+K26/2+K20/2</f>
        <v>-95.121505718500003</v>
      </c>
    </row>
    <row r="44" spans="2:13">
      <c r="B44" t="s">
        <v>181</v>
      </c>
    </row>
    <row r="46" spans="2:13">
      <c r="B46" t="s">
        <v>194</v>
      </c>
      <c r="C46">
        <v>1000</v>
      </c>
      <c r="D46">
        <v>1500</v>
      </c>
      <c r="E46">
        <v>2000</v>
      </c>
    </row>
    <row r="47" spans="2:13">
      <c r="B47" t="s">
        <v>195</v>
      </c>
      <c r="C47">
        <v>1500</v>
      </c>
      <c r="D47">
        <v>5000</v>
      </c>
      <c r="E47">
        <v>6500</v>
      </c>
    </row>
    <row r="48" spans="2:13">
      <c r="B48" t="s">
        <v>196</v>
      </c>
      <c r="C48">
        <v>1000</v>
      </c>
      <c r="D48">
        <v>1500</v>
      </c>
      <c r="E48">
        <v>2000</v>
      </c>
    </row>
    <row r="49" spans="2:5">
      <c r="B49" t="s">
        <v>197</v>
      </c>
      <c r="C49">
        <v>500</v>
      </c>
      <c r="D49">
        <v>750</v>
      </c>
      <c r="E49">
        <v>1000</v>
      </c>
    </row>
    <row r="51" spans="2:5">
      <c r="B51" t="s">
        <v>198</v>
      </c>
      <c r="C51">
        <v>2</v>
      </c>
      <c r="D51">
        <v>2</v>
      </c>
      <c r="E51">
        <v>2</v>
      </c>
    </row>
    <row r="52" spans="2:5">
      <c r="B52" t="s">
        <v>183</v>
      </c>
      <c r="C52" s="9">
        <v>0.03</v>
      </c>
      <c r="D52" s="57">
        <v>0.03</v>
      </c>
      <c r="E52" s="9">
        <v>0.03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854C-74C5-42E4-A9FD-EF89B33A532F}">
  <sheetPr>
    <tabColor rgb="FF92D050"/>
  </sheetPr>
  <dimension ref="B1:AU52"/>
  <sheetViews>
    <sheetView showGridLines="0" topLeftCell="T4" workbookViewId="0">
      <selection activeCell="AH6" sqref="AH6:AU6"/>
    </sheetView>
  </sheetViews>
  <sheetFormatPr defaultColWidth="8.85546875" defaultRowHeight="15"/>
  <cols>
    <col min="2" max="2" width="29" bestFit="1" customWidth="1"/>
    <col min="10" max="10" width="29" bestFit="1" customWidth="1"/>
    <col min="17" max="17" width="26.42578125" bestFit="1" customWidth="1"/>
  </cols>
  <sheetData>
    <row r="1" spans="2:47">
      <c r="B1" t="s">
        <v>60</v>
      </c>
      <c r="C1" t="s">
        <v>199</v>
      </c>
    </row>
    <row r="2" spans="2:47">
      <c r="B2" t="s">
        <v>200</v>
      </c>
    </row>
    <row r="3" spans="2:47">
      <c r="B3" t="s">
        <v>63</v>
      </c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B4" t="s">
        <v>201</v>
      </c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6" spans="2:47">
      <c r="Q6" t="s">
        <v>60</v>
      </c>
      <c r="R6" t="s">
        <v>186</v>
      </c>
      <c r="U6" s="3">
        <f>'Initiative Log - Detailed'!$G13*'2.2 Jaime Contact Book'!U23</f>
        <v>0</v>
      </c>
      <c r="V6" s="3">
        <f>'Initiative Log - Detailed'!$G13*'2.2 Jaime Contact Book'!V23</f>
        <v>0</v>
      </c>
      <c r="W6" s="3">
        <f>'Initiative Log - Detailed'!$G13*'2.2 Jaime Contact Book'!W23</f>
        <v>40.800000000000004</v>
      </c>
      <c r="X6" s="3">
        <f>'Initiative Log - Detailed'!$G13*'2.2 Jaime Contact Book'!X23</f>
        <v>25.5</v>
      </c>
      <c r="Y6" s="3">
        <f>'Initiative Log - Detailed'!$G13*'2.2 Jaime Contact Book'!Y23</f>
        <v>30.599999999999998</v>
      </c>
      <c r="Z6" s="3">
        <f>'Initiative Log - Detailed'!$G13*'2.2 Jaime Contact Book'!Z23</f>
        <v>30.599999999999998</v>
      </c>
      <c r="AA6" s="3">
        <f>'Initiative Log - Detailed'!$G13*'2.2 Jaime Contact Book'!AA23</f>
        <v>51</v>
      </c>
      <c r="AB6" s="3">
        <f>'Initiative Log - Detailed'!$G13*'2.2 Jaime Contact Book'!AB23</f>
        <v>35.700000000000003</v>
      </c>
      <c r="AC6" s="3">
        <f>'Initiative Log - Detailed'!$G13*'2.2 Jaime Contact Book'!AC23</f>
        <v>51</v>
      </c>
      <c r="AD6" s="3">
        <f>'Initiative Log - Detailed'!$G13*'2.2 Jaime Contact Book'!AD23</f>
        <v>102</v>
      </c>
      <c r="AE6" s="3">
        <f>'Initiative Log - Detailed'!$G13*'2.2 Jaime Contact Book'!AE23</f>
        <v>76.5</v>
      </c>
      <c r="AF6" s="3">
        <f>'Initiative Log - Detailed'!$G13*'2.2 Jaime Contact Book'!AF23</f>
        <v>66.3</v>
      </c>
      <c r="AH6" s="3">
        <f>S6</f>
        <v>0</v>
      </c>
      <c r="AI6" s="3">
        <f>AH6+T6</f>
        <v>0</v>
      </c>
      <c r="AJ6" s="3">
        <f t="shared" ref="AJ6:AU10" si="2">AI6+U6</f>
        <v>0</v>
      </c>
      <c r="AK6" s="3">
        <f t="shared" si="2"/>
        <v>0</v>
      </c>
      <c r="AL6" s="3">
        <f t="shared" si="2"/>
        <v>40.800000000000004</v>
      </c>
      <c r="AM6" s="3">
        <f t="shared" si="2"/>
        <v>66.300000000000011</v>
      </c>
      <c r="AN6" s="3">
        <f t="shared" si="2"/>
        <v>96.9</v>
      </c>
      <c r="AO6" s="3">
        <f t="shared" si="2"/>
        <v>127.5</v>
      </c>
      <c r="AP6" s="3">
        <f t="shared" si="2"/>
        <v>178.5</v>
      </c>
      <c r="AQ6" s="3">
        <f t="shared" si="2"/>
        <v>214.2</v>
      </c>
      <c r="AR6" s="3">
        <f t="shared" si="2"/>
        <v>265.2</v>
      </c>
      <c r="AS6" s="3">
        <f t="shared" si="2"/>
        <v>367.2</v>
      </c>
      <c r="AT6" s="3">
        <f t="shared" si="2"/>
        <v>443.7</v>
      </c>
      <c r="AU6" s="3">
        <f t="shared" si="2"/>
        <v>510</v>
      </c>
    </row>
    <row r="7" spans="2:47">
      <c r="B7" s="64" t="s">
        <v>155</v>
      </c>
      <c r="C7" s="93">
        <f>SUM(C46:C49)+C51*30+'3YP'!E17*C52</f>
        <v>1419.74863</v>
      </c>
      <c r="D7" s="93">
        <f>SUM(D46:D49)+D51*30+C51*50+'3YP'!F17*D52</f>
        <v>3469.1732189999998</v>
      </c>
      <c r="E7" s="93">
        <f>SUM(E46:E49)+E51*30+D51*50+C51*55+'3YP'!G17*E52</f>
        <v>4623.0078628000001</v>
      </c>
      <c r="H7" s="9">
        <v>-0.4</v>
      </c>
      <c r="J7" s="64" t="s">
        <v>155</v>
      </c>
      <c r="K7" s="93">
        <f>C7*(1+$H$7)</f>
        <v>851.84917800000005</v>
      </c>
      <c r="L7" s="93">
        <f t="shared" ref="L7:M8" si="3">D7*(1+$H$7)</f>
        <v>2081.5039313999996</v>
      </c>
      <c r="M7" s="93">
        <f t="shared" si="3"/>
        <v>2773.8047176800001</v>
      </c>
      <c r="Q7" t="s">
        <v>200</v>
      </c>
      <c r="R7" t="s">
        <v>186</v>
      </c>
      <c r="U7" s="3">
        <f>'Initiative Log - Detailed'!$G14*'2.2 Jaime Contact Book'!U24</f>
        <v>0</v>
      </c>
      <c r="V7" s="3">
        <f>'Initiative Log - Detailed'!$G14*'2.2 Jaime Contact Book'!V24</f>
        <v>15</v>
      </c>
      <c r="W7" s="3">
        <f>'Initiative Log - Detailed'!$G14*'2.2 Jaime Contact Book'!W24</f>
        <v>15</v>
      </c>
      <c r="X7" s="3">
        <f>'Initiative Log - Detailed'!$G14*'2.2 Jaime Contact Book'!X24</f>
        <v>15</v>
      </c>
      <c r="Y7" s="3">
        <f>'Initiative Log - Detailed'!$G14*'2.2 Jaime Contact Book'!Y24</f>
        <v>15</v>
      </c>
      <c r="Z7" s="3">
        <f>'Initiative Log - Detailed'!$G14*'2.2 Jaime Contact Book'!Z24</f>
        <v>30</v>
      </c>
      <c r="AA7" s="3">
        <f>'Initiative Log - Detailed'!$G14*'2.2 Jaime Contact Book'!AA24</f>
        <v>30</v>
      </c>
      <c r="AB7" s="3">
        <f>'Initiative Log - Detailed'!$G14*'2.2 Jaime Contact Book'!AB24</f>
        <v>30</v>
      </c>
      <c r="AC7" s="3">
        <f>'Initiative Log - Detailed'!$G14*'2.2 Jaime Contact Book'!AC24</f>
        <v>30</v>
      </c>
      <c r="AD7" s="3">
        <f>'Initiative Log - Detailed'!$G14*'2.2 Jaime Contact Book'!AD24</f>
        <v>45</v>
      </c>
      <c r="AE7" s="3">
        <f>'Initiative Log - Detailed'!$G14*'2.2 Jaime Contact Book'!AE24</f>
        <v>45</v>
      </c>
      <c r="AF7" s="3">
        <f>'Initiative Log - Detailed'!$G14*'2.2 Jaime Contact Book'!AF24</f>
        <v>30</v>
      </c>
      <c r="AH7" s="3">
        <f>S7</f>
        <v>0</v>
      </c>
      <c r="AI7" s="3">
        <f>AH7+T7</f>
        <v>0</v>
      </c>
      <c r="AJ7" s="3">
        <f t="shared" si="2"/>
        <v>0</v>
      </c>
      <c r="AK7" s="3">
        <f t="shared" si="2"/>
        <v>15</v>
      </c>
      <c r="AL7" s="3">
        <f t="shared" si="2"/>
        <v>30</v>
      </c>
      <c r="AM7" s="3">
        <f t="shared" si="2"/>
        <v>45</v>
      </c>
      <c r="AN7" s="3">
        <f t="shared" si="2"/>
        <v>60</v>
      </c>
      <c r="AO7" s="3">
        <f t="shared" si="2"/>
        <v>90</v>
      </c>
      <c r="AP7" s="3">
        <f t="shared" si="2"/>
        <v>120</v>
      </c>
      <c r="AQ7" s="3">
        <f t="shared" si="2"/>
        <v>150</v>
      </c>
      <c r="AR7" s="3">
        <f t="shared" si="2"/>
        <v>180</v>
      </c>
      <c r="AS7" s="3">
        <f t="shared" si="2"/>
        <v>225</v>
      </c>
      <c r="AT7" s="3">
        <f t="shared" si="2"/>
        <v>270</v>
      </c>
      <c r="AU7" s="3">
        <f t="shared" si="2"/>
        <v>300</v>
      </c>
    </row>
    <row r="8" spans="2:47">
      <c r="B8" t="s">
        <v>157</v>
      </c>
      <c r="C8" s="91">
        <f>-C7*(1-COGS!C15+5%)</f>
        <v>-283.949726</v>
      </c>
      <c r="D8" s="91">
        <f>-D7*(1-COGS!D15+5%)</f>
        <v>-685.1617107525002</v>
      </c>
      <c r="E8" s="91">
        <f>-E7*(1-COGS!E15+5%)</f>
        <v>-901.48653324600059</v>
      </c>
      <c r="J8" t="s">
        <v>157</v>
      </c>
      <c r="K8" s="91">
        <f>C8*(1+$H$7)</f>
        <v>-170.36983559999999</v>
      </c>
      <c r="L8" s="91">
        <f t="shared" si="3"/>
        <v>-411.09702645150008</v>
      </c>
      <c r="M8" s="91">
        <f t="shared" si="3"/>
        <v>-540.89191994760029</v>
      </c>
      <c r="Q8" t="s">
        <v>63</v>
      </c>
      <c r="R8" t="s">
        <v>186</v>
      </c>
      <c r="U8" s="3">
        <f>'Initiative Log - Detailed'!$G15*'2.2 Jaime Contact Book'!U25</f>
        <v>0</v>
      </c>
      <c r="V8" s="3">
        <f>'Initiative Log - Detailed'!$G15*'2.2 Jaime Contact Book'!V25</f>
        <v>0</v>
      </c>
      <c r="W8" s="3">
        <f>'Initiative Log - Detailed'!$G15*'2.2 Jaime Contact Book'!W25</f>
        <v>0</v>
      </c>
      <c r="X8" s="3">
        <f>'Initiative Log - Detailed'!$G15*'2.2 Jaime Contact Book'!X25</f>
        <v>0</v>
      </c>
      <c r="Y8" s="3">
        <f>'Initiative Log - Detailed'!$G15*'2.2 Jaime Contact Book'!Y25</f>
        <v>0</v>
      </c>
      <c r="Z8" s="3">
        <f>'Initiative Log - Detailed'!$G15*'2.2 Jaime Contact Book'!Z25</f>
        <v>0</v>
      </c>
      <c r="AA8" s="3">
        <f>'Initiative Log - Detailed'!$G15*'2.2 Jaime Contact Book'!AA25</f>
        <v>0</v>
      </c>
      <c r="AB8" s="3">
        <f>'Initiative Log - Detailed'!$G15*'2.2 Jaime Contact Book'!AB25</f>
        <v>0</v>
      </c>
      <c r="AC8" s="3">
        <f>'Initiative Log - Detailed'!$G15*'2.2 Jaime Contact Book'!AC25</f>
        <v>0</v>
      </c>
      <c r="AD8" s="3">
        <f>'Initiative Log - Detailed'!$G15*'2.2 Jaime Contact Book'!AD25</f>
        <v>0</v>
      </c>
      <c r="AE8" s="3">
        <f>'Initiative Log - Detailed'!$G15*'2.2 Jaime Contact Book'!AE25</f>
        <v>0</v>
      </c>
      <c r="AF8" s="3">
        <f>'Initiative Log - Detailed'!$G15*'2.2 Jaime Contact Book'!AF25</f>
        <v>3</v>
      </c>
      <c r="AH8" s="3">
        <f>S8</f>
        <v>0</v>
      </c>
      <c r="AI8" s="3">
        <f>AH8+T8</f>
        <v>0</v>
      </c>
      <c r="AJ8" s="3">
        <f t="shared" si="2"/>
        <v>0</v>
      </c>
      <c r="AK8" s="3">
        <f t="shared" si="2"/>
        <v>0</v>
      </c>
      <c r="AL8" s="3">
        <f t="shared" si="2"/>
        <v>0</v>
      </c>
      <c r="AM8" s="3">
        <f t="shared" si="2"/>
        <v>0</v>
      </c>
      <c r="AN8" s="3">
        <f t="shared" si="2"/>
        <v>0</v>
      </c>
      <c r="AO8" s="3">
        <f t="shared" si="2"/>
        <v>0</v>
      </c>
      <c r="AP8" s="3">
        <f t="shared" si="2"/>
        <v>0</v>
      </c>
      <c r="AQ8" s="3">
        <f t="shared" si="2"/>
        <v>0</v>
      </c>
      <c r="AR8" s="3">
        <f t="shared" si="2"/>
        <v>0</v>
      </c>
      <c r="AS8" s="3">
        <f t="shared" si="2"/>
        <v>0</v>
      </c>
      <c r="AT8" s="3">
        <f t="shared" si="2"/>
        <v>0</v>
      </c>
      <c r="AU8" s="3">
        <f t="shared" si="2"/>
        <v>3</v>
      </c>
    </row>
    <row r="9" spans="2:47">
      <c r="B9" s="49"/>
      <c r="C9" s="3"/>
      <c r="D9" s="3"/>
      <c r="E9" s="3"/>
      <c r="J9" s="49"/>
      <c r="K9" s="3"/>
      <c r="L9" s="3"/>
      <c r="M9" s="3"/>
      <c r="Q9" t="s">
        <v>64</v>
      </c>
      <c r="R9" t="s">
        <v>186</v>
      </c>
      <c r="U9" s="3">
        <f>'Initiative Log - Detailed'!$G16*'2.2 Jaime Contact Book'!U26</f>
        <v>0</v>
      </c>
      <c r="V9" s="3">
        <f>'Initiative Log - Detailed'!$G16*'2.2 Jaime Contact Book'!V26</f>
        <v>0</v>
      </c>
      <c r="W9" s="3">
        <f>'Initiative Log - Detailed'!$G16*'2.2 Jaime Contact Book'!W26</f>
        <v>0</v>
      </c>
      <c r="X9" s="3">
        <f>'Initiative Log - Detailed'!$G16*'2.2 Jaime Contact Book'!X26</f>
        <v>0</v>
      </c>
      <c r="Y9" s="3">
        <f>'Initiative Log - Detailed'!$G16*'2.2 Jaime Contact Book'!Y26</f>
        <v>0</v>
      </c>
      <c r="Z9" s="3">
        <f>'Initiative Log - Detailed'!$G16*'2.2 Jaime Contact Book'!Z26</f>
        <v>0</v>
      </c>
      <c r="AA9" s="3">
        <f>'Initiative Log - Detailed'!$G16*'2.2 Jaime Contact Book'!AA26</f>
        <v>0</v>
      </c>
      <c r="AB9" s="3">
        <f>'Initiative Log - Detailed'!$G16*'2.2 Jaime Contact Book'!AB26</f>
        <v>0</v>
      </c>
      <c r="AC9" s="3">
        <f>'Initiative Log - Detailed'!$G16*'2.2 Jaime Contact Book'!AC26</f>
        <v>0</v>
      </c>
      <c r="AD9" s="3">
        <f>'Initiative Log - Detailed'!$G16*'2.2 Jaime Contact Book'!AD26</f>
        <v>0</v>
      </c>
      <c r="AE9" s="3">
        <f>'Initiative Log - Detailed'!$G16*'2.2 Jaime Contact Book'!AE26</f>
        <v>0</v>
      </c>
      <c r="AF9" s="3">
        <f>'Initiative Log - Detailed'!$G16*'2.2 Jaime Contact Book'!AF26</f>
        <v>30</v>
      </c>
      <c r="AH9" s="3">
        <f>S9</f>
        <v>0</v>
      </c>
      <c r="AI9" s="3">
        <f>AH9+T9</f>
        <v>0</v>
      </c>
      <c r="AJ9" s="3">
        <f t="shared" si="2"/>
        <v>0</v>
      </c>
      <c r="AK9" s="3">
        <f t="shared" si="2"/>
        <v>0</v>
      </c>
      <c r="AL9" s="3">
        <f t="shared" si="2"/>
        <v>0</v>
      </c>
      <c r="AM9" s="3">
        <f t="shared" si="2"/>
        <v>0</v>
      </c>
      <c r="AN9" s="3">
        <f t="shared" si="2"/>
        <v>0</v>
      </c>
      <c r="AO9" s="3">
        <f t="shared" si="2"/>
        <v>0</v>
      </c>
      <c r="AP9" s="3">
        <f t="shared" si="2"/>
        <v>0</v>
      </c>
      <c r="AQ9" s="3">
        <f t="shared" si="2"/>
        <v>0</v>
      </c>
      <c r="AR9" s="3">
        <f t="shared" si="2"/>
        <v>0</v>
      </c>
      <c r="AS9" s="3">
        <f t="shared" si="2"/>
        <v>0</v>
      </c>
      <c r="AT9" s="3">
        <f t="shared" si="2"/>
        <v>0</v>
      </c>
      <c r="AU9" s="3">
        <f t="shared" si="2"/>
        <v>30</v>
      </c>
    </row>
    <row r="10" spans="2:47">
      <c r="B10" s="65" t="s">
        <v>158</v>
      </c>
      <c r="C10" s="94">
        <f>SUM(C7:C8)</f>
        <v>1135.798904</v>
      </c>
      <c r="D10" s="94">
        <f>SUM(D7:D8)</f>
        <v>2784.0115082474995</v>
      </c>
      <c r="E10" s="94">
        <f>SUM(E7:E8)</f>
        <v>3721.5213295539997</v>
      </c>
      <c r="J10" s="65" t="s">
        <v>158</v>
      </c>
      <c r="K10" s="94">
        <f>SUM(K7:K8)</f>
        <v>681.47934240000006</v>
      </c>
      <c r="L10" s="94">
        <f>SUM(L7:L8)</f>
        <v>1670.4069049484995</v>
      </c>
      <c r="M10" s="94">
        <f>SUM(M7:M8)</f>
        <v>2232.9127977323997</v>
      </c>
      <c r="Q10" t="s">
        <v>65</v>
      </c>
      <c r="R10" t="s">
        <v>186</v>
      </c>
      <c r="U10" s="3">
        <f>'Initiative Log - Detailed'!$G17*'2.2 Jaime Contact Book'!U27</f>
        <v>0</v>
      </c>
      <c r="V10" s="3">
        <f>'Initiative Log - Detailed'!$G17*'2.2 Jaime Contact Book'!V27</f>
        <v>0</v>
      </c>
      <c r="W10" s="3">
        <f>'Initiative Log - Detailed'!$G17*'2.2 Jaime Contact Book'!W27</f>
        <v>0.88491780000000519</v>
      </c>
      <c r="X10" s="3">
        <f>'Initiative Log - Detailed'!$G17*'2.2 Jaime Contact Book'!X27</f>
        <v>0.88491780000000519</v>
      </c>
      <c r="Y10" s="3">
        <f>'Initiative Log - Detailed'!$G17*'2.2 Jaime Contact Book'!Y27</f>
        <v>0.88491780000000519</v>
      </c>
      <c r="Z10" s="3">
        <f>'Initiative Log - Detailed'!$G17*'2.2 Jaime Contact Book'!Z27</f>
        <v>0.88491780000000519</v>
      </c>
      <c r="AA10" s="3">
        <f>'Initiative Log - Detailed'!$G17*'2.2 Jaime Contact Book'!AA27</f>
        <v>0.88491780000000519</v>
      </c>
      <c r="AB10" s="3">
        <f>'Initiative Log - Detailed'!$G17*'2.2 Jaime Contact Book'!AB27</f>
        <v>0.88491780000000519</v>
      </c>
      <c r="AC10" s="3">
        <f>'Initiative Log - Detailed'!$G17*'2.2 Jaime Contact Book'!AC27</f>
        <v>0.88491780000000519</v>
      </c>
      <c r="AD10" s="3">
        <f>'Initiative Log - Detailed'!$G17*'2.2 Jaime Contact Book'!AD27</f>
        <v>0.88491780000000519</v>
      </c>
      <c r="AE10" s="3">
        <f>'Initiative Log - Detailed'!$G17*'2.2 Jaime Contact Book'!AE27</f>
        <v>0.88491780000000519</v>
      </c>
      <c r="AF10" s="3">
        <f>'Initiative Log - Detailed'!$G17*'2.2 Jaime Contact Book'!AF27</f>
        <v>0.88491780000000519</v>
      </c>
      <c r="AH10" s="3">
        <f>S10</f>
        <v>0</v>
      </c>
      <c r="AI10" s="3">
        <f>AH10+T10</f>
        <v>0</v>
      </c>
      <c r="AJ10" s="3">
        <f t="shared" si="2"/>
        <v>0</v>
      </c>
      <c r="AK10" s="3">
        <f t="shared" si="2"/>
        <v>0</v>
      </c>
      <c r="AL10" s="3">
        <f t="shared" si="2"/>
        <v>0.88491780000000519</v>
      </c>
      <c r="AM10" s="3">
        <f t="shared" si="2"/>
        <v>1.7698356000000104</v>
      </c>
      <c r="AN10" s="3">
        <f t="shared" si="2"/>
        <v>2.6547534000000157</v>
      </c>
      <c r="AO10" s="3">
        <f t="shared" si="2"/>
        <v>3.5396712000000208</v>
      </c>
      <c r="AP10" s="3">
        <f t="shared" si="2"/>
        <v>4.4245890000000259</v>
      </c>
      <c r="AQ10" s="3">
        <f t="shared" si="2"/>
        <v>5.3095068000000314</v>
      </c>
      <c r="AR10" s="3">
        <f t="shared" si="2"/>
        <v>6.1944246000000369</v>
      </c>
      <c r="AS10" s="3">
        <f t="shared" si="2"/>
        <v>7.0793424000000424</v>
      </c>
      <c r="AT10" s="3">
        <f t="shared" si="2"/>
        <v>7.964260200000048</v>
      </c>
      <c r="AU10" s="3">
        <f t="shared" si="2"/>
        <v>8.8491780000000535</v>
      </c>
    </row>
    <row r="11" spans="2:47">
      <c r="B11" s="66" t="s">
        <v>160</v>
      </c>
      <c r="C11" s="67">
        <f>C10/C$7</f>
        <v>0.79999999999999993</v>
      </c>
      <c r="D11" s="67">
        <f>D10/D$7</f>
        <v>0.80249999999999988</v>
      </c>
      <c r="E11" s="67">
        <f>E10/E$7</f>
        <v>0.80499999999999994</v>
      </c>
      <c r="J11" s="66" t="s">
        <v>160</v>
      </c>
      <c r="K11" s="67">
        <f>K10/K$7</f>
        <v>0.8</v>
      </c>
      <c r="L11" s="67">
        <f>L10/L$7</f>
        <v>0.80249999999999988</v>
      </c>
      <c r="M11" s="67">
        <f>M10/M$7</f>
        <v>0.80499999999999983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COS'!$C$16</f>
        <v>-99.382404100000016</v>
      </c>
      <c r="D13" s="91">
        <f>-D7*'Other COS'!$C$16</f>
        <v>-242.84212533000002</v>
      </c>
      <c r="E13" s="91">
        <f>-E7*'Other COS'!$C$16</f>
        <v>-323.61055039600006</v>
      </c>
      <c r="J13" t="s">
        <v>162</v>
      </c>
      <c r="K13" s="91">
        <f>-K7*'Other COS'!$C$16</f>
        <v>-59.629442460000007</v>
      </c>
      <c r="L13" s="91">
        <f>-L7*'Other COS'!$C$16</f>
        <v>-145.70527519799998</v>
      </c>
      <c r="M13" s="91">
        <f>-M7*'Other COS'!$C$16</f>
        <v>-194.16633023760002</v>
      </c>
      <c r="Q13" t="s">
        <v>60</v>
      </c>
      <c r="R13" t="s">
        <v>177</v>
      </c>
      <c r="U13" s="3">
        <f>'Initiative Log - Detailed'!$J13*'2.2 Jaime Contact Book'!U23</f>
        <v>0</v>
      </c>
      <c r="V13" s="3">
        <f>'Initiative Log - Detailed'!$J13*'2.2 Jaime Contact Book'!V23</f>
        <v>0</v>
      </c>
      <c r="W13" s="3">
        <f>'Initiative Log - Detailed'!$J13*'2.2 Jaime Contact Book'!W23</f>
        <v>19.582998091176187</v>
      </c>
      <c r="X13" s="3">
        <f>'Initiative Log - Detailed'!$J13*'2.2 Jaime Contact Book'!X23</f>
        <v>12.239373806985117</v>
      </c>
      <c r="Y13" s="3">
        <f>'Initiative Log - Detailed'!$J13*'2.2 Jaime Contact Book'!Y23</f>
        <v>14.68724856838214</v>
      </c>
      <c r="Z13" s="3">
        <f>'Initiative Log - Detailed'!$J13*'2.2 Jaime Contact Book'!Z23</f>
        <v>14.68724856838214</v>
      </c>
      <c r="AA13" s="3">
        <f>'Initiative Log - Detailed'!$J13*'2.2 Jaime Contact Book'!AA23</f>
        <v>24.478747613970235</v>
      </c>
      <c r="AB13" s="3">
        <f>'Initiative Log - Detailed'!$J13*'2.2 Jaime Contact Book'!AB23</f>
        <v>17.135123329779166</v>
      </c>
      <c r="AC13" s="3">
        <f>'Initiative Log - Detailed'!$J13*'2.2 Jaime Contact Book'!AC23</f>
        <v>24.478747613970235</v>
      </c>
      <c r="AD13" s="3">
        <f>'Initiative Log - Detailed'!$J13*'2.2 Jaime Contact Book'!AD23</f>
        <v>48.95749522794047</v>
      </c>
      <c r="AE13" s="3">
        <f>'Initiative Log - Detailed'!$J13*'2.2 Jaime Contact Book'!AE23</f>
        <v>36.718121420955349</v>
      </c>
      <c r="AF13" s="3">
        <f>'Initiative Log - Detailed'!$J13*'2.2 Jaime Contact Book'!AF23</f>
        <v>31.822371898161304</v>
      </c>
      <c r="AH13" s="3">
        <f>S13</f>
        <v>0</v>
      </c>
      <c r="AI13" s="3">
        <f>AH13+T13</f>
        <v>0</v>
      </c>
      <c r="AJ13" s="3">
        <f t="shared" ref="AJ13:AU17" si="4">AI13+U13</f>
        <v>0</v>
      </c>
      <c r="AK13" s="3">
        <f t="shared" si="4"/>
        <v>0</v>
      </c>
      <c r="AL13" s="3">
        <f t="shared" si="4"/>
        <v>19.582998091176187</v>
      </c>
      <c r="AM13" s="3">
        <f t="shared" si="4"/>
        <v>31.822371898161304</v>
      </c>
      <c r="AN13" s="3">
        <f t="shared" si="4"/>
        <v>46.509620466543446</v>
      </c>
      <c r="AO13" s="3">
        <f t="shared" si="4"/>
        <v>61.196869034925584</v>
      </c>
      <c r="AP13" s="3">
        <f t="shared" si="4"/>
        <v>85.675616648895812</v>
      </c>
      <c r="AQ13" s="3">
        <f t="shared" si="4"/>
        <v>102.81073997867497</v>
      </c>
      <c r="AR13" s="3">
        <f t="shared" si="4"/>
        <v>127.2894875926452</v>
      </c>
      <c r="AS13" s="3">
        <f t="shared" si="4"/>
        <v>176.24698282058569</v>
      </c>
      <c r="AT13" s="3">
        <f t="shared" si="4"/>
        <v>212.96510424154104</v>
      </c>
      <c r="AU13" s="3">
        <f t="shared" si="4"/>
        <v>244.78747613970233</v>
      </c>
    </row>
    <row r="14" spans="2:47">
      <c r="B14" t="s">
        <v>163</v>
      </c>
      <c r="C14" s="91">
        <f>-SUM(C46:C49)*5%</f>
        <v>-70.25</v>
      </c>
      <c r="D14" s="91">
        <f t="shared" ref="D14:E14" si="5">-SUM(D46:D49)*5%</f>
        <v>-172.5</v>
      </c>
      <c r="E14" s="91">
        <f t="shared" si="5"/>
        <v>-230</v>
      </c>
      <c r="J14" t="s">
        <v>163</v>
      </c>
      <c r="K14" s="91">
        <f>C14*(1+$H$7)</f>
        <v>-42.15</v>
      </c>
      <c r="L14" s="91">
        <f t="shared" ref="L14:M14" si="6">D14*(1+$H$7)</f>
        <v>-103.5</v>
      </c>
      <c r="M14" s="91">
        <f t="shared" si="6"/>
        <v>-138</v>
      </c>
      <c r="Q14" t="s">
        <v>200</v>
      </c>
      <c r="R14" t="s">
        <v>177</v>
      </c>
      <c r="U14" s="3">
        <f>'Initiative Log - Detailed'!$J14*'2.2 Jaime Contact Book'!U24</f>
        <v>0</v>
      </c>
      <c r="V14" s="3">
        <f>'Initiative Log - Detailed'!$J14*'2.2 Jaime Contact Book'!V24</f>
        <v>7.1996316511677154</v>
      </c>
      <c r="W14" s="3">
        <f>'Initiative Log - Detailed'!$J14*'2.2 Jaime Contact Book'!W24</f>
        <v>7.1996316511677154</v>
      </c>
      <c r="X14" s="3">
        <f>'Initiative Log - Detailed'!$J14*'2.2 Jaime Contact Book'!X24</f>
        <v>7.1996316511677154</v>
      </c>
      <c r="Y14" s="3">
        <f>'Initiative Log - Detailed'!$J14*'2.2 Jaime Contact Book'!Y24</f>
        <v>7.1996316511677154</v>
      </c>
      <c r="Z14" s="3">
        <f>'Initiative Log - Detailed'!$J14*'2.2 Jaime Contact Book'!Z24</f>
        <v>14.399263302335431</v>
      </c>
      <c r="AA14" s="3">
        <f>'Initiative Log - Detailed'!$J14*'2.2 Jaime Contact Book'!AA24</f>
        <v>14.399263302335431</v>
      </c>
      <c r="AB14" s="3">
        <f>'Initiative Log - Detailed'!$J14*'2.2 Jaime Contact Book'!AB24</f>
        <v>14.399263302335431</v>
      </c>
      <c r="AC14" s="3">
        <f>'Initiative Log - Detailed'!$J14*'2.2 Jaime Contact Book'!AC24</f>
        <v>14.399263302335431</v>
      </c>
      <c r="AD14" s="3">
        <f>'Initiative Log - Detailed'!$J14*'2.2 Jaime Contact Book'!AD24</f>
        <v>21.598894953503144</v>
      </c>
      <c r="AE14" s="3">
        <f>'Initiative Log - Detailed'!$J14*'2.2 Jaime Contact Book'!AE24</f>
        <v>21.598894953503144</v>
      </c>
      <c r="AF14" s="3">
        <f>'Initiative Log - Detailed'!$J14*'2.2 Jaime Contact Book'!AF24</f>
        <v>14.399263302335431</v>
      </c>
      <c r="AH14" s="3">
        <f>S14</f>
        <v>0</v>
      </c>
      <c r="AI14" s="3">
        <f>AH14+T14</f>
        <v>0</v>
      </c>
      <c r="AJ14" s="3">
        <f t="shared" si="4"/>
        <v>0</v>
      </c>
      <c r="AK14" s="3">
        <f t="shared" si="4"/>
        <v>7.1996316511677154</v>
      </c>
      <c r="AL14" s="3">
        <f t="shared" si="4"/>
        <v>14.399263302335431</v>
      </c>
      <c r="AM14" s="3">
        <f t="shared" si="4"/>
        <v>21.598894953503148</v>
      </c>
      <c r="AN14" s="3">
        <f t="shared" si="4"/>
        <v>28.798526604670862</v>
      </c>
      <c r="AO14" s="3">
        <f t="shared" si="4"/>
        <v>43.197789907006296</v>
      </c>
      <c r="AP14" s="3">
        <f t="shared" si="4"/>
        <v>57.597053209341723</v>
      </c>
      <c r="AQ14" s="3">
        <f t="shared" si="4"/>
        <v>71.996316511677151</v>
      </c>
      <c r="AR14" s="3">
        <f t="shared" si="4"/>
        <v>86.395579814012578</v>
      </c>
      <c r="AS14" s="3">
        <f t="shared" si="4"/>
        <v>107.99447476751573</v>
      </c>
      <c r="AT14" s="3">
        <f t="shared" si="4"/>
        <v>129.59336972101886</v>
      </c>
      <c r="AU14" s="3">
        <f t="shared" si="4"/>
        <v>143.9926330233543</v>
      </c>
    </row>
    <row r="15" spans="2:47">
      <c r="B15" s="49"/>
      <c r="C15" s="3"/>
      <c r="D15" s="3"/>
      <c r="E15" s="3"/>
      <c r="J15" s="49"/>
      <c r="K15" s="3"/>
      <c r="L15" s="3"/>
      <c r="M15" s="3"/>
      <c r="Q15" t="s">
        <v>63</v>
      </c>
      <c r="R15" t="s">
        <v>177</v>
      </c>
      <c r="U15" s="3">
        <f>'Initiative Log - Detailed'!$J15*'2.2 Jaime Contact Book'!U25</f>
        <v>0</v>
      </c>
      <c r="V15" s="3">
        <f>'Initiative Log - Detailed'!$J15*'2.2 Jaime Contact Book'!V25</f>
        <v>0</v>
      </c>
      <c r="W15" s="3">
        <f>'Initiative Log - Detailed'!$J15*'2.2 Jaime Contact Book'!W25</f>
        <v>0</v>
      </c>
      <c r="X15" s="3">
        <f>'Initiative Log - Detailed'!$J15*'2.2 Jaime Contact Book'!X25</f>
        <v>0</v>
      </c>
      <c r="Y15" s="3">
        <f>'Initiative Log - Detailed'!$J15*'2.2 Jaime Contact Book'!Y25</f>
        <v>0</v>
      </c>
      <c r="Z15" s="3">
        <f>'Initiative Log - Detailed'!$J15*'2.2 Jaime Contact Book'!Z25</f>
        <v>0</v>
      </c>
      <c r="AA15" s="3">
        <f>'Initiative Log - Detailed'!$J15*'2.2 Jaime Contact Book'!AA25</f>
        <v>0</v>
      </c>
      <c r="AB15" s="3">
        <f>'Initiative Log - Detailed'!$J15*'2.2 Jaime Contact Book'!AB25</f>
        <v>0</v>
      </c>
      <c r="AC15" s="3">
        <f>'Initiative Log - Detailed'!$J15*'2.2 Jaime Contact Book'!AC25</f>
        <v>0</v>
      </c>
      <c r="AD15" s="3">
        <f>'Initiative Log - Detailed'!$J15*'2.2 Jaime Contact Book'!AD25</f>
        <v>0</v>
      </c>
      <c r="AE15" s="3">
        <f>'Initiative Log - Detailed'!$J15*'2.2 Jaime Contact Book'!AE25</f>
        <v>0</v>
      </c>
      <c r="AF15" s="3">
        <f>'Initiative Log - Detailed'!$J15*'2.2 Jaime Contact Book'!AF25</f>
        <v>1.439926330233543</v>
      </c>
      <c r="AH15" s="3">
        <f>S15</f>
        <v>0</v>
      </c>
      <c r="AI15" s="3">
        <f>AH15+T15</f>
        <v>0</v>
      </c>
      <c r="AJ15" s="3">
        <f t="shared" si="4"/>
        <v>0</v>
      </c>
      <c r="AK15" s="3">
        <f t="shared" si="4"/>
        <v>0</v>
      </c>
      <c r="AL15" s="3">
        <f t="shared" si="4"/>
        <v>0</v>
      </c>
      <c r="AM15" s="3">
        <f t="shared" si="4"/>
        <v>0</v>
      </c>
      <c r="AN15" s="3">
        <f t="shared" si="4"/>
        <v>0</v>
      </c>
      <c r="AO15" s="3">
        <f t="shared" si="4"/>
        <v>0</v>
      </c>
      <c r="AP15" s="3">
        <f t="shared" si="4"/>
        <v>0</v>
      </c>
      <c r="AQ15" s="3">
        <f t="shared" si="4"/>
        <v>0</v>
      </c>
      <c r="AR15" s="3">
        <f t="shared" si="4"/>
        <v>0</v>
      </c>
      <c r="AS15" s="3">
        <f t="shared" si="4"/>
        <v>0</v>
      </c>
      <c r="AT15" s="3">
        <f t="shared" si="4"/>
        <v>0</v>
      </c>
      <c r="AU15" s="3">
        <f t="shared" si="4"/>
        <v>1.439926330233543</v>
      </c>
    </row>
    <row r="16" spans="2:47">
      <c r="B16" s="65" t="s">
        <v>166</v>
      </c>
      <c r="C16" s="94">
        <f>SUM(C10,C13:C14)</f>
        <v>966.16649989999996</v>
      </c>
      <c r="D16" s="94">
        <f>SUM(D10,D13:D14)</f>
        <v>2368.6693829174997</v>
      </c>
      <c r="E16" s="94">
        <f>SUM(E10,E13:E14)</f>
        <v>3167.9107791579995</v>
      </c>
      <c r="J16" s="65" t="s">
        <v>166</v>
      </c>
      <c r="K16" s="94">
        <f>SUM(K10,K13:K14)</f>
        <v>579.69989994000014</v>
      </c>
      <c r="L16" s="94">
        <f>SUM(L10,L13:L14)</f>
        <v>1421.2016297504995</v>
      </c>
      <c r="M16" s="94">
        <f>SUM(M10,M13:M14)</f>
        <v>1900.7464674947996</v>
      </c>
      <c r="Q16" t="s">
        <v>64</v>
      </c>
      <c r="R16" t="s">
        <v>177</v>
      </c>
      <c r="U16" s="3">
        <f>'Initiative Log - Detailed'!$J16*'2.2 Jaime Contact Book'!U26</f>
        <v>0</v>
      </c>
      <c r="V16" s="3">
        <f>'Initiative Log - Detailed'!$J16*'2.2 Jaime Contact Book'!V26</f>
        <v>0</v>
      </c>
      <c r="W16" s="3">
        <f>'Initiative Log - Detailed'!$J16*'2.2 Jaime Contact Book'!W26</f>
        <v>0</v>
      </c>
      <c r="X16" s="3">
        <f>'Initiative Log - Detailed'!$J16*'2.2 Jaime Contact Book'!X26</f>
        <v>0</v>
      </c>
      <c r="Y16" s="3">
        <f>'Initiative Log - Detailed'!$J16*'2.2 Jaime Contact Book'!Y26</f>
        <v>0</v>
      </c>
      <c r="Z16" s="3">
        <f>'Initiative Log - Detailed'!$J16*'2.2 Jaime Contact Book'!Z26</f>
        <v>0</v>
      </c>
      <c r="AA16" s="3">
        <f>'Initiative Log - Detailed'!$J16*'2.2 Jaime Contact Book'!AA26</f>
        <v>0</v>
      </c>
      <c r="AB16" s="3">
        <f>'Initiative Log - Detailed'!$J16*'2.2 Jaime Contact Book'!AB26</f>
        <v>0</v>
      </c>
      <c r="AC16" s="3">
        <f>'Initiative Log - Detailed'!$J16*'2.2 Jaime Contact Book'!AC26</f>
        <v>0</v>
      </c>
      <c r="AD16" s="3">
        <f>'Initiative Log - Detailed'!$J16*'2.2 Jaime Contact Book'!AD26</f>
        <v>0</v>
      </c>
      <c r="AE16" s="3">
        <f>'Initiative Log - Detailed'!$J16*'2.2 Jaime Contact Book'!AE26</f>
        <v>0</v>
      </c>
      <c r="AF16" s="3">
        <f>'Initiative Log - Detailed'!$J16*'2.2 Jaime Contact Book'!AF26</f>
        <v>14.399263302335431</v>
      </c>
      <c r="AH16" s="3">
        <f>S16</f>
        <v>0</v>
      </c>
      <c r="AI16" s="3">
        <f>AH16+T16</f>
        <v>0</v>
      </c>
      <c r="AJ16" s="3">
        <f t="shared" si="4"/>
        <v>0</v>
      </c>
      <c r="AK16" s="3">
        <f t="shared" si="4"/>
        <v>0</v>
      </c>
      <c r="AL16" s="3">
        <f t="shared" si="4"/>
        <v>0</v>
      </c>
      <c r="AM16" s="3">
        <f t="shared" si="4"/>
        <v>0</v>
      </c>
      <c r="AN16" s="3">
        <f t="shared" si="4"/>
        <v>0</v>
      </c>
      <c r="AO16" s="3">
        <f t="shared" si="4"/>
        <v>0</v>
      </c>
      <c r="AP16" s="3">
        <f t="shared" si="4"/>
        <v>0</v>
      </c>
      <c r="AQ16" s="3">
        <f t="shared" si="4"/>
        <v>0</v>
      </c>
      <c r="AR16" s="3">
        <f t="shared" si="4"/>
        <v>0</v>
      </c>
      <c r="AS16" s="3">
        <f t="shared" si="4"/>
        <v>0</v>
      </c>
      <c r="AT16" s="3">
        <f t="shared" si="4"/>
        <v>0</v>
      </c>
      <c r="AU16" s="3">
        <f t="shared" si="4"/>
        <v>14.399263302335431</v>
      </c>
    </row>
    <row r="17" spans="2:47">
      <c r="B17" s="66" t="s">
        <v>167</v>
      </c>
      <c r="C17" s="67">
        <f>C16/C$7</f>
        <v>0.68051940990427295</v>
      </c>
      <c r="D17" s="67">
        <f>D16/D$7</f>
        <v>0.68277633700869977</v>
      </c>
      <c r="E17" s="67">
        <f>E16/E$7</f>
        <v>0.68524884083569404</v>
      </c>
      <c r="J17" s="66" t="s">
        <v>167</v>
      </c>
      <c r="K17" s="67">
        <f>K16/K$7</f>
        <v>0.68051940990427306</v>
      </c>
      <c r="L17" s="67">
        <f>L16/L$7</f>
        <v>0.68277633700869966</v>
      </c>
      <c r="M17" s="67">
        <f>M16/M$7</f>
        <v>0.68524884083569404</v>
      </c>
      <c r="Q17" t="s">
        <v>65</v>
      </c>
      <c r="R17" t="s">
        <v>177</v>
      </c>
      <c r="U17" s="3">
        <f>'Initiative Log - Detailed'!$J17*'2.2 Jaime Contact Book'!U27</f>
        <v>0</v>
      </c>
      <c r="V17" s="3">
        <f>'Initiative Log - Detailed'!$J17*'2.2 Jaime Contact Book'!V27</f>
        <v>0</v>
      </c>
      <c r="W17" s="3">
        <f>'Initiative Log - Detailed'!$J17*'2.2 Jaime Contact Book'!W27</f>
        <v>0.42473881343744929</v>
      </c>
      <c r="X17" s="3">
        <f>'Initiative Log - Detailed'!$J17*'2.2 Jaime Contact Book'!X27</f>
        <v>0.42473881343744929</v>
      </c>
      <c r="Y17" s="3">
        <f>'Initiative Log - Detailed'!$J17*'2.2 Jaime Contact Book'!Y27</f>
        <v>0.42473881343744929</v>
      </c>
      <c r="Z17" s="3">
        <f>'Initiative Log - Detailed'!$J17*'2.2 Jaime Contact Book'!Z27</f>
        <v>0.42473881343744929</v>
      </c>
      <c r="AA17" s="3">
        <f>'Initiative Log - Detailed'!$J17*'2.2 Jaime Contact Book'!AA27</f>
        <v>0.42473881343744929</v>
      </c>
      <c r="AB17" s="3">
        <f>'Initiative Log - Detailed'!$J17*'2.2 Jaime Contact Book'!AB27</f>
        <v>0.42473881343744929</v>
      </c>
      <c r="AC17" s="3">
        <f>'Initiative Log - Detailed'!$J17*'2.2 Jaime Contact Book'!AC27</f>
        <v>0.42473881343744929</v>
      </c>
      <c r="AD17" s="3">
        <f>'Initiative Log - Detailed'!$J17*'2.2 Jaime Contact Book'!AD27</f>
        <v>0.42473881343744929</v>
      </c>
      <c r="AE17" s="3">
        <f>'Initiative Log - Detailed'!$J17*'2.2 Jaime Contact Book'!AE27</f>
        <v>0.42473881343744929</v>
      </c>
      <c r="AF17" s="3">
        <f>'Initiative Log - Detailed'!$J17*'2.2 Jaime Contact Book'!AF27</f>
        <v>0.42473881343744929</v>
      </c>
      <c r="AH17" s="3">
        <f>S17</f>
        <v>0</v>
      </c>
      <c r="AI17" s="3">
        <f>AH17+T17</f>
        <v>0</v>
      </c>
      <c r="AJ17" s="3">
        <f t="shared" si="4"/>
        <v>0</v>
      </c>
      <c r="AK17" s="3">
        <f t="shared" si="4"/>
        <v>0</v>
      </c>
      <c r="AL17" s="3">
        <f t="shared" si="4"/>
        <v>0.42473881343744929</v>
      </c>
      <c r="AM17" s="3">
        <f t="shared" si="4"/>
        <v>0.84947762687489858</v>
      </c>
      <c r="AN17" s="3">
        <f t="shared" si="4"/>
        <v>1.2742164403123479</v>
      </c>
      <c r="AO17" s="3">
        <f t="shared" si="4"/>
        <v>1.6989552537497972</v>
      </c>
      <c r="AP17" s="3">
        <f t="shared" si="4"/>
        <v>2.1236940671872464</v>
      </c>
      <c r="AQ17" s="3">
        <f t="shared" si="4"/>
        <v>2.5484328806246959</v>
      </c>
      <c r="AR17" s="3">
        <f t="shared" si="4"/>
        <v>2.9731716940621453</v>
      </c>
      <c r="AS17" s="3">
        <f t="shared" si="4"/>
        <v>3.3979105074995948</v>
      </c>
      <c r="AT17" s="3">
        <f t="shared" si="4"/>
        <v>3.8226493209370442</v>
      </c>
      <c r="AU17" s="3">
        <f t="shared" si="4"/>
        <v>4.2473881343744937</v>
      </c>
    </row>
    <row r="18" spans="2:47">
      <c r="B18" s="49"/>
      <c r="C18" s="3"/>
      <c r="D18" s="3"/>
      <c r="E18" s="3"/>
      <c r="J18" s="49"/>
      <c r="K18" s="3"/>
      <c r="L18" s="3"/>
      <c r="M18" s="3"/>
    </row>
    <row r="19" spans="2:47">
      <c r="B19" t="s">
        <v>168</v>
      </c>
      <c r="C19" s="91">
        <f>-C7*3%</f>
        <v>-42.592458899999997</v>
      </c>
      <c r="D19" s="91">
        <f t="shared" ref="D19:E19" si="7">-D7*3%</f>
        <v>-104.07519656999999</v>
      </c>
      <c r="E19" s="91">
        <f t="shared" si="7"/>
        <v>-138.690235884</v>
      </c>
      <c r="J19" t="s">
        <v>168</v>
      </c>
      <c r="K19" s="91">
        <f>-K7*3%</f>
        <v>-25.555475340000001</v>
      </c>
      <c r="L19" s="91">
        <f t="shared" ref="L19:M19" si="8">-L7*3%</f>
        <v>-62.445117941999989</v>
      </c>
      <c r="M19" s="91">
        <f t="shared" si="8"/>
        <v>-83.214141530399999</v>
      </c>
    </row>
    <row r="20" spans="2:47">
      <c r="B20" t="s">
        <v>169</v>
      </c>
      <c r="C20" s="91">
        <f>C19/2</f>
        <v>-21.296229449999998</v>
      </c>
      <c r="D20" s="91">
        <f t="shared" ref="D20:E20" si="9">D19/2</f>
        <v>-52.037598284999994</v>
      </c>
      <c r="E20" s="91">
        <f t="shared" si="9"/>
        <v>-69.345117942000002</v>
      </c>
      <c r="J20" t="s">
        <v>169</v>
      </c>
      <c r="K20" s="91">
        <f>K19/2</f>
        <v>-12.77773767</v>
      </c>
      <c r="L20" s="91">
        <f t="shared" ref="L20:M20" si="10">L19/2</f>
        <v>-31.222558970999994</v>
      </c>
      <c r="M20" s="91">
        <f t="shared" si="10"/>
        <v>-41.6070707652</v>
      </c>
      <c r="R20" t="s">
        <v>191</v>
      </c>
      <c r="S20" s="5">
        <f>8+SUM(S6:S10)*5%</f>
        <v>8</v>
      </c>
      <c r="T20" s="5">
        <f t="shared" ref="T20:V20" si="11">8+SUM(T6:T10)*5%</f>
        <v>8</v>
      </c>
      <c r="U20" s="5">
        <f t="shared" si="11"/>
        <v>8</v>
      </c>
      <c r="V20" s="5">
        <f t="shared" si="11"/>
        <v>8.75</v>
      </c>
      <c r="W20" s="5">
        <f>63/10+8+SUM(W6:W10)*5%</f>
        <v>17.134245890000003</v>
      </c>
      <c r="X20" s="5">
        <f t="shared" ref="X20:AF20" si="12">63/10+8+SUM(X6:X10)*5%</f>
        <v>16.369245890000002</v>
      </c>
      <c r="Y20" s="5">
        <f t="shared" si="12"/>
        <v>16.624245890000001</v>
      </c>
      <c r="Z20" s="5">
        <f t="shared" si="12"/>
        <v>17.374245890000001</v>
      </c>
      <c r="AA20" s="5">
        <f t="shared" si="12"/>
        <v>18.394245890000001</v>
      </c>
      <c r="AB20" s="5">
        <f t="shared" si="12"/>
        <v>17.62924589</v>
      </c>
      <c r="AC20" s="5">
        <f t="shared" si="12"/>
        <v>18.394245890000001</v>
      </c>
      <c r="AD20" s="5">
        <f t="shared" si="12"/>
        <v>21.694245890000001</v>
      </c>
      <c r="AE20" s="5">
        <f t="shared" si="12"/>
        <v>20.419245890000003</v>
      </c>
      <c r="AF20" s="5">
        <f t="shared" si="12"/>
        <v>20.809245890000003</v>
      </c>
      <c r="AH20" s="3">
        <f>S20</f>
        <v>8</v>
      </c>
      <c r="AI20" s="3">
        <f>AH20+T20</f>
        <v>16</v>
      </c>
      <c r="AJ20" s="3">
        <f t="shared" ref="AJ20:AU20" si="13">AI20+U20</f>
        <v>24</v>
      </c>
      <c r="AK20" s="3">
        <f t="shared" si="13"/>
        <v>32.75</v>
      </c>
      <c r="AL20" s="3">
        <f t="shared" si="13"/>
        <v>49.884245890000003</v>
      </c>
      <c r="AM20" s="3">
        <f t="shared" si="13"/>
        <v>66.253491780000004</v>
      </c>
      <c r="AN20" s="3">
        <f t="shared" si="13"/>
        <v>82.877737670000002</v>
      </c>
      <c r="AO20" s="3">
        <f t="shared" si="13"/>
        <v>100.25198356</v>
      </c>
      <c r="AP20" s="3">
        <f t="shared" si="13"/>
        <v>118.64622944999999</v>
      </c>
      <c r="AQ20" s="3">
        <f t="shared" si="13"/>
        <v>136.27547533999999</v>
      </c>
      <c r="AR20" s="3">
        <f t="shared" si="13"/>
        <v>154.66972122999999</v>
      </c>
      <c r="AS20" s="3">
        <f t="shared" si="13"/>
        <v>176.36396711999998</v>
      </c>
      <c r="AT20" s="3">
        <f t="shared" si="13"/>
        <v>196.78321301</v>
      </c>
      <c r="AU20" s="3">
        <f t="shared" si="13"/>
        <v>217.5924589</v>
      </c>
    </row>
    <row r="21" spans="2:47">
      <c r="B21" s="49"/>
      <c r="C21" s="3"/>
      <c r="D21" s="3"/>
      <c r="E21" s="3"/>
      <c r="J21" s="49"/>
      <c r="K21" s="3"/>
      <c r="L21" s="3"/>
      <c r="M21" s="3"/>
    </row>
    <row r="22" spans="2:47">
      <c r="B22" s="65" t="s">
        <v>170</v>
      </c>
      <c r="C22" s="94">
        <f>SUM(C16,C19:C20)</f>
        <v>902.27781155000002</v>
      </c>
      <c r="D22" s="94">
        <f>SUM(D16,D19:D20)</f>
        <v>2212.5565880624995</v>
      </c>
      <c r="E22" s="94">
        <f>SUM(E16,E19:E20)</f>
        <v>2959.8754253319994</v>
      </c>
      <c r="J22" s="65" t="s">
        <v>170</v>
      </c>
      <c r="K22" s="94">
        <f>SUM(K16,K19:K20)</f>
        <v>541.36668693000013</v>
      </c>
      <c r="L22" s="94">
        <f>SUM(L16,L19:L20)</f>
        <v>1327.5339528374996</v>
      </c>
      <c r="M22" s="94">
        <f>SUM(M16,M19:M20)</f>
        <v>1775.9252551991997</v>
      </c>
    </row>
    <row r="23" spans="2:47">
      <c r="B23" s="66" t="s">
        <v>171</v>
      </c>
      <c r="C23" s="67">
        <f>C22/C$7</f>
        <v>0.63551940990427302</v>
      </c>
      <c r="D23" s="67">
        <f>D22/D$7</f>
        <v>0.63777633700869973</v>
      </c>
      <c r="E23" s="67">
        <f>E22/E$7</f>
        <v>0.640248840835694</v>
      </c>
      <c r="J23" s="66" t="s">
        <v>171</v>
      </c>
      <c r="K23" s="67">
        <f>K22/K$7</f>
        <v>0.63551940990427314</v>
      </c>
      <c r="L23" s="67">
        <f>L22/L$7</f>
        <v>0.63777633700869973</v>
      </c>
      <c r="M23" s="67">
        <f>M22/M$7</f>
        <v>0.64024884083569411</v>
      </c>
      <c r="Q23" t="s">
        <v>60</v>
      </c>
      <c r="R23" t="s">
        <v>192</v>
      </c>
      <c r="W23" s="10">
        <v>0.08</v>
      </c>
      <c r="X23" s="10">
        <v>0.05</v>
      </c>
      <c r="Y23" s="10">
        <v>0.06</v>
      </c>
      <c r="Z23" s="10">
        <v>0.06</v>
      </c>
      <c r="AA23" s="10">
        <v>0.1</v>
      </c>
      <c r="AB23" s="10">
        <v>7.0000000000000007E-2</v>
      </c>
      <c r="AC23" s="10">
        <v>0.1</v>
      </c>
      <c r="AD23" s="10">
        <v>0.2</v>
      </c>
      <c r="AE23" s="10">
        <v>0.15</v>
      </c>
      <c r="AF23" s="10">
        <v>0.13</v>
      </c>
    </row>
    <row r="24" spans="2:47">
      <c r="B24" s="49"/>
      <c r="C24" s="3"/>
      <c r="D24" s="3"/>
      <c r="E24" s="3"/>
      <c r="J24" s="49"/>
      <c r="K24" s="3"/>
      <c r="L24" s="3"/>
      <c r="M24" s="3"/>
      <c r="Q24" t="s">
        <v>200</v>
      </c>
      <c r="R24" t="s">
        <v>192</v>
      </c>
      <c r="U24" s="141">
        <v>0</v>
      </c>
      <c r="V24" s="141">
        <v>0.05</v>
      </c>
      <c r="W24" s="141">
        <v>0.05</v>
      </c>
      <c r="X24" s="141">
        <v>0.05</v>
      </c>
      <c r="Y24" s="141">
        <v>0.05</v>
      </c>
      <c r="Z24" s="141">
        <v>0.1</v>
      </c>
      <c r="AA24" s="141">
        <v>0.1</v>
      </c>
      <c r="AB24" s="141">
        <v>0.1</v>
      </c>
      <c r="AC24" s="141">
        <v>0.1</v>
      </c>
      <c r="AD24" s="141">
        <v>0.15</v>
      </c>
      <c r="AE24" s="141">
        <v>0.15</v>
      </c>
      <c r="AF24" s="141">
        <v>0.1</v>
      </c>
    </row>
    <row r="25" spans="2:47">
      <c r="B25" t="s">
        <v>172</v>
      </c>
      <c r="C25" s="91">
        <f>-C47*10%-100</f>
        <v>-150</v>
      </c>
      <c r="D25" s="91">
        <f>-D47*10%-150</f>
        <v>-300</v>
      </c>
      <c r="E25" s="91">
        <f>-E47*10%-200</f>
        <v>-400</v>
      </c>
      <c r="J25" t="s">
        <v>172</v>
      </c>
      <c r="K25" s="91">
        <f>C25*75%</f>
        <v>-112.5</v>
      </c>
      <c r="L25" s="91">
        <f t="shared" ref="L25:M25" si="14">D25*75%</f>
        <v>-225</v>
      </c>
      <c r="M25" s="91">
        <f t="shared" si="14"/>
        <v>-300</v>
      </c>
      <c r="Q25" t="s">
        <v>63</v>
      </c>
      <c r="R25" t="s">
        <v>192</v>
      </c>
      <c r="AF25" s="9">
        <v>1</v>
      </c>
    </row>
    <row r="26" spans="2:47">
      <c r="B26" t="s">
        <v>173</v>
      </c>
      <c r="C26" s="91">
        <v>-20</v>
      </c>
      <c r="D26" s="91">
        <v>-30</v>
      </c>
      <c r="E26" s="91">
        <v>-50</v>
      </c>
      <c r="J26" t="s">
        <v>173</v>
      </c>
      <c r="K26" s="91">
        <f>C26</f>
        <v>-20</v>
      </c>
      <c r="L26" s="91">
        <f>K26*1.3</f>
        <v>-26</v>
      </c>
      <c r="M26" s="91">
        <f>L26*1.3</f>
        <v>-33.800000000000004</v>
      </c>
      <c r="Q26" t="s">
        <v>64</v>
      </c>
      <c r="R26" t="s">
        <v>192</v>
      </c>
      <c r="AF26" s="9">
        <v>1</v>
      </c>
    </row>
    <row r="27" spans="2:47">
      <c r="B27" s="49"/>
      <c r="C27" s="3"/>
      <c r="D27" s="3"/>
      <c r="E27" s="3"/>
      <c r="J27" s="49"/>
      <c r="K27" s="3"/>
      <c r="L27" s="3"/>
      <c r="M27" s="3"/>
      <c r="Q27" t="s">
        <v>65</v>
      </c>
      <c r="R27" t="s">
        <v>192</v>
      </c>
      <c r="W27" s="10">
        <f>1/10</f>
        <v>0.1</v>
      </c>
      <c r="X27" s="10">
        <f t="shared" ref="X27:AF27" si="15">1/10</f>
        <v>0.1</v>
      </c>
      <c r="Y27" s="10">
        <f t="shared" si="15"/>
        <v>0.1</v>
      </c>
      <c r="Z27" s="10">
        <f t="shared" si="15"/>
        <v>0.1</v>
      </c>
      <c r="AA27" s="10">
        <f t="shared" si="15"/>
        <v>0.1</v>
      </c>
      <c r="AB27" s="10">
        <f t="shared" si="15"/>
        <v>0.1</v>
      </c>
      <c r="AC27" s="10">
        <f t="shared" si="15"/>
        <v>0.1</v>
      </c>
      <c r="AD27" s="10">
        <f t="shared" si="15"/>
        <v>0.1</v>
      </c>
      <c r="AE27" s="10">
        <f t="shared" si="15"/>
        <v>0.1</v>
      </c>
      <c r="AF27" s="10">
        <f t="shared" si="15"/>
        <v>0.1</v>
      </c>
    </row>
    <row r="28" spans="2:47">
      <c r="B28" s="65" t="s">
        <v>174</v>
      </c>
      <c r="C28" s="94">
        <f>SUM(C22,C25:C26)</f>
        <v>732.27781155000002</v>
      </c>
      <c r="D28" s="94">
        <f>SUM(D22,D25:D26)</f>
        <v>1882.5565880624995</v>
      </c>
      <c r="E28" s="94">
        <f>SUM(E22,E25:E26)</f>
        <v>2509.8754253319994</v>
      </c>
      <c r="J28" s="65" t="s">
        <v>174</v>
      </c>
      <c r="K28" s="94">
        <f>SUM(K22,K25:K26)</f>
        <v>408.86668693000013</v>
      </c>
      <c r="L28" s="94">
        <f>SUM(L22,L25:L26)</f>
        <v>1076.5339528374996</v>
      </c>
      <c r="M28" s="94">
        <f>SUM(M22,M25:M26)</f>
        <v>1442.1252551991997</v>
      </c>
    </row>
    <row r="29" spans="2:47">
      <c r="B29" s="66" t="s">
        <v>175</v>
      </c>
      <c r="C29" s="67">
        <f>C28/C$7</f>
        <v>0.51577990362279835</v>
      </c>
      <c r="D29" s="67">
        <f>D28/D$7</f>
        <v>0.54265280780795155</v>
      </c>
      <c r="E29" s="67">
        <f>E28/E$7</f>
        <v>0.54290961638379143</v>
      </c>
      <c r="J29" s="66" t="s">
        <v>175</v>
      </c>
      <c r="K29" s="67">
        <f>K28/K$7</f>
        <v>0.47997544341118104</v>
      </c>
      <c r="L29" s="67">
        <f>L28/L$7</f>
        <v>0.51719044898148869</v>
      </c>
      <c r="M29" s="67">
        <f>M28/M$7</f>
        <v>0.5199087181614529</v>
      </c>
    </row>
    <row r="30" spans="2:47">
      <c r="B30" s="49"/>
      <c r="C30" s="3"/>
      <c r="D30" s="3"/>
      <c r="E30" s="3"/>
      <c r="J30" s="49"/>
      <c r="K30" s="3"/>
      <c r="L30" s="3"/>
      <c r="M30" s="3"/>
    </row>
    <row r="31" spans="2:47">
      <c r="B31" t="s">
        <v>176</v>
      </c>
      <c r="C31" s="91">
        <f>-(8*12+C7*5%)</f>
        <v>-166.98743150000001</v>
      </c>
      <c r="D31" s="91">
        <f>-(8*12*1.1+D7*5%)</f>
        <v>-279.05866094999999</v>
      </c>
      <c r="E31" s="91">
        <f>-(8*12*1.1^2+E7*5%)</f>
        <v>-347.31039314000003</v>
      </c>
      <c r="J31" t="s">
        <v>176</v>
      </c>
      <c r="K31" s="91">
        <f>-(8*12+K7*5%)</f>
        <v>-138.5924589</v>
      </c>
      <c r="L31" s="91">
        <f>-(8*12*1.1+L7*5%)</f>
        <v>-209.67519657</v>
      </c>
      <c r="M31" s="91">
        <f>-(8*12*1.1^2+M7*5%)</f>
        <v>-254.85023588400003</v>
      </c>
    </row>
    <row r="32" spans="2:47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565.29038005000007</v>
      </c>
      <c r="D33" s="94">
        <f>SUM(D28,D31)</f>
        <v>1603.4979271124994</v>
      </c>
      <c r="E33" s="94">
        <f>SUM(E28,E31)</f>
        <v>2162.5650321919993</v>
      </c>
      <c r="J33" s="65" t="s">
        <v>177</v>
      </c>
      <c r="K33" s="94">
        <f>SUM(K28,K31)</f>
        <v>270.27422803000013</v>
      </c>
      <c r="L33" s="94">
        <f>SUM(L28,L31)</f>
        <v>866.85875626749953</v>
      </c>
      <c r="M33" s="94">
        <f>SUM(M28,M31)</f>
        <v>1187.2750193151996</v>
      </c>
    </row>
    <row r="34" spans="2:14">
      <c r="B34" s="66" t="s">
        <v>178</v>
      </c>
      <c r="C34" s="67">
        <f>C33/C$7</f>
        <v>0.39816230007561271</v>
      </c>
      <c r="D34" s="67">
        <f>D33/D$7</f>
        <v>0.46221327846371207</v>
      </c>
      <c r="E34" s="67">
        <f>E33/E$7</f>
        <v>0.46778311791194022</v>
      </c>
      <c r="J34" s="66" t="s">
        <v>178</v>
      </c>
      <c r="K34" s="67">
        <f>K33/K$7</f>
        <v>0.31727943749920495</v>
      </c>
      <c r="L34" s="67">
        <f>L33/L$7</f>
        <v>0.41645790007442296</v>
      </c>
      <c r="M34" s="67">
        <f>M33/M$7</f>
        <v>0.42803122070836769</v>
      </c>
    </row>
    <row r="37" spans="2:14">
      <c r="B37" t="s">
        <v>179</v>
      </c>
      <c r="C37" s="137">
        <f>C31/2+C26/2+(C25+100*6/12)</f>
        <v>-193.49371575000001</v>
      </c>
      <c r="F37" t="s">
        <v>202</v>
      </c>
      <c r="J37" t="s">
        <v>179</v>
      </c>
      <c r="K37" s="137">
        <f>K31/2+K26/2+(K25+50*6/12)</f>
        <v>-166.79622945</v>
      </c>
      <c r="N37" t="s">
        <v>202</v>
      </c>
    </row>
    <row r="44" spans="2:14">
      <c r="B44" t="s">
        <v>181</v>
      </c>
    </row>
    <row r="46" spans="2:14">
      <c r="B46" t="s">
        <v>60</v>
      </c>
      <c r="C46">
        <v>850</v>
      </c>
      <c r="D46">
        <v>1200</v>
      </c>
      <c r="E46">
        <v>1500</v>
      </c>
    </row>
    <row r="47" spans="2:14">
      <c r="B47" t="s">
        <v>200</v>
      </c>
      <c r="C47">
        <v>500</v>
      </c>
      <c r="D47">
        <v>1500</v>
      </c>
      <c r="E47">
        <v>2000</v>
      </c>
    </row>
    <row r="48" spans="2:14">
      <c r="B48" t="s">
        <v>63</v>
      </c>
      <c r="C48">
        <v>5</v>
      </c>
      <c r="D48">
        <v>500</v>
      </c>
      <c r="E48">
        <v>750</v>
      </c>
    </row>
    <row r="49" spans="2:5">
      <c r="B49" t="s">
        <v>64</v>
      </c>
      <c r="C49">
        <v>50</v>
      </c>
      <c r="D49">
        <v>250</v>
      </c>
      <c r="E49">
        <v>350</v>
      </c>
    </row>
    <row r="51" spans="2:5">
      <c r="B51" t="s">
        <v>198</v>
      </c>
      <c r="C51" s="138"/>
      <c r="D51" s="138"/>
      <c r="E51" s="138"/>
    </row>
    <row r="52" spans="2:5">
      <c r="B52" t="s">
        <v>183</v>
      </c>
      <c r="C52" s="141">
        <v>1.4999999999999999E-2</v>
      </c>
      <c r="D52" s="141">
        <v>1.4999999999999999E-2</v>
      </c>
      <c r="E52" s="141">
        <v>1.4999999999999999E-2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A3A8-8A18-4926-BB8A-8DE30486FFBE}">
  <sheetPr>
    <tabColor rgb="FF92D050"/>
  </sheetPr>
  <dimension ref="B1:AT47"/>
  <sheetViews>
    <sheetView showGridLines="0" topLeftCell="Q4" workbookViewId="0">
      <selection activeCell="AG15" sqref="AG15:AT15"/>
    </sheetView>
  </sheetViews>
  <sheetFormatPr defaultColWidth="8.85546875" defaultRowHeight="15"/>
  <cols>
    <col min="2" max="2" width="29" bestFit="1" customWidth="1"/>
    <col min="10" max="10" width="29" bestFit="1" customWidth="1"/>
    <col min="17" max="17" width="23.140625" bestFit="1" customWidth="1"/>
  </cols>
  <sheetData>
    <row r="1" spans="2:46">
      <c r="Z1" s="9">
        <v>0.05</v>
      </c>
      <c r="AA1" s="9">
        <v>0.1</v>
      </c>
      <c r="AB1" s="9">
        <v>0.1</v>
      </c>
      <c r="AC1" s="9">
        <v>0.2</v>
      </c>
      <c r="AD1" s="9">
        <v>0.25</v>
      </c>
      <c r="AE1" s="9">
        <v>0.3</v>
      </c>
    </row>
    <row r="2" spans="2:46">
      <c r="B2" t="s">
        <v>67</v>
      </c>
    </row>
    <row r="3" spans="2:46">
      <c r="B3" t="s">
        <v>203</v>
      </c>
      <c r="R3" t="s">
        <v>151</v>
      </c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G3" t="s">
        <v>152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</row>
    <row r="4" spans="2:46">
      <c r="R4" s="184" t="str">
        <f>MONTH(R5)&amp;RIGHT(YEAR(R5), 2)</f>
        <v>1125</v>
      </c>
      <c r="S4" s="184" t="str">
        <f t="shared" ref="S4:AE4" si="0">MONTH(S5)&amp;RIGHT(YEAR(S5), 2)</f>
        <v>1225</v>
      </c>
      <c r="T4" s="184" t="str">
        <f t="shared" si="0"/>
        <v>126</v>
      </c>
      <c r="U4" s="184" t="str">
        <f t="shared" si="0"/>
        <v>226</v>
      </c>
      <c r="V4" s="184" t="str">
        <f t="shared" si="0"/>
        <v>326</v>
      </c>
      <c r="W4" s="184" t="str">
        <f t="shared" si="0"/>
        <v>426</v>
      </c>
      <c r="X4" s="184" t="str">
        <f t="shared" si="0"/>
        <v>526</v>
      </c>
      <c r="Y4" s="184" t="str">
        <f t="shared" si="0"/>
        <v>626</v>
      </c>
      <c r="Z4" s="184" t="str">
        <f t="shared" si="0"/>
        <v>726</v>
      </c>
      <c r="AA4" s="184" t="str">
        <f t="shared" si="0"/>
        <v>826</v>
      </c>
      <c r="AB4" s="184" t="str">
        <f t="shared" si="0"/>
        <v>926</v>
      </c>
      <c r="AC4" s="184" t="str">
        <f t="shared" si="0"/>
        <v>1026</v>
      </c>
      <c r="AD4" s="184" t="str">
        <f t="shared" si="0"/>
        <v>1126</v>
      </c>
      <c r="AE4" s="184" t="str">
        <f t="shared" si="0"/>
        <v>1226</v>
      </c>
      <c r="AG4" s="184" t="str">
        <f>MONTH(AG5)&amp;RIGHT(YEAR(AG5), 2)</f>
        <v>1125</v>
      </c>
      <c r="AH4" s="184" t="str">
        <f t="shared" ref="AH4:AT4" si="1">MONTH(AH5)&amp;RIGHT(YEAR(AH5), 2)</f>
        <v>1225</v>
      </c>
      <c r="AI4" s="184" t="str">
        <f t="shared" si="1"/>
        <v>126</v>
      </c>
      <c r="AJ4" s="184" t="str">
        <f t="shared" si="1"/>
        <v>226</v>
      </c>
      <c r="AK4" s="184" t="str">
        <f t="shared" si="1"/>
        <v>326</v>
      </c>
      <c r="AL4" s="184" t="str">
        <f t="shared" si="1"/>
        <v>426</v>
      </c>
      <c r="AM4" s="184" t="str">
        <f t="shared" si="1"/>
        <v>526</v>
      </c>
      <c r="AN4" s="184" t="str">
        <f t="shared" si="1"/>
        <v>626</v>
      </c>
      <c r="AO4" s="184" t="str">
        <f t="shared" si="1"/>
        <v>726</v>
      </c>
      <c r="AP4" s="184" t="str">
        <f t="shared" si="1"/>
        <v>826</v>
      </c>
      <c r="AQ4" s="184" t="str">
        <f t="shared" si="1"/>
        <v>926</v>
      </c>
      <c r="AR4" s="184" t="str">
        <f t="shared" si="1"/>
        <v>1026</v>
      </c>
      <c r="AS4" s="184" t="str">
        <f t="shared" si="1"/>
        <v>1126</v>
      </c>
      <c r="AT4" s="184" t="str">
        <f t="shared" si="1"/>
        <v>1226</v>
      </c>
    </row>
    <row r="5" spans="2:46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R5" s="185">
        <v>45962</v>
      </c>
      <c r="S5" s="185">
        <v>45992</v>
      </c>
      <c r="T5" s="185">
        <v>46023</v>
      </c>
      <c r="U5" s="185">
        <v>46054</v>
      </c>
      <c r="V5" s="185">
        <v>46082</v>
      </c>
      <c r="W5" s="185">
        <v>46113</v>
      </c>
      <c r="X5" s="185">
        <v>46143</v>
      </c>
      <c r="Y5" s="185">
        <v>46174</v>
      </c>
      <c r="Z5" s="185">
        <v>46204</v>
      </c>
      <c r="AA5" s="185">
        <v>46235</v>
      </c>
      <c r="AB5" s="185">
        <v>46266</v>
      </c>
      <c r="AC5" s="185">
        <v>46296</v>
      </c>
      <c r="AD5" s="185">
        <v>46327</v>
      </c>
      <c r="AE5" s="185">
        <v>46357</v>
      </c>
      <c r="AG5" s="185">
        <v>45962</v>
      </c>
      <c r="AH5" s="185">
        <v>45992</v>
      </c>
      <c r="AI5" s="185">
        <v>46023</v>
      </c>
      <c r="AJ5" s="185">
        <v>46054</v>
      </c>
      <c r="AK5" s="185">
        <v>46082</v>
      </c>
      <c r="AL5" s="185">
        <v>46113</v>
      </c>
      <c r="AM5" s="185">
        <v>46143</v>
      </c>
      <c r="AN5" s="185">
        <v>46174</v>
      </c>
      <c r="AO5" s="185">
        <v>46204</v>
      </c>
      <c r="AP5" s="185">
        <v>46235</v>
      </c>
      <c r="AQ5" s="185">
        <v>46266</v>
      </c>
      <c r="AR5" s="185">
        <v>46296</v>
      </c>
      <c r="AS5" s="185">
        <v>46327</v>
      </c>
      <c r="AT5" s="185">
        <v>46357</v>
      </c>
    </row>
    <row r="6" spans="2:46">
      <c r="Q6" t="s">
        <v>154</v>
      </c>
      <c r="Z6" s="212">
        <f>$K7*50%*Z$1</f>
        <v>2.26620205</v>
      </c>
      <c r="AA6" s="212">
        <f t="shared" ref="AA6:AE6" si="2">$K7*50%*AA$1</f>
        <v>4.5324040999999999</v>
      </c>
      <c r="AB6" s="212">
        <f t="shared" si="2"/>
        <v>4.5324040999999999</v>
      </c>
      <c r="AC6" s="212">
        <f t="shared" si="2"/>
        <v>9.0648081999999999</v>
      </c>
      <c r="AD6" s="212">
        <f t="shared" si="2"/>
        <v>11.331010249999999</v>
      </c>
      <c r="AE6" s="212">
        <f t="shared" si="2"/>
        <v>13.597212299999997</v>
      </c>
      <c r="AG6" s="3">
        <f>R6</f>
        <v>0</v>
      </c>
      <c r="AH6" s="3">
        <f>AG6+S6</f>
        <v>0</v>
      </c>
      <c r="AI6" s="3">
        <f t="shared" ref="AI6:AT7" si="3">AH6+T6</f>
        <v>0</v>
      </c>
      <c r="AJ6" s="3">
        <f t="shared" si="3"/>
        <v>0</v>
      </c>
      <c r="AK6" s="3">
        <f t="shared" si="3"/>
        <v>0</v>
      </c>
      <c r="AL6" s="3">
        <f t="shared" si="3"/>
        <v>0</v>
      </c>
      <c r="AM6" s="3">
        <f t="shared" si="3"/>
        <v>0</v>
      </c>
      <c r="AN6" s="3">
        <f t="shared" si="3"/>
        <v>0</v>
      </c>
      <c r="AO6" s="3">
        <f t="shared" si="3"/>
        <v>2.26620205</v>
      </c>
      <c r="AP6" s="3">
        <f t="shared" si="3"/>
        <v>6.7986061499999995</v>
      </c>
      <c r="AQ6" s="3">
        <f t="shared" si="3"/>
        <v>11.331010249999999</v>
      </c>
      <c r="AR6" s="3">
        <f t="shared" si="3"/>
        <v>20.39581845</v>
      </c>
      <c r="AS6" s="3">
        <f t="shared" si="3"/>
        <v>31.726828699999999</v>
      </c>
      <c r="AT6" s="3">
        <f t="shared" si="3"/>
        <v>45.324040999999994</v>
      </c>
    </row>
    <row r="7" spans="2:46">
      <c r="B7" s="64" t="s">
        <v>155</v>
      </c>
      <c r="C7" s="93">
        <f>C46*10+'3YP'!E17*C47</f>
        <v>129.49725999999998</v>
      </c>
      <c r="D7" s="93">
        <f>C46*20+D46*15+'3YP'!F17*D47</f>
        <v>463.34643799999998</v>
      </c>
      <c r="E7" s="93">
        <f>C46*25+D46*20+E46*15+'3YP'!G17*E47</f>
        <v>896.0157256</v>
      </c>
      <c r="H7" s="9">
        <v>-0.3</v>
      </c>
      <c r="J7" s="64" t="s">
        <v>155</v>
      </c>
      <c r="K7" s="93">
        <f>C7*(1+$H$7)</f>
        <v>90.648081999999988</v>
      </c>
      <c r="L7" s="93">
        <f t="shared" ref="L7:M8" si="4">D7*(1+$H$7)</f>
        <v>324.34250659999998</v>
      </c>
      <c r="M7" s="93">
        <f t="shared" si="4"/>
        <v>627.21100791999993</v>
      </c>
      <c r="Q7" t="s">
        <v>156</v>
      </c>
      <c r="Z7" s="212">
        <f>$K7*50%*Z$1</f>
        <v>2.26620205</v>
      </c>
      <c r="AA7" s="212">
        <f t="shared" ref="AA7:AE7" si="5">$K7*50%*AA$1</f>
        <v>4.5324040999999999</v>
      </c>
      <c r="AB7" s="212">
        <f t="shared" si="5"/>
        <v>4.5324040999999999</v>
      </c>
      <c r="AC7" s="212">
        <f t="shared" si="5"/>
        <v>9.0648081999999999</v>
      </c>
      <c r="AD7" s="212">
        <f t="shared" si="5"/>
        <v>11.331010249999999</v>
      </c>
      <c r="AE7" s="212">
        <f t="shared" si="5"/>
        <v>13.597212299999997</v>
      </c>
      <c r="AG7" s="3">
        <f>R7</f>
        <v>0</v>
      </c>
      <c r="AH7" s="3">
        <f>AG7+S7</f>
        <v>0</v>
      </c>
      <c r="AI7" s="3">
        <f t="shared" si="3"/>
        <v>0</v>
      </c>
      <c r="AJ7" s="3">
        <f t="shared" si="3"/>
        <v>0</v>
      </c>
      <c r="AK7" s="3">
        <f t="shared" si="3"/>
        <v>0</v>
      </c>
      <c r="AL7" s="3">
        <f t="shared" si="3"/>
        <v>0</v>
      </c>
      <c r="AM7" s="3">
        <f t="shared" si="3"/>
        <v>0</v>
      </c>
      <c r="AN7" s="3">
        <f t="shared" si="3"/>
        <v>0</v>
      </c>
      <c r="AO7" s="3">
        <f t="shared" si="3"/>
        <v>2.26620205</v>
      </c>
      <c r="AP7" s="3">
        <f t="shared" si="3"/>
        <v>6.7986061499999995</v>
      </c>
      <c r="AQ7" s="3">
        <f t="shared" si="3"/>
        <v>11.331010249999999</v>
      </c>
      <c r="AR7" s="3">
        <f t="shared" si="3"/>
        <v>20.39581845</v>
      </c>
      <c r="AS7" s="3">
        <f t="shared" si="3"/>
        <v>31.726828699999999</v>
      </c>
      <c r="AT7" s="3">
        <f t="shared" si="3"/>
        <v>45.324040999999994</v>
      </c>
    </row>
    <row r="8" spans="2:46">
      <c r="B8" t="s">
        <v>157</v>
      </c>
      <c r="C8" s="91">
        <f>-C7*(1-COGS!C15)</f>
        <v>-19.424589000000001</v>
      </c>
      <c r="D8" s="91">
        <f>-D7*(1-COGS!D15)</f>
        <v>-68.343599605000037</v>
      </c>
      <c r="E8" s="91">
        <f>-E7*(1-COGS!E15)</f>
        <v>-129.92228021200012</v>
      </c>
      <c r="J8" t="s">
        <v>157</v>
      </c>
      <c r="K8" s="91">
        <f>C8*(1+$H$7)</f>
        <v>-13.597212300000001</v>
      </c>
      <c r="L8" s="91">
        <f t="shared" si="4"/>
        <v>-47.840519723500023</v>
      </c>
      <c r="M8" s="91">
        <f t="shared" si="4"/>
        <v>-90.945596148400071</v>
      </c>
    </row>
    <row r="9" spans="2:46">
      <c r="B9" s="49"/>
      <c r="C9" s="3"/>
      <c r="D9" s="3"/>
      <c r="E9" s="3"/>
      <c r="J9" s="49"/>
      <c r="K9" s="3"/>
      <c r="L9" s="3"/>
      <c r="M9" s="3"/>
    </row>
    <row r="10" spans="2:46">
      <c r="B10" s="65" t="s">
        <v>158</v>
      </c>
      <c r="C10" s="94">
        <f>SUM(C7:C8)</f>
        <v>110.07267099999999</v>
      </c>
      <c r="D10" s="94">
        <f>SUM(D7:D8)</f>
        <v>395.00283839499991</v>
      </c>
      <c r="E10" s="94">
        <f>SUM(E7:E8)</f>
        <v>766.09344538799985</v>
      </c>
      <c r="J10" s="65" t="s">
        <v>158</v>
      </c>
      <c r="K10" s="94">
        <f>SUM(K7:K8)</f>
        <v>77.050869699999993</v>
      </c>
      <c r="L10" s="94">
        <f>SUM(L7:L8)</f>
        <v>276.50198687649993</v>
      </c>
      <c r="M10" s="94">
        <f>SUM(M7:M8)</f>
        <v>536.26541177159982</v>
      </c>
      <c r="Q10" t="s">
        <v>159</v>
      </c>
      <c r="V10" s="91">
        <f>V6*$K$17+V14+SUM($K$25:$K$26)*(V6/SUM($T6:$AE6))/2</f>
        <v>-8</v>
      </c>
      <c r="W10" s="91">
        <f t="shared" ref="W10:AE11" si="6">W6*$K$17+W14+SUM($K$25:$K$26)*(W6/SUM($T6:$AE6))/2</f>
        <v>-8</v>
      </c>
      <c r="X10" s="91">
        <f t="shared" si="6"/>
        <v>-8</v>
      </c>
      <c r="Y10" s="91">
        <f t="shared" si="6"/>
        <v>-8</v>
      </c>
      <c r="Z10" s="91">
        <f t="shared" si="6"/>
        <v>-6.5839826060000002</v>
      </c>
      <c r="AA10" s="91">
        <f t="shared" si="6"/>
        <v>-5.1679652120000013</v>
      </c>
      <c r="AB10" s="91">
        <f t="shared" si="6"/>
        <v>-5.1679652120000013</v>
      </c>
      <c r="AC10" s="91">
        <f t="shared" si="6"/>
        <v>-2.3359304240000012</v>
      </c>
      <c r="AD10" s="91">
        <f t="shared" si="6"/>
        <v>-0.91991303000000157</v>
      </c>
      <c r="AE10" s="91">
        <f t="shared" si="6"/>
        <v>0.49610436399999713</v>
      </c>
      <c r="AG10" s="3">
        <f>R10</f>
        <v>0</v>
      </c>
      <c r="AH10" s="3">
        <f>AG10+S10</f>
        <v>0</v>
      </c>
      <c r="AI10" s="3">
        <f t="shared" ref="AI10:AT11" si="7">AH10+T10</f>
        <v>0</v>
      </c>
      <c r="AJ10" s="3">
        <f t="shared" si="7"/>
        <v>0</v>
      </c>
      <c r="AK10" s="3">
        <f t="shared" si="7"/>
        <v>-8</v>
      </c>
      <c r="AL10" s="3">
        <f t="shared" si="7"/>
        <v>-16</v>
      </c>
      <c r="AM10" s="3">
        <f t="shared" si="7"/>
        <v>-24</v>
      </c>
      <c r="AN10" s="3">
        <f t="shared" si="7"/>
        <v>-32</v>
      </c>
      <c r="AO10" s="3">
        <f t="shared" si="7"/>
        <v>-38.583982605999999</v>
      </c>
      <c r="AP10" s="3">
        <f t="shared" si="7"/>
        <v>-43.751947817999998</v>
      </c>
      <c r="AQ10" s="3">
        <f t="shared" si="7"/>
        <v>-48.919913029999996</v>
      </c>
      <c r="AR10" s="3">
        <f t="shared" si="7"/>
        <v>-51.255843454000001</v>
      </c>
      <c r="AS10" s="3">
        <f t="shared" si="7"/>
        <v>-52.175756484000004</v>
      </c>
      <c r="AT10" s="3">
        <f t="shared" si="7"/>
        <v>-51.679652120000007</v>
      </c>
    </row>
    <row r="11" spans="2:46">
      <c r="B11" s="66" t="s">
        <v>160</v>
      </c>
      <c r="C11" s="67">
        <f>C10/C$7</f>
        <v>0.85</v>
      </c>
      <c r="D11" s="67">
        <f>D10/D$7</f>
        <v>0.85249999999999981</v>
      </c>
      <c r="E11" s="67">
        <f>E10/E$7</f>
        <v>0.85499999999999987</v>
      </c>
      <c r="J11" s="66" t="s">
        <v>160</v>
      </c>
      <c r="K11" s="67">
        <f>K10/K$7</f>
        <v>0.85</v>
      </c>
      <c r="L11" s="67">
        <f>L10/L$7</f>
        <v>0.85249999999999981</v>
      </c>
      <c r="M11" s="67">
        <f>M10/M$7</f>
        <v>0.85499999999999976</v>
      </c>
      <c r="Q11" t="s">
        <v>161</v>
      </c>
      <c r="V11" s="91">
        <f>V7*$K$17+V15+SUM($K$25:$K$26)*(V7/SUM($T7:$AE7))/2</f>
        <v>-12.75</v>
      </c>
      <c r="W11" s="91">
        <f t="shared" si="6"/>
        <v>-12.75</v>
      </c>
      <c r="X11" s="91">
        <f t="shared" si="6"/>
        <v>-12.75</v>
      </c>
      <c r="Y11" s="91">
        <f t="shared" si="6"/>
        <v>-12.75</v>
      </c>
      <c r="Z11" s="91">
        <f t="shared" si="6"/>
        <v>-11.333982605999999</v>
      </c>
      <c r="AA11" s="91">
        <f t="shared" si="6"/>
        <v>-9.9179652120000004</v>
      </c>
      <c r="AB11" s="91">
        <f t="shared" si="6"/>
        <v>-9.9179652120000004</v>
      </c>
      <c r="AC11" s="91">
        <f t="shared" si="6"/>
        <v>-7.0859304240000007</v>
      </c>
      <c r="AD11" s="91">
        <f t="shared" si="6"/>
        <v>-5.6699130300000018</v>
      </c>
      <c r="AE11" s="91">
        <f t="shared" si="6"/>
        <v>-4.2538956360000029</v>
      </c>
      <c r="AG11" s="3">
        <f>R11</f>
        <v>0</v>
      </c>
      <c r="AH11" s="3">
        <f>AG11+S11</f>
        <v>0</v>
      </c>
      <c r="AI11" s="3">
        <f t="shared" si="7"/>
        <v>0</v>
      </c>
      <c r="AJ11" s="3">
        <f t="shared" si="7"/>
        <v>0</v>
      </c>
      <c r="AK11" s="3">
        <f t="shared" si="7"/>
        <v>-12.75</v>
      </c>
      <c r="AL11" s="3">
        <f t="shared" si="7"/>
        <v>-25.5</v>
      </c>
      <c r="AM11" s="3">
        <f t="shared" si="7"/>
        <v>-38.25</v>
      </c>
      <c r="AN11" s="3">
        <f t="shared" si="7"/>
        <v>-51</v>
      </c>
      <c r="AO11" s="3">
        <f t="shared" si="7"/>
        <v>-62.333982605999999</v>
      </c>
      <c r="AP11" s="3">
        <f t="shared" si="7"/>
        <v>-72.251947818000005</v>
      </c>
      <c r="AQ11" s="3">
        <f t="shared" si="7"/>
        <v>-82.169913030000004</v>
      </c>
      <c r="AR11" s="3">
        <f t="shared" si="7"/>
        <v>-89.255843454000001</v>
      </c>
      <c r="AS11" s="3">
        <f t="shared" si="7"/>
        <v>-94.925756484000004</v>
      </c>
      <c r="AT11" s="3">
        <f t="shared" si="7"/>
        <v>-99.179652120000014</v>
      </c>
    </row>
    <row r="12" spans="2:46">
      <c r="B12" s="49"/>
      <c r="C12" s="3"/>
      <c r="D12" s="3"/>
      <c r="E12" s="3"/>
      <c r="J12" s="49"/>
      <c r="K12" s="3"/>
      <c r="L12" s="3"/>
      <c r="M12" s="3"/>
    </row>
    <row r="13" spans="2:46">
      <c r="B13" t="s">
        <v>162</v>
      </c>
      <c r="C13" s="91">
        <f>-C7*'Other COS'!$C$16</f>
        <v>-9.0648081999999999</v>
      </c>
      <c r="D13" s="91">
        <f>-D7*'Other COS'!$C$16</f>
        <v>-32.434250660000004</v>
      </c>
      <c r="E13" s="91">
        <f>-E7*'Other COS'!$C$16</f>
        <v>-62.721100792000009</v>
      </c>
      <c r="J13" t="s">
        <v>162</v>
      </c>
      <c r="K13" s="91">
        <f>-K7*'Other COS'!$C$16</f>
        <v>-6.3453657400000001</v>
      </c>
      <c r="L13" s="91">
        <f>-L7*'Other COS'!$C$16</f>
        <v>-22.703975461999999</v>
      </c>
      <c r="M13" s="91">
        <f>-M7*'Other COS'!$C$16</f>
        <v>-43.904770554400002</v>
      </c>
    </row>
    <row r="14" spans="2:46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  <c r="Q14" t="s">
        <v>164</v>
      </c>
      <c r="V14" s="91">
        <f>$K20*10%</f>
        <v>-8</v>
      </c>
      <c r="W14" s="91">
        <f t="shared" ref="W14:AE14" si="8">$K20*10%</f>
        <v>-8</v>
      </c>
      <c r="X14" s="91">
        <f t="shared" si="8"/>
        <v>-8</v>
      </c>
      <c r="Y14" s="91">
        <f t="shared" si="8"/>
        <v>-8</v>
      </c>
      <c r="Z14" s="91">
        <f t="shared" si="8"/>
        <v>-8</v>
      </c>
      <c r="AA14" s="91">
        <f t="shared" si="8"/>
        <v>-8</v>
      </c>
      <c r="AB14" s="91">
        <f t="shared" si="8"/>
        <v>-8</v>
      </c>
      <c r="AC14" s="91">
        <f t="shared" si="8"/>
        <v>-8</v>
      </c>
      <c r="AD14" s="91">
        <f t="shared" si="8"/>
        <v>-8</v>
      </c>
      <c r="AE14" s="91">
        <f t="shared" si="8"/>
        <v>-8</v>
      </c>
      <c r="AG14" s="3">
        <f>R14</f>
        <v>0</v>
      </c>
      <c r="AH14" s="3">
        <f>AG14+S14</f>
        <v>0</v>
      </c>
      <c r="AI14" s="3">
        <f t="shared" ref="AI14:AT15" si="9">AH14+T14</f>
        <v>0</v>
      </c>
      <c r="AJ14" s="3">
        <f t="shared" si="9"/>
        <v>0</v>
      </c>
      <c r="AK14" s="3">
        <f t="shared" si="9"/>
        <v>-8</v>
      </c>
      <c r="AL14" s="3">
        <f t="shared" si="9"/>
        <v>-16</v>
      </c>
      <c r="AM14" s="3">
        <f t="shared" si="9"/>
        <v>-24</v>
      </c>
      <c r="AN14" s="3">
        <f t="shared" si="9"/>
        <v>-32</v>
      </c>
      <c r="AO14" s="3">
        <f t="shared" si="9"/>
        <v>-40</v>
      </c>
      <c r="AP14" s="3">
        <f t="shared" si="9"/>
        <v>-48</v>
      </c>
      <c r="AQ14" s="3">
        <f t="shared" si="9"/>
        <v>-56</v>
      </c>
      <c r="AR14" s="3">
        <f t="shared" si="9"/>
        <v>-64</v>
      </c>
      <c r="AS14" s="3">
        <f t="shared" si="9"/>
        <v>-72</v>
      </c>
      <c r="AT14" s="3">
        <f t="shared" si="9"/>
        <v>-80</v>
      </c>
    </row>
    <row r="15" spans="2:46">
      <c r="B15" s="49"/>
      <c r="C15" s="3"/>
      <c r="D15" s="3"/>
      <c r="E15" s="3"/>
      <c r="J15" s="49"/>
      <c r="K15" s="3"/>
      <c r="L15" s="3"/>
      <c r="M15" s="3"/>
      <c r="Q15" t="s">
        <v>165</v>
      </c>
      <c r="V15" s="91">
        <f>$K19*10%</f>
        <v>-12.75</v>
      </c>
      <c r="W15" s="91">
        <f t="shared" ref="W15:AE15" si="10">$K19*10%</f>
        <v>-12.75</v>
      </c>
      <c r="X15" s="91">
        <f t="shared" si="10"/>
        <v>-12.75</v>
      </c>
      <c r="Y15" s="91">
        <f t="shared" si="10"/>
        <v>-12.75</v>
      </c>
      <c r="Z15" s="91">
        <f t="shared" si="10"/>
        <v>-12.75</v>
      </c>
      <c r="AA15" s="91">
        <f t="shared" si="10"/>
        <v>-12.75</v>
      </c>
      <c r="AB15" s="91">
        <f t="shared" si="10"/>
        <v>-12.75</v>
      </c>
      <c r="AC15" s="91">
        <f t="shared" si="10"/>
        <v>-12.75</v>
      </c>
      <c r="AD15" s="91">
        <f t="shared" si="10"/>
        <v>-12.75</v>
      </c>
      <c r="AE15" s="91">
        <f t="shared" si="10"/>
        <v>-12.75</v>
      </c>
      <c r="AG15" s="3">
        <f>R15</f>
        <v>0</v>
      </c>
      <c r="AH15" s="3">
        <f>AG15+S15</f>
        <v>0</v>
      </c>
      <c r="AI15" s="3">
        <f t="shared" si="9"/>
        <v>0</v>
      </c>
      <c r="AJ15" s="3">
        <f t="shared" si="9"/>
        <v>0</v>
      </c>
      <c r="AK15" s="3">
        <f t="shared" si="9"/>
        <v>-12.75</v>
      </c>
      <c r="AL15" s="3">
        <f t="shared" si="9"/>
        <v>-25.5</v>
      </c>
      <c r="AM15" s="3">
        <f t="shared" si="9"/>
        <v>-38.25</v>
      </c>
      <c r="AN15" s="3">
        <f t="shared" si="9"/>
        <v>-51</v>
      </c>
      <c r="AO15" s="3">
        <f t="shared" si="9"/>
        <v>-63.75</v>
      </c>
      <c r="AP15" s="3">
        <f t="shared" si="9"/>
        <v>-76.5</v>
      </c>
      <c r="AQ15" s="3">
        <f t="shared" si="9"/>
        <v>-89.25</v>
      </c>
      <c r="AR15" s="3">
        <f t="shared" si="9"/>
        <v>-102</v>
      </c>
      <c r="AS15" s="3">
        <f t="shared" si="9"/>
        <v>-114.75</v>
      </c>
      <c r="AT15" s="3">
        <f t="shared" si="9"/>
        <v>-127.5</v>
      </c>
    </row>
    <row r="16" spans="2:46">
      <c r="B16" s="65" t="s">
        <v>166</v>
      </c>
      <c r="C16" s="94">
        <f>SUM(C10,C13:C14)</f>
        <v>101.00786279999998</v>
      </c>
      <c r="D16" s="94">
        <f>SUM(D10,D13:D14)</f>
        <v>362.56858773499994</v>
      </c>
      <c r="E16" s="94">
        <f>SUM(E10,E13:E14)</f>
        <v>703.37234459599983</v>
      </c>
      <c r="J16" s="65" t="s">
        <v>166</v>
      </c>
      <c r="K16" s="94">
        <f>SUM(K10,K13:K14)</f>
        <v>70.705503959999987</v>
      </c>
      <c r="L16" s="94">
        <f>SUM(L10,L13:L14)</f>
        <v>253.79801141449994</v>
      </c>
      <c r="M16" s="94">
        <f>SUM(M10,M13:M14)</f>
        <v>492.36064121719983</v>
      </c>
    </row>
    <row r="17" spans="2:13">
      <c r="B17" s="66" t="s">
        <v>167</v>
      </c>
      <c r="C17" s="67">
        <f>C16/C$7</f>
        <v>0.78</v>
      </c>
      <c r="D17" s="67">
        <f>D16/D$7</f>
        <v>0.78249999999999986</v>
      </c>
      <c r="E17" s="67">
        <f>E16/E$7</f>
        <v>0.78499999999999981</v>
      </c>
      <c r="J17" s="66" t="s">
        <v>167</v>
      </c>
      <c r="K17" s="67">
        <f>K16/K$7</f>
        <v>0.77999999999999992</v>
      </c>
      <c r="L17" s="67">
        <f>L16/L$7</f>
        <v>0.78249999999999986</v>
      </c>
      <c r="M17" s="67">
        <f>M16/M$7</f>
        <v>0.78499999999999981</v>
      </c>
    </row>
    <row r="18" spans="2:13">
      <c r="B18" s="49"/>
      <c r="C18" s="3"/>
      <c r="D18" s="3"/>
      <c r="E18" s="3"/>
      <c r="J18" s="49"/>
      <c r="K18" s="3"/>
      <c r="L18" s="3"/>
      <c r="M18" s="3"/>
    </row>
    <row r="19" spans="2:13">
      <c r="B19" t="s">
        <v>168</v>
      </c>
      <c r="C19" s="91">
        <f>-Extra!M5/1000</f>
        <v>-127.5</v>
      </c>
      <c r="D19" s="91">
        <f>C19*1.1</f>
        <v>-140.25</v>
      </c>
      <c r="E19" s="91">
        <f>D19*1.1</f>
        <v>-154.27500000000001</v>
      </c>
      <c r="J19" t="s">
        <v>168</v>
      </c>
      <c r="K19" s="91">
        <f t="shared" ref="K19:M20" si="11">C19</f>
        <v>-127.5</v>
      </c>
      <c r="L19" s="91">
        <f t="shared" si="11"/>
        <v>-140.25</v>
      </c>
      <c r="M19" s="91">
        <f t="shared" si="11"/>
        <v>-154.27500000000001</v>
      </c>
    </row>
    <row r="20" spans="2:13">
      <c r="B20" t="s">
        <v>169</v>
      </c>
      <c r="C20" s="91">
        <f>-Extra!M42/1000</f>
        <v>-80</v>
      </c>
      <c r="D20" s="91">
        <f>C20*1.1</f>
        <v>-88</v>
      </c>
      <c r="E20" s="91">
        <f>D20*1.1</f>
        <v>-96.800000000000011</v>
      </c>
      <c r="J20" t="s">
        <v>169</v>
      </c>
      <c r="K20" s="91">
        <f t="shared" si="11"/>
        <v>-80</v>
      </c>
      <c r="L20" s="91">
        <f t="shared" si="11"/>
        <v>-88</v>
      </c>
      <c r="M20" s="91">
        <f t="shared" si="11"/>
        <v>-96.800000000000011</v>
      </c>
    </row>
    <row r="21" spans="2:13">
      <c r="B21" s="49"/>
      <c r="C21" s="3"/>
      <c r="D21" s="3"/>
      <c r="E21" s="3"/>
      <c r="J21" s="49"/>
      <c r="K21" s="3"/>
      <c r="L21" s="3"/>
      <c r="M21" s="3"/>
    </row>
    <row r="22" spans="2:13">
      <c r="B22" s="65" t="s">
        <v>170</v>
      </c>
      <c r="C22" s="94">
        <f>SUM(C16,C19:C20)</f>
        <v>-106.49213720000002</v>
      </c>
      <c r="D22" s="94">
        <f>SUM(D16,D19:D20)</f>
        <v>134.31858773499994</v>
      </c>
      <c r="E22" s="94">
        <f>SUM(E16,E19:E20)</f>
        <v>452.29734459599985</v>
      </c>
      <c r="J22" s="65" t="s">
        <v>170</v>
      </c>
      <c r="K22" s="94">
        <f>SUM(K16,K19:K20)</f>
        <v>-136.79449604000001</v>
      </c>
      <c r="L22" s="94">
        <f>SUM(L16,L19:L20)</f>
        <v>25.548011414499939</v>
      </c>
      <c r="M22" s="94">
        <f>SUM(M16,M19:M20)</f>
        <v>241.28564121719984</v>
      </c>
    </row>
    <row r="23" spans="2:13">
      <c r="B23" s="66" t="s">
        <v>171</v>
      </c>
      <c r="C23" s="67">
        <f>C22/C$7</f>
        <v>-0.8223505053311555</v>
      </c>
      <c r="D23" s="67">
        <f>D22/D$7</f>
        <v>0.28988803348694342</v>
      </c>
      <c r="E23" s="67">
        <f>E22/E$7</f>
        <v>0.50478728405478313</v>
      </c>
      <c r="J23" s="66" t="s">
        <v>171</v>
      </c>
      <c r="K23" s="67">
        <f>K22/K$7</f>
        <v>-1.5090721504730793</v>
      </c>
      <c r="L23" s="67">
        <f>L22/L$7</f>
        <v>7.8768619267061996E-2</v>
      </c>
      <c r="M23" s="67">
        <f>M22/M$7</f>
        <v>0.38469612007826171</v>
      </c>
    </row>
    <row r="24" spans="2:13">
      <c r="B24" s="49"/>
      <c r="C24" s="3"/>
      <c r="D24" s="3"/>
      <c r="E24" s="3"/>
      <c r="J24" s="49"/>
      <c r="K24" s="3"/>
      <c r="L24" s="3"/>
      <c r="M24" s="3"/>
    </row>
    <row r="25" spans="2:13">
      <c r="B25" t="s">
        <v>172</v>
      </c>
      <c r="C25" s="91">
        <f>-C7*10%</f>
        <v>-12.949725999999998</v>
      </c>
      <c r="D25" s="91">
        <f t="shared" ref="D25:E25" si="12">-D7*10%</f>
        <v>-46.334643800000002</v>
      </c>
      <c r="E25" s="91">
        <f t="shared" si="12"/>
        <v>-89.601572560000008</v>
      </c>
      <c r="J25" t="s">
        <v>172</v>
      </c>
      <c r="K25" s="91">
        <f>-K7*10%</f>
        <v>-9.0648081999999999</v>
      </c>
      <c r="L25" s="91">
        <f t="shared" ref="L25:M25" si="13">-L7*10%</f>
        <v>-32.434250659999996</v>
      </c>
      <c r="M25" s="91">
        <f t="shared" si="13"/>
        <v>-62.721100791999994</v>
      </c>
    </row>
    <row r="26" spans="2:13">
      <c r="B26" t="s">
        <v>173</v>
      </c>
      <c r="C26" s="91">
        <v>-5</v>
      </c>
      <c r="D26" s="91">
        <v>-5</v>
      </c>
      <c r="E26" s="91">
        <v>-5</v>
      </c>
      <c r="J26" t="s">
        <v>173</v>
      </c>
      <c r="K26" s="91">
        <v>-5</v>
      </c>
      <c r="L26" s="91">
        <v>-5</v>
      </c>
      <c r="M26" s="91">
        <v>-5</v>
      </c>
    </row>
    <row r="27" spans="2:13">
      <c r="B27" s="49"/>
      <c r="C27" s="3"/>
      <c r="D27" s="3"/>
      <c r="E27" s="3"/>
      <c r="J27" s="49"/>
      <c r="K27" s="3"/>
      <c r="L27" s="3"/>
      <c r="M27" s="3"/>
    </row>
    <row r="28" spans="2:13">
      <c r="B28" s="65" t="s">
        <v>174</v>
      </c>
      <c r="C28" s="94">
        <f>SUM(C22,C25:C26)</f>
        <v>-124.44186320000001</v>
      </c>
      <c r="D28" s="94">
        <f>SUM(D22,D25:D26)</f>
        <v>82.983943934999928</v>
      </c>
      <c r="E28" s="94">
        <f>SUM(E22,E25:E26)</f>
        <v>357.69577203599982</v>
      </c>
      <c r="J28" s="65" t="s">
        <v>174</v>
      </c>
      <c r="K28" s="94">
        <f>SUM(K22,K25:K26)</f>
        <v>-150.85930424</v>
      </c>
      <c r="L28" s="94">
        <f>SUM(L22,L25:L26)</f>
        <v>-11.886239245500057</v>
      </c>
      <c r="M28" s="94">
        <f>SUM(M22,M25:M26)</f>
        <v>173.56454042519985</v>
      </c>
    </row>
    <row r="29" spans="2:13">
      <c r="B29" s="66" t="s">
        <v>175</v>
      </c>
      <c r="C29" s="67">
        <f>C28/C$7</f>
        <v>-0.96096136088130379</v>
      </c>
      <c r="D29" s="67">
        <f>D28/D$7</f>
        <v>0.17909697178895748</v>
      </c>
      <c r="E29" s="67">
        <f>E28/E$7</f>
        <v>0.39920702485045739</v>
      </c>
      <c r="J29" s="66" t="s">
        <v>175</v>
      </c>
      <c r="K29" s="67">
        <f>K28/K$7</f>
        <v>-1.6642305155447197</v>
      </c>
      <c r="L29" s="67">
        <f>L28/L$7</f>
        <v>-3.6647183158632156E-2</v>
      </c>
      <c r="M29" s="67">
        <f>M28/M$7</f>
        <v>0.27672432121493923</v>
      </c>
    </row>
    <row r="30" spans="2:13">
      <c r="B30" s="49"/>
      <c r="C30" s="3"/>
      <c r="D30" s="3"/>
      <c r="E30" s="3"/>
      <c r="J30" s="49"/>
      <c r="K30" s="3"/>
      <c r="L30" s="3"/>
      <c r="M30" s="3"/>
    </row>
    <row r="31" spans="2:13">
      <c r="B31" t="s">
        <v>176</v>
      </c>
      <c r="C31" s="91">
        <v>0</v>
      </c>
      <c r="D31" s="91">
        <v>0</v>
      </c>
      <c r="E31" s="91">
        <v>0</v>
      </c>
      <c r="J31" t="s">
        <v>176</v>
      </c>
      <c r="K31" s="91">
        <v>0</v>
      </c>
      <c r="L31" s="91">
        <v>0</v>
      </c>
      <c r="M31" s="91">
        <v>0</v>
      </c>
    </row>
    <row r="32" spans="2:13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-124.44186320000001</v>
      </c>
      <c r="D33" s="94">
        <f>SUM(D28,D31)</f>
        <v>82.983943934999928</v>
      </c>
      <c r="E33" s="94">
        <f>SUM(E28,E31)</f>
        <v>357.69577203599982</v>
      </c>
      <c r="J33" s="65" t="s">
        <v>177</v>
      </c>
      <c r="K33" s="94">
        <f>SUM(K28,K31)</f>
        <v>-150.85930424</v>
      </c>
      <c r="L33" s="94">
        <f>SUM(L28,L31)</f>
        <v>-11.886239245500057</v>
      </c>
      <c r="M33" s="94">
        <f>SUM(M28,M31)</f>
        <v>173.56454042519985</v>
      </c>
    </row>
    <row r="34" spans="2:14">
      <c r="B34" s="66" t="s">
        <v>178</v>
      </c>
      <c r="C34" s="67">
        <f>C33/C$7</f>
        <v>-0.96096136088130379</v>
      </c>
      <c r="D34" s="67">
        <f>D33/D$7</f>
        <v>0.17909697178895748</v>
      </c>
      <c r="E34" s="67">
        <f>E33/E$7</f>
        <v>0.39920702485045739</v>
      </c>
      <c r="J34" s="66" t="s">
        <v>178</v>
      </c>
      <c r="K34" s="67">
        <f>K33/K$7</f>
        <v>-1.6642305155447197</v>
      </c>
      <c r="L34" s="67">
        <f>L33/L$7</f>
        <v>-3.6647183158632156E-2</v>
      </c>
      <c r="M34" s="67">
        <f>M33/M$7</f>
        <v>0.27672432121493923</v>
      </c>
    </row>
    <row r="37" spans="2:14">
      <c r="B37" t="s">
        <v>179</v>
      </c>
      <c r="C37" s="91">
        <f>C20+C19*60%</f>
        <v>-156.5</v>
      </c>
      <c r="F37" t="s">
        <v>180</v>
      </c>
      <c r="J37" t="s">
        <v>179</v>
      </c>
      <c r="K37" s="91">
        <f>K20+K19*60%</f>
        <v>-156.5</v>
      </c>
      <c r="N37" t="s">
        <v>180</v>
      </c>
    </row>
    <row r="44" spans="2:14">
      <c r="B44" t="s">
        <v>181</v>
      </c>
    </row>
    <row r="46" spans="2:14">
      <c r="B46" t="s">
        <v>182</v>
      </c>
      <c r="C46">
        <v>10</v>
      </c>
      <c r="D46">
        <v>15</v>
      </c>
      <c r="E46">
        <v>20</v>
      </c>
    </row>
    <row r="47" spans="2:14">
      <c r="B47" t="s">
        <v>183</v>
      </c>
      <c r="C47" s="9">
        <v>0.03</v>
      </c>
      <c r="D47" s="57">
        <v>0.03</v>
      </c>
      <c r="E47" s="9">
        <v>0.03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3A01-AE0D-4007-9459-B825748793FC}">
  <sheetPr>
    <tabColor rgb="FF92D050"/>
  </sheetPr>
  <dimension ref="B1:AV47"/>
  <sheetViews>
    <sheetView showGridLines="0" topLeftCell="J1" workbookViewId="0">
      <selection activeCell="K25" sqref="K25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1" spans="2:48">
      <c r="V1" s="209">
        <v>0</v>
      </c>
      <c r="W1" s="209">
        <v>0</v>
      </c>
      <c r="X1" s="209">
        <v>0</v>
      </c>
      <c r="Y1" s="209">
        <v>0</v>
      </c>
      <c r="Z1" s="209">
        <v>0</v>
      </c>
      <c r="AA1" s="209">
        <v>0</v>
      </c>
      <c r="AB1" s="209">
        <v>0.1</v>
      </c>
      <c r="AC1" s="209">
        <v>0.1</v>
      </c>
      <c r="AD1" s="209">
        <v>0.15</v>
      </c>
      <c r="AE1" s="209">
        <v>0.2</v>
      </c>
      <c r="AF1" s="209">
        <v>0.2</v>
      </c>
      <c r="AG1" s="209">
        <v>0.25</v>
      </c>
    </row>
    <row r="2" spans="2:48">
      <c r="B2" s="136" t="s">
        <v>204</v>
      </c>
    </row>
    <row r="3" spans="2:48">
      <c r="B3" s="136" t="s">
        <v>205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G3" t="s">
        <v>151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  <c r="AV3" t="s">
        <v>152</v>
      </c>
    </row>
    <row r="4" spans="2:48">
      <c r="T4" s="184" t="str">
        <f>MONTH(T5)&amp;RIGHT(YEAR(T5), 2)</f>
        <v>1125</v>
      </c>
      <c r="U4" s="184" t="str">
        <f t="shared" ref="U4:AG4" si="0">MONTH(U5)&amp;RIGHT(YEAR(U5), 2)</f>
        <v>1225</v>
      </c>
      <c r="V4" s="184" t="str">
        <f t="shared" si="0"/>
        <v>126</v>
      </c>
      <c r="W4" s="184" t="str">
        <f t="shared" si="0"/>
        <v>226</v>
      </c>
      <c r="X4" s="184" t="str">
        <f t="shared" si="0"/>
        <v>326</v>
      </c>
      <c r="Y4" s="184" t="str">
        <f t="shared" si="0"/>
        <v>426</v>
      </c>
      <c r="Z4" s="184" t="str">
        <f t="shared" si="0"/>
        <v>526</v>
      </c>
      <c r="AA4" s="184" t="str">
        <f t="shared" si="0"/>
        <v>626</v>
      </c>
      <c r="AB4" s="184" t="str">
        <f t="shared" si="0"/>
        <v>726</v>
      </c>
      <c r="AC4" s="184" t="str">
        <f t="shared" si="0"/>
        <v>826</v>
      </c>
      <c r="AD4" s="184" t="str">
        <f t="shared" si="0"/>
        <v>926</v>
      </c>
      <c r="AE4" s="184" t="str">
        <f t="shared" si="0"/>
        <v>1026</v>
      </c>
      <c r="AF4" s="184" t="str">
        <f t="shared" si="0"/>
        <v>1126</v>
      </c>
      <c r="AG4" s="184" t="str">
        <f t="shared" si="0"/>
        <v>1226</v>
      </c>
      <c r="AI4" s="184" t="str">
        <f>MONTH(AI5)&amp;RIGHT(YEAR(AI5), 2)</f>
        <v>1125</v>
      </c>
      <c r="AJ4" s="184" t="str">
        <f t="shared" ref="AJ4:AV4" si="1">MONTH(AJ5)&amp;RIGHT(YEAR(AJ5), 2)</f>
        <v>1225</v>
      </c>
      <c r="AK4" s="184" t="str">
        <f t="shared" si="1"/>
        <v>126</v>
      </c>
      <c r="AL4" s="184" t="str">
        <f t="shared" si="1"/>
        <v>226</v>
      </c>
      <c r="AM4" s="184" t="str">
        <f t="shared" si="1"/>
        <v>326</v>
      </c>
      <c r="AN4" s="184" t="str">
        <f t="shared" si="1"/>
        <v>426</v>
      </c>
      <c r="AO4" s="184" t="str">
        <f t="shared" si="1"/>
        <v>526</v>
      </c>
      <c r="AP4" s="184" t="str">
        <f t="shared" si="1"/>
        <v>626</v>
      </c>
      <c r="AQ4" s="184" t="str">
        <f t="shared" si="1"/>
        <v>726</v>
      </c>
      <c r="AR4" s="184" t="str">
        <f t="shared" si="1"/>
        <v>826</v>
      </c>
      <c r="AS4" s="184" t="str">
        <f t="shared" si="1"/>
        <v>926</v>
      </c>
      <c r="AT4" s="184" t="str">
        <f t="shared" si="1"/>
        <v>1026</v>
      </c>
      <c r="AU4" s="184" t="str">
        <f t="shared" si="1"/>
        <v>1126</v>
      </c>
      <c r="AV4" s="184" t="str">
        <f t="shared" si="1"/>
        <v>1226</v>
      </c>
    </row>
    <row r="5" spans="2:48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T5" s="185">
        <v>45962</v>
      </c>
      <c r="U5" s="185">
        <v>45992</v>
      </c>
      <c r="V5" s="185">
        <v>46023</v>
      </c>
      <c r="W5" s="185">
        <v>46054</v>
      </c>
      <c r="X5" s="185">
        <v>46082</v>
      </c>
      <c r="Y5" s="185">
        <v>46113</v>
      </c>
      <c r="Z5" s="185">
        <v>46143</v>
      </c>
      <c r="AA5" s="185">
        <v>46174</v>
      </c>
      <c r="AB5" s="185">
        <v>46204</v>
      </c>
      <c r="AC5" s="185">
        <v>46235</v>
      </c>
      <c r="AD5" s="185">
        <v>46266</v>
      </c>
      <c r="AE5" s="185">
        <v>46296</v>
      </c>
      <c r="AF5" s="185">
        <v>46327</v>
      </c>
      <c r="AG5" s="185">
        <v>46357</v>
      </c>
      <c r="AI5" s="185">
        <v>45962</v>
      </c>
      <c r="AJ5" s="185">
        <v>45992</v>
      </c>
      <c r="AK5" s="185">
        <v>46023</v>
      </c>
      <c r="AL5" s="185">
        <v>46054</v>
      </c>
      <c r="AM5" s="185">
        <v>46082</v>
      </c>
      <c r="AN5" s="185">
        <v>46113</v>
      </c>
      <c r="AO5" s="185">
        <v>46143</v>
      </c>
      <c r="AP5" s="185">
        <v>46174</v>
      </c>
      <c r="AQ5" s="185">
        <v>46204</v>
      </c>
      <c r="AR5" s="185">
        <v>46235</v>
      </c>
      <c r="AS5" s="185">
        <v>46266</v>
      </c>
      <c r="AT5" s="185">
        <v>46296</v>
      </c>
      <c r="AU5" s="185">
        <v>46327</v>
      </c>
      <c r="AV5" s="185">
        <v>46357</v>
      </c>
    </row>
    <row r="7" spans="2:48">
      <c r="B7" s="64" t="s">
        <v>155</v>
      </c>
      <c r="C7" s="93">
        <f>C46*10</f>
        <v>120</v>
      </c>
      <c r="D7" s="93">
        <f>C46*20+D46*15</f>
        <v>480</v>
      </c>
      <c r="E7" s="93">
        <f>C46*25+D46*20+E46*15</f>
        <v>920</v>
      </c>
      <c r="H7" s="9">
        <v>-0.3</v>
      </c>
      <c r="J7" s="64" t="s">
        <v>155</v>
      </c>
      <c r="K7" s="93">
        <f>C7*(1+$H$7)</f>
        <v>84</v>
      </c>
      <c r="L7" s="93">
        <f t="shared" ref="L7:M8" si="2">D7*(1+$H$7)</f>
        <v>336</v>
      </c>
      <c r="M7" s="93">
        <f t="shared" si="2"/>
        <v>644</v>
      </c>
      <c r="S7" t="s">
        <v>186</v>
      </c>
      <c r="V7" s="3">
        <f>$K7*V1</f>
        <v>0</v>
      </c>
      <c r="W7" s="3">
        <f t="shared" ref="W7:AG7" si="3">$K7*W1</f>
        <v>0</v>
      </c>
      <c r="X7" s="3">
        <f t="shared" si="3"/>
        <v>0</v>
      </c>
      <c r="Y7" s="3">
        <f t="shared" si="3"/>
        <v>0</v>
      </c>
      <c r="Z7" s="3">
        <f t="shared" si="3"/>
        <v>0</v>
      </c>
      <c r="AA7" s="3">
        <f t="shared" si="3"/>
        <v>0</v>
      </c>
      <c r="AB7" s="3">
        <f t="shared" si="3"/>
        <v>8.4</v>
      </c>
      <c r="AC7" s="3">
        <f t="shared" si="3"/>
        <v>8.4</v>
      </c>
      <c r="AD7" s="3">
        <f t="shared" si="3"/>
        <v>12.6</v>
      </c>
      <c r="AE7" s="3">
        <f t="shared" si="3"/>
        <v>16.8</v>
      </c>
      <c r="AF7" s="3">
        <f t="shared" si="3"/>
        <v>16.8</v>
      </c>
      <c r="AG7" s="3">
        <f t="shared" si="3"/>
        <v>21</v>
      </c>
      <c r="AI7" s="3">
        <f>T7</f>
        <v>0</v>
      </c>
      <c r="AJ7" s="4">
        <f>AI7+U7</f>
        <v>0</v>
      </c>
      <c r="AK7" s="4">
        <f t="shared" ref="AK7:AV7" si="4">AJ7+V7</f>
        <v>0</v>
      </c>
      <c r="AL7" s="4">
        <f t="shared" si="4"/>
        <v>0</v>
      </c>
      <c r="AM7" s="4">
        <f t="shared" si="4"/>
        <v>0</v>
      </c>
      <c r="AN7" s="4">
        <f t="shared" si="4"/>
        <v>0</v>
      </c>
      <c r="AO7" s="4">
        <f t="shared" si="4"/>
        <v>0</v>
      </c>
      <c r="AP7" s="4">
        <f t="shared" si="4"/>
        <v>0</v>
      </c>
      <c r="AQ7" s="4">
        <f t="shared" si="4"/>
        <v>8.4</v>
      </c>
      <c r="AR7" s="4">
        <f t="shared" si="4"/>
        <v>16.8</v>
      </c>
      <c r="AS7" s="4">
        <f t="shared" si="4"/>
        <v>29.4</v>
      </c>
      <c r="AT7" s="4">
        <f t="shared" si="4"/>
        <v>46.2</v>
      </c>
      <c r="AU7" s="4">
        <f t="shared" si="4"/>
        <v>63</v>
      </c>
      <c r="AV7" s="4">
        <f t="shared" si="4"/>
        <v>84</v>
      </c>
    </row>
    <row r="8" spans="2:48">
      <c r="B8" t="s">
        <v>157</v>
      </c>
      <c r="C8" s="91">
        <f>-C7*(1-COGS!C15)</f>
        <v>-18.000000000000004</v>
      </c>
      <c r="D8" s="91">
        <f>-D7*(1-COGS!D15)</f>
        <v>-70.80000000000004</v>
      </c>
      <c r="E8" s="91">
        <f>-E7*(1-COGS!E15)</f>
        <v>-133.40000000000012</v>
      </c>
      <c r="J8" t="s">
        <v>157</v>
      </c>
      <c r="K8" s="91">
        <f>C8*(1+$H$7)</f>
        <v>-12.600000000000001</v>
      </c>
      <c r="L8" s="91">
        <f t="shared" si="2"/>
        <v>-49.560000000000024</v>
      </c>
      <c r="M8" s="91">
        <f t="shared" si="2"/>
        <v>-93.380000000000081</v>
      </c>
    </row>
    <row r="9" spans="2:48">
      <c r="B9" s="49"/>
      <c r="C9" s="3"/>
      <c r="D9" s="3"/>
      <c r="E9" s="3"/>
      <c r="J9" s="49"/>
      <c r="K9" s="3"/>
      <c r="L9" s="3"/>
      <c r="M9" s="3"/>
      <c r="S9" t="s">
        <v>177</v>
      </c>
      <c r="V9" s="4">
        <f>V7*$K17-V11</f>
        <v>0</v>
      </c>
      <c r="W9" s="4">
        <f t="shared" ref="W9:AG9" si="5">W7*$K17-W11</f>
        <v>0</v>
      </c>
      <c r="X9" s="4">
        <f t="shared" si="5"/>
        <v>0</v>
      </c>
      <c r="Y9" s="4">
        <f t="shared" si="5"/>
        <v>-23.888888888888889</v>
      </c>
      <c r="Z9" s="4">
        <f t="shared" si="5"/>
        <v>-23.888888888888889</v>
      </c>
      <c r="AA9" s="4">
        <f t="shared" si="5"/>
        <v>-23.888888888888889</v>
      </c>
      <c r="AB9" s="4">
        <f t="shared" si="5"/>
        <v>-18.17688888888889</v>
      </c>
      <c r="AC9" s="4">
        <f t="shared" si="5"/>
        <v>-18.17688888888889</v>
      </c>
      <c r="AD9" s="4">
        <f t="shared" si="5"/>
        <v>-15.32088888888889</v>
      </c>
      <c r="AE9" s="4">
        <f t="shared" si="5"/>
        <v>-12.464888888888886</v>
      </c>
      <c r="AF9" s="4">
        <f t="shared" si="5"/>
        <v>-12.464888888888886</v>
      </c>
      <c r="AG9" s="4">
        <f t="shared" si="5"/>
        <v>-9.6088888888888881</v>
      </c>
      <c r="AI9" s="3">
        <f>T9</f>
        <v>0</v>
      </c>
      <c r="AJ9" s="4">
        <f>AI9+U9</f>
        <v>0</v>
      </c>
      <c r="AK9" s="4">
        <f t="shared" ref="AK9:AV9" si="6">AJ9+V9</f>
        <v>0</v>
      </c>
      <c r="AL9" s="4">
        <f t="shared" si="6"/>
        <v>0</v>
      </c>
      <c r="AM9" s="4">
        <f t="shared" si="6"/>
        <v>0</v>
      </c>
      <c r="AN9" s="4">
        <f t="shared" si="6"/>
        <v>-23.888888888888889</v>
      </c>
      <c r="AO9" s="4">
        <f t="shared" si="6"/>
        <v>-47.777777777777779</v>
      </c>
      <c r="AP9" s="4">
        <f t="shared" si="6"/>
        <v>-71.666666666666671</v>
      </c>
      <c r="AQ9" s="4">
        <f t="shared" si="6"/>
        <v>-89.843555555555554</v>
      </c>
      <c r="AR9" s="4">
        <f t="shared" si="6"/>
        <v>-108.02044444444445</v>
      </c>
      <c r="AS9" s="4">
        <f t="shared" si="6"/>
        <v>-123.34133333333334</v>
      </c>
      <c r="AT9" s="4">
        <f t="shared" si="6"/>
        <v>-135.80622222222223</v>
      </c>
      <c r="AU9" s="4">
        <f t="shared" si="6"/>
        <v>-148.27111111111111</v>
      </c>
      <c r="AV9" s="4">
        <f t="shared" si="6"/>
        <v>-157.88</v>
      </c>
    </row>
    <row r="10" spans="2:48">
      <c r="B10" s="65" t="s">
        <v>158</v>
      </c>
      <c r="C10" s="94">
        <f>SUM(C7:C8)</f>
        <v>102</v>
      </c>
      <c r="D10" s="94">
        <f>SUM(D7:D8)</f>
        <v>409.19999999999993</v>
      </c>
      <c r="E10" s="94">
        <f>SUM(E7:E8)</f>
        <v>786.59999999999991</v>
      </c>
      <c r="J10" s="65" t="s">
        <v>158</v>
      </c>
      <c r="K10" s="94">
        <f>SUM(K7:K8)</f>
        <v>71.400000000000006</v>
      </c>
      <c r="L10" s="94">
        <f>SUM(L7:L8)</f>
        <v>286.44</v>
      </c>
      <c r="M10" s="94">
        <f>SUM(M7:M8)</f>
        <v>550.61999999999989</v>
      </c>
    </row>
    <row r="11" spans="2:48">
      <c r="B11" s="66" t="s">
        <v>160</v>
      </c>
      <c r="C11" s="67">
        <f>C10/C$7</f>
        <v>0.85</v>
      </c>
      <c r="D11" s="67">
        <f>D10/D$7</f>
        <v>0.85249999999999981</v>
      </c>
      <c r="E11" s="67">
        <f>E10/E$7</f>
        <v>0.85499999999999987</v>
      </c>
      <c r="J11" s="66" t="s">
        <v>160</v>
      </c>
      <c r="K11" s="67">
        <f>K10/K$7</f>
        <v>0.85000000000000009</v>
      </c>
      <c r="L11" s="67">
        <f>L10/L$7</f>
        <v>0.85250000000000004</v>
      </c>
      <c r="M11" s="67">
        <f>M10/M$7</f>
        <v>0.85499999999999987</v>
      </c>
      <c r="S11" t="s">
        <v>187</v>
      </c>
      <c r="Y11" s="4">
        <f>-($K25+$K7*10%)/9+Y7*10%-$K26/9</f>
        <v>23.888888888888889</v>
      </c>
      <c r="Z11" s="4">
        <f t="shared" ref="Z11:AG11" si="7">-($K25+$K7*10%)/9+Z7*10%-$K26/9</f>
        <v>23.888888888888889</v>
      </c>
      <c r="AA11" s="4">
        <f t="shared" si="7"/>
        <v>23.888888888888889</v>
      </c>
      <c r="AB11" s="4">
        <f t="shared" si="7"/>
        <v>24.728888888888889</v>
      </c>
      <c r="AC11" s="4">
        <f t="shared" si="7"/>
        <v>24.728888888888889</v>
      </c>
      <c r="AD11" s="4">
        <f t="shared" si="7"/>
        <v>25.148888888888891</v>
      </c>
      <c r="AE11" s="4">
        <f t="shared" si="7"/>
        <v>25.568888888888889</v>
      </c>
      <c r="AF11" s="4">
        <f t="shared" si="7"/>
        <v>25.568888888888889</v>
      </c>
      <c r="AG11" s="4">
        <f t="shared" si="7"/>
        <v>25.988888888888891</v>
      </c>
      <c r="AI11" s="3">
        <f>T11</f>
        <v>0</v>
      </c>
      <c r="AJ11" s="4">
        <f>AI11+U11</f>
        <v>0</v>
      </c>
      <c r="AK11" s="4">
        <f t="shared" ref="AK11:AV11" si="8">AJ11+V11</f>
        <v>0</v>
      </c>
      <c r="AL11" s="4">
        <f t="shared" si="8"/>
        <v>0</v>
      </c>
      <c r="AM11" s="4">
        <f t="shared" si="8"/>
        <v>0</v>
      </c>
      <c r="AN11" s="4">
        <f t="shared" si="8"/>
        <v>23.888888888888889</v>
      </c>
      <c r="AO11" s="4">
        <f t="shared" si="8"/>
        <v>47.777777777777779</v>
      </c>
      <c r="AP11" s="4">
        <f t="shared" si="8"/>
        <v>71.666666666666671</v>
      </c>
      <c r="AQ11" s="4">
        <f t="shared" si="8"/>
        <v>96.395555555555561</v>
      </c>
      <c r="AR11" s="4">
        <f t="shared" si="8"/>
        <v>121.12444444444445</v>
      </c>
      <c r="AS11" s="4">
        <f t="shared" si="8"/>
        <v>146.27333333333334</v>
      </c>
      <c r="AT11" s="4">
        <f t="shared" si="8"/>
        <v>171.84222222222223</v>
      </c>
      <c r="AU11" s="4">
        <f t="shared" si="8"/>
        <v>197.41111111111113</v>
      </c>
      <c r="AV11" s="4">
        <f t="shared" si="8"/>
        <v>223.4</v>
      </c>
    </row>
    <row r="12" spans="2:48">
      <c r="B12" s="49"/>
      <c r="C12" s="3"/>
      <c r="D12" s="3"/>
      <c r="E12" s="3"/>
      <c r="J12" s="49"/>
      <c r="K12" s="3"/>
      <c r="L12" s="3"/>
      <c r="M12" s="3"/>
    </row>
    <row r="13" spans="2:48">
      <c r="B13" t="s">
        <v>162</v>
      </c>
      <c r="C13" s="91">
        <f>-C7*'Other COS'!$C$17</f>
        <v>-8.4</v>
      </c>
      <c r="D13" s="91">
        <f>-D7*'Other COS'!$C$17</f>
        <v>-33.6</v>
      </c>
      <c r="E13" s="91">
        <f>-E7*'Other COS'!$C$17</f>
        <v>-64.400000000000006</v>
      </c>
      <c r="J13" t="s">
        <v>162</v>
      </c>
      <c r="K13" s="91">
        <f t="shared" ref="K13:M14" si="9">C13*(1+$H$7)</f>
        <v>-5.88</v>
      </c>
      <c r="L13" s="91">
        <f t="shared" si="9"/>
        <v>-23.52</v>
      </c>
      <c r="M13" s="91">
        <f t="shared" si="9"/>
        <v>-45.08</v>
      </c>
    </row>
    <row r="14" spans="2:48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f t="shared" si="9"/>
        <v>0</v>
      </c>
      <c r="L14" s="91">
        <f t="shared" si="9"/>
        <v>0</v>
      </c>
      <c r="M14" s="91">
        <f t="shared" si="9"/>
        <v>0</v>
      </c>
    </row>
    <row r="15" spans="2:48">
      <c r="B15" s="49"/>
      <c r="C15" s="3"/>
      <c r="D15" s="3"/>
      <c r="E15" s="3"/>
      <c r="J15" s="49"/>
      <c r="K15" s="3"/>
      <c r="L15" s="3"/>
      <c r="M15" s="3"/>
    </row>
    <row r="16" spans="2:48">
      <c r="B16" s="65" t="s">
        <v>166</v>
      </c>
      <c r="C16" s="94">
        <f>SUM(C10,C13:C14)</f>
        <v>93.6</v>
      </c>
      <c r="D16" s="94">
        <f>SUM(D10,D13:D14)</f>
        <v>375.59999999999991</v>
      </c>
      <c r="E16" s="94">
        <f>SUM(E10,E13:E14)</f>
        <v>722.19999999999993</v>
      </c>
      <c r="J16" s="65" t="s">
        <v>166</v>
      </c>
      <c r="K16" s="94">
        <f>SUM(K10,K13:K14)</f>
        <v>65.52000000000001</v>
      </c>
      <c r="L16" s="94">
        <f>SUM(L10,L13:L14)</f>
        <v>262.92</v>
      </c>
      <c r="M16" s="94">
        <f>SUM(M10,M13:M14)</f>
        <v>505.53999999999991</v>
      </c>
    </row>
    <row r="17" spans="2:17">
      <c r="B17" s="66" t="s">
        <v>167</v>
      </c>
      <c r="C17" s="67">
        <f>C16/C$7</f>
        <v>0.77999999999999992</v>
      </c>
      <c r="D17" s="67">
        <f>D16/D$7</f>
        <v>0.78249999999999986</v>
      </c>
      <c r="E17" s="67">
        <f>E16/E$7</f>
        <v>0.78499999999999992</v>
      </c>
      <c r="J17" s="66" t="s">
        <v>167</v>
      </c>
      <c r="K17" s="67">
        <f>K16/K$7</f>
        <v>0.78000000000000014</v>
      </c>
      <c r="L17" s="67">
        <f>L16/L$7</f>
        <v>0.78250000000000008</v>
      </c>
      <c r="M17" s="67">
        <f>M16/M$7</f>
        <v>0.78499999999999981</v>
      </c>
    </row>
    <row r="18" spans="2:17">
      <c r="B18" s="49"/>
      <c r="C18" s="3"/>
      <c r="D18" s="3"/>
      <c r="E18" s="3"/>
      <c r="J18" s="49"/>
      <c r="K18" s="3"/>
      <c r="L18" s="3"/>
      <c r="M18" s="3"/>
    </row>
    <row r="19" spans="2:17">
      <c r="B19" t="s">
        <v>168</v>
      </c>
      <c r="C19" s="91">
        <v>0</v>
      </c>
      <c r="D19" s="91">
        <v>0</v>
      </c>
      <c r="E19" s="91">
        <v>0</v>
      </c>
      <c r="J19" t="s">
        <v>168</v>
      </c>
      <c r="K19" s="91">
        <f t="shared" ref="K19:M20" si="10">C19</f>
        <v>0</v>
      </c>
      <c r="L19" s="91">
        <f t="shared" si="10"/>
        <v>0</v>
      </c>
      <c r="M19" s="91">
        <f t="shared" si="10"/>
        <v>0</v>
      </c>
    </row>
    <row r="20" spans="2:17">
      <c r="B20" t="s">
        <v>169</v>
      </c>
      <c r="C20" s="91">
        <v>0</v>
      </c>
      <c r="D20" s="91">
        <v>0</v>
      </c>
      <c r="E20" s="91">
        <v>0</v>
      </c>
      <c r="J20" t="s">
        <v>169</v>
      </c>
      <c r="K20" s="91">
        <f t="shared" si="10"/>
        <v>0</v>
      </c>
      <c r="L20" s="91">
        <f t="shared" si="10"/>
        <v>0</v>
      </c>
      <c r="M20" s="91">
        <f t="shared" si="10"/>
        <v>0</v>
      </c>
    </row>
    <row r="21" spans="2:17">
      <c r="B21" s="49"/>
      <c r="C21" s="3"/>
      <c r="D21" s="3"/>
      <c r="E21" s="3"/>
      <c r="J21" s="49"/>
      <c r="K21" s="3"/>
      <c r="L21" s="3"/>
      <c r="M21" s="3"/>
    </row>
    <row r="22" spans="2:17">
      <c r="B22" s="65" t="s">
        <v>170</v>
      </c>
      <c r="C22" s="94">
        <f>SUM(C16,C19:C20)</f>
        <v>93.6</v>
      </c>
      <c r="D22" s="94">
        <f>SUM(D16,D19:D20)</f>
        <v>375.59999999999991</v>
      </c>
      <c r="E22" s="94">
        <f>SUM(E16,E19:E20)</f>
        <v>722.19999999999993</v>
      </c>
      <c r="J22" s="65" t="s">
        <v>170</v>
      </c>
      <c r="K22" s="94">
        <f>SUM(K16,K19:K20)</f>
        <v>65.52000000000001</v>
      </c>
      <c r="L22" s="94">
        <f>SUM(L16,L19:L20)</f>
        <v>262.92</v>
      </c>
      <c r="M22" s="94">
        <f>SUM(M16,M19:M20)</f>
        <v>505.53999999999991</v>
      </c>
    </row>
    <row r="23" spans="2:17">
      <c r="B23" s="66" t="s">
        <v>171</v>
      </c>
      <c r="C23" s="67">
        <f>C22/C$7</f>
        <v>0.77999999999999992</v>
      </c>
      <c r="D23" s="67">
        <f>D22/D$7</f>
        <v>0.78249999999999986</v>
      </c>
      <c r="E23" s="67">
        <f>E22/E$7</f>
        <v>0.78499999999999992</v>
      </c>
      <c r="J23" s="66" t="s">
        <v>171</v>
      </c>
      <c r="K23" s="67">
        <f>K22/K$7</f>
        <v>0.78000000000000014</v>
      </c>
      <c r="L23" s="67">
        <f>L22/L$7</f>
        <v>0.78250000000000008</v>
      </c>
      <c r="M23" s="67">
        <f>M22/M$7</f>
        <v>0.78499999999999981</v>
      </c>
    </row>
    <row r="24" spans="2:17">
      <c r="B24" s="49"/>
      <c r="C24" s="3"/>
      <c r="D24" s="3"/>
      <c r="E24" s="3"/>
      <c r="J24" s="49"/>
      <c r="K24" s="3"/>
      <c r="L24" s="3"/>
      <c r="M24" s="3"/>
    </row>
    <row r="25" spans="2:17">
      <c r="B25" t="s">
        <v>172</v>
      </c>
      <c r="C25" s="91">
        <f>-C7*10%-100*2</f>
        <v>-212</v>
      </c>
      <c r="D25" s="91">
        <f>-D7*10%-100*2*1.1</f>
        <v>-268</v>
      </c>
      <c r="E25" s="91">
        <f>-E7*10%-100*2*1.1^2</f>
        <v>-334</v>
      </c>
      <c r="J25" t="s">
        <v>172</v>
      </c>
      <c r="K25" s="91">
        <f>-K7*10%-100*2</f>
        <v>-208.4</v>
      </c>
      <c r="L25" s="91">
        <f>-L7*10%-100*2*1.1</f>
        <v>-253.60000000000002</v>
      </c>
      <c r="M25" s="91">
        <f>-M7*10%-100*2*1.1^2</f>
        <v>-306.40000000000003</v>
      </c>
    </row>
    <row r="26" spans="2:17">
      <c r="B26" t="s">
        <v>173</v>
      </c>
      <c r="C26" s="91">
        <v>-15</v>
      </c>
      <c r="D26" s="91">
        <v>-20</v>
      </c>
      <c r="E26" s="91">
        <v>-22</v>
      </c>
      <c r="J26" t="s">
        <v>173</v>
      </c>
      <c r="K26" s="91">
        <f t="shared" ref="K26:M26" si="11">C26</f>
        <v>-15</v>
      </c>
      <c r="L26" s="91">
        <f t="shared" si="11"/>
        <v>-20</v>
      </c>
      <c r="M26" s="91">
        <f t="shared" si="11"/>
        <v>-22</v>
      </c>
    </row>
    <row r="27" spans="2:17">
      <c r="B27" s="49"/>
      <c r="C27" s="3"/>
      <c r="D27" s="3"/>
      <c r="E27" s="3"/>
      <c r="J27" s="49"/>
      <c r="K27" s="3"/>
      <c r="L27" s="3"/>
      <c r="M27" s="3"/>
      <c r="Q27">
        <f>599+1418</f>
        <v>2017</v>
      </c>
    </row>
    <row r="28" spans="2:17">
      <c r="B28" s="65" t="s">
        <v>174</v>
      </c>
      <c r="C28" s="94">
        <f>SUM(C22,C25:C26)</f>
        <v>-133.4</v>
      </c>
      <c r="D28" s="94">
        <f>SUM(D22,D25:D26)</f>
        <v>87.599999999999909</v>
      </c>
      <c r="E28" s="94">
        <f>SUM(E22,E25:E26)</f>
        <v>366.19999999999993</v>
      </c>
      <c r="J28" s="65" t="s">
        <v>174</v>
      </c>
      <c r="K28" s="94">
        <f>SUM(K22,K25:K26)</f>
        <v>-157.88</v>
      </c>
      <c r="L28" s="94">
        <f>SUM(L22,L25:L26)</f>
        <v>-10.680000000000007</v>
      </c>
      <c r="M28" s="94">
        <f>SUM(M22,M25:M26)</f>
        <v>177.13999999999987</v>
      </c>
    </row>
    <row r="29" spans="2:17">
      <c r="B29" s="66" t="s">
        <v>175</v>
      </c>
      <c r="C29" s="67">
        <f>C28/C$7</f>
        <v>-1.1116666666666668</v>
      </c>
      <c r="D29" s="67">
        <f>D28/D$7</f>
        <v>0.1824999999999998</v>
      </c>
      <c r="E29" s="67">
        <f>E28/E$7</f>
        <v>0.3980434782608695</v>
      </c>
      <c r="J29" s="66" t="s">
        <v>175</v>
      </c>
      <c r="K29" s="67">
        <f>K28/K$7</f>
        <v>-1.8795238095238094</v>
      </c>
      <c r="L29" s="67">
        <f>L28/L$7</f>
        <v>-3.1785714285714306E-2</v>
      </c>
      <c r="M29" s="67">
        <f>M28/M$7</f>
        <v>0.27506211180124202</v>
      </c>
    </row>
    <row r="30" spans="2:17">
      <c r="B30" s="49"/>
      <c r="C30" s="3"/>
      <c r="D30" s="3"/>
      <c r="E30" s="3"/>
      <c r="J30" s="49"/>
      <c r="K30" s="3"/>
      <c r="L30" s="3"/>
      <c r="M30" s="3"/>
    </row>
    <row r="31" spans="2:17">
      <c r="B31" t="s">
        <v>176</v>
      </c>
      <c r="C31" s="91">
        <v>0</v>
      </c>
      <c r="D31" s="91">
        <v>0</v>
      </c>
      <c r="E31" s="91">
        <v>0</v>
      </c>
      <c r="J31" t="s">
        <v>176</v>
      </c>
      <c r="K31" s="91">
        <f>C31</f>
        <v>0</v>
      </c>
      <c r="L31" s="91">
        <f t="shared" ref="L31:M31" si="12">D31</f>
        <v>0</v>
      </c>
      <c r="M31" s="91">
        <f t="shared" si="12"/>
        <v>0</v>
      </c>
    </row>
    <row r="32" spans="2:17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-133.4</v>
      </c>
      <c r="D33" s="94">
        <f>SUM(D28,D31)</f>
        <v>87.599999999999909</v>
      </c>
      <c r="E33" s="94">
        <f>SUM(E28,E31)</f>
        <v>366.19999999999993</v>
      </c>
      <c r="J33" s="65" t="s">
        <v>177</v>
      </c>
      <c r="K33" s="94">
        <f>SUM(K28,K31)</f>
        <v>-157.88</v>
      </c>
      <c r="L33" s="94">
        <f>SUM(L28,L31)</f>
        <v>-10.680000000000007</v>
      </c>
      <c r="M33" s="94">
        <f>SUM(M28,M31)</f>
        <v>177.13999999999987</v>
      </c>
    </row>
    <row r="34" spans="2:14">
      <c r="B34" s="66" t="s">
        <v>178</v>
      </c>
      <c r="C34" s="67">
        <f>C33/C$7</f>
        <v>-1.1116666666666668</v>
      </c>
      <c r="D34" s="67">
        <f>D33/D$7</f>
        <v>0.1824999999999998</v>
      </c>
      <c r="E34" s="67">
        <f>E33/E$7</f>
        <v>0.3980434782608695</v>
      </c>
      <c r="J34" s="66" t="s">
        <v>178</v>
      </c>
      <c r="K34" s="67">
        <f>K33/K$7</f>
        <v>-1.8795238095238094</v>
      </c>
      <c r="L34" s="67">
        <f>L33/L$7</f>
        <v>-3.1785714285714306E-2</v>
      </c>
      <c r="M34" s="67">
        <f>M33/M$7</f>
        <v>0.27506211180124202</v>
      </c>
    </row>
    <row r="37" spans="2:14">
      <c r="B37" t="s">
        <v>179</v>
      </c>
      <c r="C37" s="91">
        <f>(C25+C26)*6/12</f>
        <v>-113.5</v>
      </c>
      <c r="F37" t="s">
        <v>188</v>
      </c>
      <c r="J37" t="s">
        <v>179</v>
      </c>
      <c r="K37" s="91">
        <f>(K25+K26)*6/12</f>
        <v>-111.7</v>
      </c>
      <c r="N37" t="s">
        <v>188</v>
      </c>
    </row>
    <row r="44" spans="2:14">
      <c r="B44" t="s">
        <v>181</v>
      </c>
    </row>
    <row r="46" spans="2:14">
      <c r="B46" t="s">
        <v>182</v>
      </c>
      <c r="C46">
        <v>12</v>
      </c>
      <c r="D46">
        <v>16</v>
      </c>
      <c r="E46">
        <v>20</v>
      </c>
    </row>
    <row r="47" spans="2:14">
      <c r="C47" s="9"/>
      <c r="D47" s="57"/>
      <c r="E47" s="9"/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8D92-4A17-4C68-A0D4-91DC7B897723}">
  <sheetPr>
    <tabColor rgb="FF92D050"/>
  </sheetPr>
  <dimension ref="B2:AU54"/>
  <sheetViews>
    <sheetView showGridLines="0" topLeftCell="R22" workbookViewId="0">
      <selection activeCell="AH7" sqref="AH7:AU34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/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C46+'3YP'!E32*C47</f>
        <v>250</v>
      </c>
      <c r="D7" s="93">
        <f>D46+'3YP'!F32*D47</f>
        <v>350</v>
      </c>
      <c r="E7" s="93">
        <f>E46+'3YP'!G32*E47</f>
        <v>500</v>
      </c>
      <c r="H7" s="9">
        <v>-0.5</v>
      </c>
      <c r="J7" s="64" t="s">
        <v>155</v>
      </c>
      <c r="K7" s="93">
        <f>C7*(1+$H$7)</f>
        <v>125</v>
      </c>
      <c r="L7" s="93">
        <f t="shared" ref="L7:M8" si="2">D7*(1+$H$7)</f>
        <v>175</v>
      </c>
      <c r="M7" s="93">
        <f t="shared" si="2"/>
        <v>250</v>
      </c>
      <c r="Y7" s="4">
        <f>$K7*'2026B'!Q32/SUM('2026B'!$Q$32:$X$32)</f>
        <v>11.627906976744185</v>
      </c>
      <c r="Z7" s="4">
        <f>$K7*'2026B'!R32/SUM('2026B'!$Q$32:$X$32)</f>
        <v>8.720930232558139</v>
      </c>
      <c r="AA7" s="4">
        <f>$K7*'2026B'!S32/SUM('2026B'!$Q$32:$X$32)</f>
        <v>8.720930232558139</v>
      </c>
      <c r="AB7" s="4">
        <f>$K7*'2026B'!T32/SUM('2026B'!$Q$32:$X$32)</f>
        <v>8.720930232558139</v>
      </c>
      <c r="AC7" s="4">
        <f>$K7*'2026B'!U32/SUM('2026B'!$Q$32:$X$32)</f>
        <v>36.337209302325583</v>
      </c>
      <c r="AD7" s="4">
        <f>$K7*'2026B'!V32/SUM('2026B'!$Q$32:$X$32)</f>
        <v>21.802325581395348</v>
      </c>
      <c r="AE7" s="4">
        <f>$K7*'2026B'!W32/SUM('2026B'!$Q$32:$X$32)</f>
        <v>14.534883720930232</v>
      </c>
      <c r="AF7" s="4">
        <f>$K7*'2026B'!X32/SUM('2026B'!$Q$32:$X$32)</f>
        <v>14.534883720930232</v>
      </c>
      <c r="AH7">
        <f>S7</f>
        <v>0</v>
      </c>
      <c r="AI7">
        <f>AH7+T7</f>
        <v>0</v>
      </c>
      <c r="AJ7">
        <f t="shared" ref="AJ7:AU7" si="3">AI7+U7</f>
        <v>0</v>
      </c>
      <c r="AK7">
        <f t="shared" si="3"/>
        <v>0</v>
      </c>
      <c r="AL7">
        <f t="shared" si="3"/>
        <v>0</v>
      </c>
      <c r="AM7">
        <f t="shared" si="3"/>
        <v>0</v>
      </c>
      <c r="AN7">
        <f t="shared" si="3"/>
        <v>11.627906976744185</v>
      </c>
      <c r="AO7">
        <f t="shared" si="3"/>
        <v>20.348837209302324</v>
      </c>
      <c r="AP7">
        <f t="shared" si="3"/>
        <v>29.069767441860463</v>
      </c>
      <c r="AQ7">
        <f t="shared" si="3"/>
        <v>37.790697674418603</v>
      </c>
      <c r="AR7">
        <f t="shared" si="3"/>
        <v>74.127906976744185</v>
      </c>
      <c r="AS7">
        <f t="shared" si="3"/>
        <v>95.930232558139537</v>
      </c>
      <c r="AT7">
        <f t="shared" si="3"/>
        <v>110.46511627906978</v>
      </c>
      <c r="AU7">
        <f t="shared" si="3"/>
        <v>125</v>
      </c>
    </row>
    <row r="8" spans="2:47">
      <c r="B8" t="s">
        <v>157</v>
      </c>
      <c r="C8" s="91">
        <f>-C7*(1-COGS!C30)</f>
        <v>-100</v>
      </c>
      <c r="D8" s="91">
        <f>-D7*(1-COGS!D30)</f>
        <v>-139.12500000000003</v>
      </c>
      <c r="E8" s="91">
        <f>-E7*(1-COGS!E30)</f>
        <v>-197.50000000000006</v>
      </c>
      <c r="J8" t="s">
        <v>157</v>
      </c>
      <c r="K8" s="91">
        <f>C8*(1+$H$7)</f>
        <v>-50</v>
      </c>
      <c r="L8" s="91">
        <f t="shared" si="2"/>
        <v>-69.562500000000014</v>
      </c>
      <c r="M8" s="91">
        <f t="shared" si="2"/>
        <v>-98.750000000000028</v>
      </c>
      <c r="Y8" s="91">
        <f>Y7*$K8/$K7</f>
        <v>-4.6511627906976738</v>
      </c>
      <c r="Z8" s="91">
        <f t="shared" ref="Z8:AF8" si="4">Z7*$K8/$K7</f>
        <v>-3.4883720930232558</v>
      </c>
      <c r="AA8" s="91">
        <f t="shared" si="4"/>
        <v>-3.4883720930232558</v>
      </c>
      <c r="AB8" s="91">
        <f t="shared" si="4"/>
        <v>-3.4883720930232558</v>
      </c>
      <c r="AC8" s="91">
        <f t="shared" si="4"/>
        <v>-14.534883720930234</v>
      </c>
      <c r="AD8" s="91">
        <f t="shared" si="4"/>
        <v>-8.720930232558139</v>
      </c>
      <c r="AE8" s="91">
        <f t="shared" si="4"/>
        <v>-5.8139534883720927</v>
      </c>
      <c r="AF8" s="91">
        <f t="shared" si="4"/>
        <v>-5.8139534883720927</v>
      </c>
      <c r="AH8">
        <f t="shared" ref="AH8:AH19" si="5">S8</f>
        <v>0</v>
      </c>
      <c r="AI8">
        <f t="shared" ref="AI8:AI19" si="6">AH8+T8</f>
        <v>0</v>
      </c>
      <c r="AJ8">
        <f t="shared" ref="AJ8:AJ19" si="7">AI8+U8</f>
        <v>0</v>
      </c>
      <c r="AK8">
        <f t="shared" ref="AK8:AK19" si="8">AJ8+V8</f>
        <v>0</v>
      </c>
      <c r="AL8">
        <f t="shared" ref="AL8:AL19" si="9">AK8+W8</f>
        <v>0</v>
      </c>
      <c r="AM8">
        <f t="shared" ref="AM8:AM19" si="10">AL8+X8</f>
        <v>0</v>
      </c>
      <c r="AN8">
        <f t="shared" ref="AN8:AN19" si="11">AM8+Y8</f>
        <v>-4.6511627906976738</v>
      </c>
      <c r="AO8">
        <f t="shared" ref="AO8:AO19" si="12">AN8+Z8</f>
        <v>-8.1395348837209305</v>
      </c>
      <c r="AP8">
        <f t="shared" ref="AP8:AP19" si="13">AO8+AA8</f>
        <v>-11.627906976744185</v>
      </c>
      <c r="AQ8">
        <f t="shared" ref="AQ8:AQ19" si="14">AP8+AB8</f>
        <v>-15.11627906976744</v>
      </c>
      <c r="AR8">
        <f t="shared" ref="AR8:AR19" si="15">AQ8+AC8</f>
        <v>-29.651162790697676</v>
      </c>
      <c r="AS8">
        <f t="shared" ref="AS8:AS19" si="16">AR8+AD8</f>
        <v>-38.372093023255815</v>
      </c>
      <c r="AT8">
        <f t="shared" ref="AT8:AT19" si="17">AS8+AE8</f>
        <v>-44.186046511627907</v>
      </c>
      <c r="AU8">
        <f t="shared" ref="AU8:AU19" si="18">AT8+AF8</f>
        <v>-50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150</v>
      </c>
      <c r="D10" s="94">
        <f>SUM(D7:D8)</f>
        <v>210.87499999999997</v>
      </c>
      <c r="E10" s="94">
        <f>SUM(E7:E8)</f>
        <v>302.49999999999994</v>
      </c>
      <c r="J10" s="65" t="s">
        <v>158</v>
      </c>
      <c r="K10" s="94">
        <f>SUM(K7:K8)</f>
        <v>75</v>
      </c>
      <c r="L10" s="94">
        <f>SUM(L7:L8)</f>
        <v>105.43749999999999</v>
      </c>
      <c r="M10" s="94">
        <f>SUM(M7:M8)</f>
        <v>151.24999999999997</v>
      </c>
      <c r="S10" s="94">
        <f>SUM(S7:S8)</f>
        <v>0</v>
      </c>
      <c r="T10" s="94">
        <f t="shared" ref="T10:AF10" si="19">SUM(T7:T8)</f>
        <v>0</v>
      </c>
      <c r="U10" s="94">
        <f t="shared" si="19"/>
        <v>0</v>
      </c>
      <c r="V10" s="94">
        <f t="shared" si="19"/>
        <v>0</v>
      </c>
      <c r="W10" s="94">
        <f t="shared" si="19"/>
        <v>0</v>
      </c>
      <c r="X10" s="94">
        <f t="shared" si="19"/>
        <v>0</v>
      </c>
      <c r="Y10" s="94">
        <f t="shared" si="19"/>
        <v>6.9767441860465116</v>
      </c>
      <c r="Z10" s="94">
        <f t="shared" si="19"/>
        <v>5.2325581395348832</v>
      </c>
      <c r="AA10" s="94">
        <f t="shared" si="19"/>
        <v>5.2325581395348832</v>
      </c>
      <c r="AB10" s="94">
        <f t="shared" si="19"/>
        <v>5.2325581395348832</v>
      </c>
      <c r="AC10" s="94">
        <f t="shared" si="19"/>
        <v>21.802325581395351</v>
      </c>
      <c r="AD10" s="94">
        <f t="shared" si="19"/>
        <v>13.081395348837209</v>
      </c>
      <c r="AE10" s="94">
        <f t="shared" si="19"/>
        <v>8.720930232558139</v>
      </c>
      <c r="AF10" s="94">
        <f t="shared" si="19"/>
        <v>8.720930232558139</v>
      </c>
      <c r="AH10" s="94">
        <f t="shared" ref="AH10:AU10" si="20">SUM(AH7:AH8)</f>
        <v>0</v>
      </c>
      <c r="AI10" s="94">
        <f t="shared" si="20"/>
        <v>0</v>
      </c>
      <c r="AJ10" s="94">
        <f t="shared" si="20"/>
        <v>0</v>
      </c>
      <c r="AK10" s="94">
        <f t="shared" si="20"/>
        <v>0</v>
      </c>
      <c r="AL10" s="94">
        <f t="shared" si="20"/>
        <v>0</v>
      </c>
      <c r="AM10" s="94">
        <f t="shared" si="20"/>
        <v>0</v>
      </c>
      <c r="AN10" s="94">
        <f t="shared" si="20"/>
        <v>6.9767441860465116</v>
      </c>
      <c r="AO10" s="94">
        <f t="shared" si="20"/>
        <v>12.209302325581394</v>
      </c>
      <c r="AP10" s="94">
        <f t="shared" si="20"/>
        <v>17.441860465116278</v>
      </c>
      <c r="AQ10" s="94">
        <f t="shared" si="20"/>
        <v>22.674418604651162</v>
      </c>
      <c r="AR10" s="94">
        <f t="shared" si="20"/>
        <v>44.47674418604651</v>
      </c>
      <c r="AS10" s="94">
        <f t="shared" si="20"/>
        <v>57.558139534883722</v>
      </c>
      <c r="AT10" s="94">
        <f t="shared" si="20"/>
        <v>66.279069767441868</v>
      </c>
      <c r="AU10" s="94">
        <f t="shared" si="20"/>
        <v>75</v>
      </c>
    </row>
    <row r="11" spans="2:47">
      <c r="B11" s="66" t="s">
        <v>160</v>
      </c>
      <c r="C11" s="67">
        <f>C10/C$7</f>
        <v>0.6</v>
      </c>
      <c r="D11" s="67">
        <f>D10/D$7</f>
        <v>0.60249999999999992</v>
      </c>
      <c r="E11" s="67">
        <f>E10/E$7</f>
        <v>0.60499999999999987</v>
      </c>
      <c r="J11" s="66" t="s">
        <v>160</v>
      </c>
      <c r="K11" s="67">
        <f>K10/K$7</f>
        <v>0.6</v>
      </c>
      <c r="L11" s="67">
        <f>L10/L$7</f>
        <v>0.60249999999999992</v>
      </c>
      <c r="M11" s="67">
        <f>M10/M$7</f>
        <v>0.60499999999999987</v>
      </c>
      <c r="S11" s="67" t="e">
        <f>S10/S$7</f>
        <v>#DIV/0!</v>
      </c>
      <c r="T11" s="67" t="e">
        <f t="shared" ref="T11:AH11" si="21">T10/T$7</f>
        <v>#DIV/0!</v>
      </c>
      <c r="U11" s="67" t="e">
        <f t="shared" si="21"/>
        <v>#DIV/0!</v>
      </c>
      <c r="V11" s="67" t="e">
        <f t="shared" si="21"/>
        <v>#DIV/0!</v>
      </c>
      <c r="W11" s="67" t="e">
        <f t="shared" si="21"/>
        <v>#DIV/0!</v>
      </c>
      <c r="X11" s="67" t="e">
        <f t="shared" si="21"/>
        <v>#DIV/0!</v>
      </c>
      <c r="Y11" s="67">
        <f t="shared" si="21"/>
        <v>0.6</v>
      </c>
      <c r="Z11" s="67">
        <f t="shared" si="21"/>
        <v>0.6</v>
      </c>
      <c r="AA11" s="67">
        <f t="shared" si="21"/>
        <v>0.6</v>
      </c>
      <c r="AB11" s="67">
        <f t="shared" si="21"/>
        <v>0.6</v>
      </c>
      <c r="AC11" s="67">
        <f t="shared" si="21"/>
        <v>0.60000000000000009</v>
      </c>
      <c r="AD11" s="67">
        <f t="shared" si="21"/>
        <v>0.6</v>
      </c>
      <c r="AE11" s="67">
        <f t="shared" si="21"/>
        <v>0.6</v>
      </c>
      <c r="AF11" s="67">
        <f t="shared" si="21"/>
        <v>0.6</v>
      </c>
      <c r="AH11" s="67" t="e">
        <f t="shared" si="21"/>
        <v>#DIV/0!</v>
      </c>
      <c r="AI11" s="67" t="e">
        <f t="shared" ref="AI11" si="22">AI10/AI$7</f>
        <v>#DIV/0!</v>
      </c>
      <c r="AJ11" s="67" t="e">
        <f t="shared" ref="AJ11" si="23">AJ10/AJ$7</f>
        <v>#DIV/0!</v>
      </c>
      <c r="AK11" s="67" t="e">
        <f t="shared" ref="AK11" si="24">AK10/AK$7</f>
        <v>#DIV/0!</v>
      </c>
      <c r="AL11" s="67" t="e">
        <f t="shared" ref="AL11" si="25">AL10/AL$7</f>
        <v>#DIV/0!</v>
      </c>
      <c r="AM11" s="67" t="e">
        <f t="shared" ref="AM11" si="26">AM10/AM$7</f>
        <v>#DIV/0!</v>
      </c>
      <c r="AN11" s="67">
        <f t="shared" ref="AN11" si="27">AN10/AN$7</f>
        <v>0.6</v>
      </c>
      <c r="AO11" s="67">
        <f t="shared" ref="AO11" si="28">AO10/AO$7</f>
        <v>0.6</v>
      </c>
      <c r="AP11" s="67">
        <f t="shared" ref="AP11" si="29">AP10/AP$7</f>
        <v>0.6</v>
      </c>
      <c r="AQ11" s="67">
        <f t="shared" ref="AQ11" si="30">AQ10/AQ$7</f>
        <v>0.6</v>
      </c>
      <c r="AR11" s="67">
        <f t="shared" ref="AR11" si="31">AR10/AR$7</f>
        <v>0.6</v>
      </c>
      <c r="AS11" s="67">
        <f t="shared" ref="AS11" si="32">AS10/AS$7</f>
        <v>0.6</v>
      </c>
      <c r="AT11" s="67">
        <f t="shared" ref="AT11" si="33">AT10/AT$7</f>
        <v>0.6</v>
      </c>
      <c r="AU11" s="67">
        <f t="shared" ref="AU11" si="34">AU10/AU$7</f>
        <v>0.6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COS'!$C$31</f>
        <v>-5</v>
      </c>
      <c r="D13" s="91">
        <f>-D7*'Other COS'!$C$31</f>
        <v>-7</v>
      </c>
      <c r="E13" s="91">
        <f>-E7*'Other COS'!$C$31</f>
        <v>-10</v>
      </c>
      <c r="J13" t="s">
        <v>162</v>
      </c>
      <c r="K13" s="91">
        <f>-K7*'Other COS'!$C$16</f>
        <v>-8.75</v>
      </c>
      <c r="L13" s="91">
        <f>-L7*'Other COS'!$C$16</f>
        <v>-12.250000000000002</v>
      </c>
      <c r="M13" s="91">
        <f>-M7*'Other COS'!$C$16</f>
        <v>-17.5</v>
      </c>
      <c r="Y13" s="91">
        <f>Y7*$K13/$K7</f>
        <v>-0.81395348837209303</v>
      </c>
      <c r="Z13" s="91">
        <f t="shared" ref="Z13:AF13" si="35">Z7*$K13/$K7</f>
        <v>-0.61046511627906974</v>
      </c>
      <c r="AA13" s="91">
        <f t="shared" si="35"/>
        <v>-0.61046511627906974</v>
      </c>
      <c r="AB13" s="91">
        <f t="shared" si="35"/>
        <v>-0.61046511627906974</v>
      </c>
      <c r="AC13" s="91">
        <f t="shared" si="35"/>
        <v>-2.543604651162791</v>
      </c>
      <c r="AD13" s="91">
        <f t="shared" si="35"/>
        <v>-1.5261627906976745</v>
      </c>
      <c r="AE13" s="91">
        <f t="shared" si="35"/>
        <v>-1.0174418604651161</v>
      </c>
      <c r="AF13" s="91">
        <f t="shared" si="35"/>
        <v>-1.0174418604651161</v>
      </c>
      <c r="AH13">
        <f t="shared" si="5"/>
        <v>0</v>
      </c>
      <c r="AI13">
        <f t="shared" si="6"/>
        <v>0</v>
      </c>
      <c r="AJ13">
        <f t="shared" si="7"/>
        <v>0</v>
      </c>
      <c r="AK13">
        <f t="shared" si="8"/>
        <v>0</v>
      </c>
      <c r="AL13">
        <f t="shared" si="9"/>
        <v>0</v>
      </c>
      <c r="AM13">
        <f t="shared" si="10"/>
        <v>0</v>
      </c>
      <c r="AN13">
        <f t="shared" si="11"/>
        <v>-0.81395348837209303</v>
      </c>
      <c r="AO13">
        <f t="shared" si="12"/>
        <v>-1.4244186046511627</v>
      </c>
      <c r="AP13">
        <f t="shared" si="13"/>
        <v>-2.0348837209302326</v>
      </c>
      <c r="AQ13">
        <f t="shared" si="14"/>
        <v>-2.6453488372093021</v>
      </c>
      <c r="AR13">
        <f t="shared" si="15"/>
        <v>-5.1889534883720927</v>
      </c>
      <c r="AS13">
        <f t="shared" si="16"/>
        <v>-6.7151162790697674</v>
      </c>
      <c r="AT13">
        <f t="shared" si="17"/>
        <v>-7.7325581395348832</v>
      </c>
      <c r="AU13">
        <f t="shared" si="18"/>
        <v>-8.75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145</v>
      </c>
      <c r="D16" s="94">
        <f>SUM(D10,D13:D14)</f>
        <v>203.87499999999997</v>
      </c>
      <c r="E16" s="94">
        <f>SUM(E10,E13:E14)</f>
        <v>292.49999999999994</v>
      </c>
      <c r="J16" s="65" t="s">
        <v>166</v>
      </c>
      <c r="K16" s="94">
        <f>SUM(K10,K13:K14)</f>
        <v>66.25</v>
      </c>
      <c r="L16" s="94">
        <f>SUM(L10,L13:L14)</f>
        <v>93.187499999999986</v>
      </c>
      <c r="M16" s="94">
        <f>SUM(M10,M13:M14)</f>
        <v>133.74999999999997</v>
      </c>
      <c r="S16" s="94">
        <f t="shared" ref="S16:AF16" si="36">SUM(S10,S13:S14)</f>
        <v>0</v>
      </c>
      <c r="T16" s="94">
        <f t="shared" si="36"/>
        <v>0</v>
      </c>
      <c r="U16" s="94">
        <f t="shared" si="36"/>
        <v>0</v>
      </c>
      <c r="V16" s="94">
        <f t="shared" si="36"/>
        <v>0</v>
      </c>
      <c r="W16" s="94">
        <f t="shared" si="36"/>
        <v>0</v>
      </c>
      <c r="X16" s="94">
        <f t="shared" si="36"/>
        <v>0</v>
      </c>
      <c r="Y16" s="94">
        <f t="shared" si="36"/>
        <v>6.1627906976744189</v>
      </c>
      <c r="Z16" s="94">
        <f t="shared" si="36"/>
        <v>4.6220930232558137</v>
      </c>
      <c r="AA16" s="94">
        <f t="shared" si="36"/>
        <v>4.6220930232558137</v>
      </c>
      <c r="AB16" s="94">
        <f t="shared" si="36"/>
        <v>4.6220930232558137</v>
      </c>
      <c r="AC16" s="94">
        <f t="shared" si="36"/>
        <v>19.25872093023256</v>
      </c>
      <c r="AD16" s="94">
        <f t="shared" si="36"/>
        <v>11.555232558139535</v>
      </c>
      <c r="AE16" s="94">
        <f t="shared" si="36"/>
        <v>7.7034883720930232</v>
      </c>
      <c r="AF16" s="94">
        <f t="shared" si="36"/>
        <v>7.7034883720930232</v>
      </c>
      <c r="AH16" s="94">
        <f t="shared" ref="AH16:AU16" si="37">SUM(AH10,AH13:AH14)</f>
        <v>0</v>
      </c>
      <c r="AI16" s="94">
        <f t="shared" si="37"/>
        <v>0</v>
      </c>
      <c r="AJ16" s="94">
        <f t="shared" si="37"/>
        <v>0</v>
      </c>
      <c r="AK16" s="94">
        <f t="shared" si="37"/>
        <v>0</v>
      </c>
      <c r="AL16" s="94">
        <f t="shared" si="37"/>
        <v>0</v>
      </c>
      <c r="AM16" s="94">
        <f t="shared" si="37"/>
        <v>0</v>
      </c>
      <c r="AN16" s="94">
        <f t="shared" si="37"/>
        <v>6.1627906976744189</v>
      </c>
      <c r="AO16" s="94">
        <f t="shared" si="37"/>
        <v>10.784883720930232</v>
      </c>
      <c r="AP16" s="94">
        <f t="shared" si="37"/>
        <v>15.406976744186046</v>
      </c>
      <c r="AQ16" s="94">
        <f t="shared" si="37"/>
        <v>20.029069767441861</v>
      </c>
      <c r="AR16" s="94">
        <f t="shared" si="37"/>
        <v>39.287790697674417</v>
      </c>
      <c r="AS16" s="94">
        <f t="shared" si="37"/>
        <v>50.843023255813954</v>
      </c>
      <c r="AT16" s="94">
        <f t="shared" si="37"/>
        <v>58.546511627906987</v>
      </c>
      <c r="AU16" s="94">
        <f t="shared" si="37"/>
        <v>66.25</v>
      </c>
    </row>
    <row r="17" spans="2:47">
      <c r="B17" s="66" t="s">
        <v>167</v>
      </c>
      <c r="C17" s="67">
        <f>C16/C$7</f>
        <v>0.57999999999999996</v>
      </c>
      <c r="D17" s="67">
        <f>D16/D$7</f>
        <v>0.58249999999999991</v>
      </c>
      <c r="E17" s="67">
        <f>E16/E$7</f>
        <v>0.58499999999999985</v>
      </c>
      <c r="J17" s="66" t="s">
        <v>167</v>
      </c>
      <c r="K17" s="67">
        <f>K16/K$7</f>
        <v>0.53</v>
      </c>
      <c r="L17" s="67">
        <f>L16/L$7</f>
        <v>0.53249999999999997</v>
      </c>
      <c r="M17" s="67">
        <f>M16/M$7</f>
        <v>0.53499999999999992</v>
      </c>
      <c r="S17" s="67" t="e">
        <f t="shared" ref="S17:AH17" si="38">S16/S$7</f>
        <v>#DIV/0!</v>
      </c>
      <c r="T17" s="67" t="e">
        <f t="shared" si="38"/>
        <v>#DIV/0!</v>
      </c>
      <c r="U17" s="67" t="e">
        <f t="shared" si="38"/>
        <v>#DIV/0!</v>
      </c>
      <c r="V17" s="67" t="e">
        <f t="shared" si="38"/>
        <v>#DIV/0!</v>
      </c>
      <c r="W17" s="67" t="e">
        <f t="shared" si="38"/>
        <v>#DIV/0!</v>
      </c>
      <c r="X17" s="67" t="e">
        <f t="shared" si="38"/>
        <v>#DIV/0!</v>
      </c>
      <c r="Y17" s="67">
        <f t="shared" si="38"/>
        <v>0.53</v>
      </c>
      <c r="Z17" s="67">
        <f t="shared" si="38"/>
        <v>0.53</v>
      </c>
      <c r="AA17" s="67">
        <f t="shared" si="38"/>
        <v>0.53</v>
      </c>
      <c r="AB17" s="67">
        <f t="shared" si="38"/>
        <v>0.53</v>
      </c>
      <c r="AC17" s="67">
        <f t="shared" si="38"/>
        <v>0.53</v>
      </c>
      <c r="AD17" s="67">
        <f t="shared" si="38"/>
        <v>0.53</v>
      </c>
      <c r="AE17" s="67">
        <f t="shared" si="38"/>
        <v>0.53</v>
      </c>
      <c r="AF17" s="67">
        <f t="shared" si="38"/>
        <v>0.53</v>
      </c>
      <c r="AH17" s="67" t="e">
        <f t="shared" si="38"/>
        <v>#DIV/0!</v>
      </c>
      <c r="AI17" s="67" t="e">
        <f t="shared" ref="AI17" si="39">AI16/AI$7</f>
        <v>#DIV/0!</v>
      </c>
      <c r="AJ17" s="67" t="e">
        <f t="shared" ref="AJ17" si="40">AJ16/AJ$7</f>
        <v>#DIV/0!</v>
      </c>
      <c r="AK17" s="67" t="e">
        <f t="shared" ref="AK17" si="41">AK16/AK$7</f>
        <v>#DIV/0!</v>
      </c>
      <c r="AL17" s="67" t="e">
        <f t="shared" ref="AL17" si="42">AL16/AL$7</f>
        <v>#DIV/0!</v>
      </c>
      <c r="AM17" s="67" t="e">
        <f t="shared" ref="AM17" si="43">AM16/AM$7</f>
        <v>#DIV/0!</v>
      </c>
      <c r="AN17" s="67">
        <f t="shared" ref="AN17" si="44">AN16/AN$7</f>
        <v>0.53</v>
      </c>
      <c r="AO17" s="67">
        <f t="shared" ref="AO17" si="45">AO16/AO$7</f>
        <v>0.53</v>
      </c>
      <c r="AP17" s="67">
        <f t="shared" ref="AP17" si="46">AP16/AP$7</f>
        <v>0.53</v>
      </c>
      <c r="AQ17" s="67">
        <f t="shared" ref="AQ17" si="47">AQ16/AQ$7</f>
        <v>0.53</v>
      </c>
      <c r="AR17" s="67">
        <f t="shared" ref="AR17" si="48">AR16/AR$7</f>
        <v>0.53</v>
      </c>
      <c r="AS17" s="67">
        <f t="shared" ref="AS17" si="49">AS16/AS$7</f>
        <v>0.53</v>
      </c>
      <c r="AT17" s="67">
        <f t="shared" ref="AT17" si="50">AT16/AT$7</f>
        <v>0.53</v>
      </c>
      <c r="AU17" s="67">
        <f t="shared" ref="AU17" si="51">AU16/AU$7</f>
        <v>0.53</v>
      </c>
    </row>
    <row r="18" spans="2:47">
      <c r="B18" s="49"/>
      <c r="C18" s="3"/>
      <c r="D18" s="3"/>
      <c r="E18" s="3"/>
      <c r="J18" s="49"/>
      <c r="K18" s="3"/>
      <c r="L18" s="3"/>
      <c r="M18" s="3"/>
    </row>
    <row r="19" spans="2:47">
      <c r="B19" t="s">
        <v>168</v>
      </c>
      <c r="C19" s="91">
        <f>C49</f>
        <v>-100</v>
      </c>
      <c r="D19" s="91">
        <f t="shared" ref="D19:E19" si="52">D49</f>
        <v>-100</v>
      </c>
      <c r="E19" s="91">
        <f t="shared" si="52"/>
        <v>-100</v>
      </c>
      <c r="J19" t="s">
        <v>168</v>
      </c>
      <c r="K19" s="91">
        <f t="shared" ref="K19:M20" si="53">C19</f>
        <v>-100</v>
      </c>
      <c r="L19" s="91">
        <f t="shared" si="53"/>
        <v>-100</v>
      </c>
      <c r="M19" s="91">
        <f t="shared" si="53"/>
        <v>-100</v>
      </c>
      <c r="X19" s="91">
        <f>K19*30%</f>
        <v>-30</v>
      </c>
      <c r="Y19" s="91"/>
      <c r="AB19" s="91">
        <f>K19*60%</f>
        <v>-60</v>
      </c>
      <c r="AC19" s="91"/>
      <c r="AE19" s="91">
        <f>K19*10%</f>
        <v>-10</v>
      </c>
      <c r="AH19">
        <f t="shared" si="5"/>
        <v>0</v>
      </c>
      <c r="AI19">
        <f t="shared" si="6"/>
        <v>0</v>
      </c>
      <c r="AJ19">
        <f t="shared" si="7"/>
        <v>0</v>
      </c>
      <c r="AK19">
        <f t="shared" si="8"/>
        <v>0</v>
      </c>
      <c r="AL19">
        <f t="shared" si="9"/>
        <v>0</v>
      </c>
      <c r="AM19">
        <f t="shared" si="10"/>
        <v>-30</v>
      </c>
      <c r="AN19">
        <f t="shared" si="11"/>
        <v>-30</v>
      </c>
      <c r="AO19">
        <f t="shared" si="12"/>
        <v>-30</v>
      </c>
      <c r="AP19">
        <f t="shared" si="13"/>
        <v>-30</v>
      </c>
      <c r="AQ19">
        <f t="shared" si="14"/>
        <v>-90</v>
      </c>
      <c r="AR19">
        <f t="shared" si="15"/>
        <v>-90</v>
      </c>
      <c r="AS19">
        <f t="shared" si="16"/>
        <v>-90</v>
      </c>
      <c r="AT19">
        <f t="shared" si="17"/>
        <v>-100</v>
      </c>
      <c r="AU19">
        <f t="shared" si="18"/>
        <v>-100</v>
      </c>
    </row>
    <row r="20" spans="2:47">
      <c r="B20" t="s">
        <v>169</v>
      </c>
      <c r="C20" s="91">
        <f>C50</f>
        <v>0</v>
      </c>
      <c r="D20" s="91">
        <f t="shared" ref="D20:E20" si="54">D50</f>
        <v>0</v>
      </c>
      <c r="E20" s="91">
        <f t="shared" si="54"/>
        <v>0</v>
      </c>
      <c r="J20" t="s">
        <v>169</v>
      </c>
      <c r="K20" s="91">
        <f t="shared" si="53"/>
        <v>0</v>
      </c>
      <c r="L20" s="91">
        <f t="shared" si="53"/>
        <v>0</v>
      </c>
      <c r="M20" s="91">
        <f t="shared" si="53"/>
        <v>0</v>
      </c>
    </row>
    <row r="21" spans="2:47">
      <c r="B21" s="49"/>
      <c r="C21" s="3"/>
      <c r="D21" s="3"/>
      <c r="E21" s="3"/>
      <c r="J21" s="49"/>
      <c r="K21" s="3"/>
      <c r="L21" s="3"/>
      <c r="M21" s="3"/>
    </row>
    <row r="22" spans="2:47">
      <c r="B22" s="65" t="s">
        <v>170</v>
      </c>
      <c r="C22" s="94">
        <f>SUM(C16,C19:C20)</f>
        <v>45</v>
      </c>
      <c r="D22" s="94">
        <f>SUM(D16,D19:D20)</f>
        <v>103.87499999999997</v>
      </c>
      <c r="E22" s="94">
        <f>SUM(E16,E19:E20)</f>
        <v>192.49999999999994</v>
      </c>
      <c r="J22" s="65" t="s">
        <v>170</v>
      </c>
      <c r="K22" s="94">
        <f>SUM(K16,K19:K20)</f>
        <v>-33.75</v>
      </c>
      <c r="L22" s="94">
        <f>SUM(L16,L19:L20)</f>
        <v>-6.8125000000000142</v>
      </c>
      <c r="M22" s="94">
        <f>SUM(M16,M19:M20)</f>
        <v>33.749999999999972</v>
      </c>
      <c r="S22" s="94">
        <f t="shared" ref="S22:AF22" si="55">SUM(S16,S19:S20)</f>
        <v>0</v>
      </c>
      <c r="T22" s="94">
        <f t="shared" si="55"/>
        <v>0</v>
      </c>
      <c r="U22" s="94">
        <f t="shared" si="55"/>
        <v>0</v>
      </c>
      <c r="V22" s="94">
        <f t="shared" si="55"/>
        <v>0</v>
      </c>
      <c r="W22" s="94">
        <f t="shared" si="55"/>
        <v>0</v>
      </c>
      <c r="X22" s="94">
        <f t="shared" si="55"/>
        <v>-30</v>
      </c>
      <c r="Y22" s="94">
        <f t="shared" si="55"/>
        <v>6.1627906976744189</v>
      </c>
      <c r="Z22" s="94">
        <f t="shared" si="55"/>
        <v>4.6220930232558137</v>
      </c>
      <c r="AA22" s="94">
        <f t="shared" si="55"/>
        <v>4.6220930232558137</v>
      </c>
      <c r="AB22" s="94">
        <f t="shared" si="55"/>
        <v>-55.377906976744185</v>
      </c>
      <c r="AC22" s="94">
        <f t="shared" si="55"/>
        <v>19.25872093023256</v>
      </c>
      <c r="AD22" s="94">
        <f t="shared" si="55"/>
        <v>11.555232558139535</v>
      </c>
      <c r="AE22" s="94">
        <f t="shared" si="55"/>
        <v>-2.2965116279069768</v>
      </c>
      <c r="AF22" s="94">
        <f t="shared" si="55"/>
        <v>7.7034883720930232</v>
      </c>
      <c r="AH22" s="94">
        <f t="shared" ref="AH22:AU22" si="56">SUM(AH16,AH19:AH20)</f>
        <v>0</v>
      </c>
      <c r="AI22" s="94">
        <f t="shared" si="56"/>
        <v>0</v>
      </c>
      <c r="AJ22" s="94">
        <f t="shared" si="56"/>
        <v>0</v>
      </c>
      <c r="AK22" s="94">
        <f t="shared" si="56"/>
        <v>0</v>
      </c>
      <c r="AL22" s="94">
        <f t="shared" si="56"/>
        <v>0</v>
      </c>
      <c r="AM22" s="94">
        <f t="shared" si="56"/>
        <v>-30</v>
      </c>
      <c r="AN22" s="94">
        <f t="shared" si="56"/>
        <v>-23.837209302325583</v>
      </c>
      <c r="AO22" s="94">
        <f t="shared" si="56"/>
        <v>-19.215116279069768</v>
      </c>
      <c r="AP22" s="94">
        <f t="shared" si="56"/>
        <v>-14.593023255813954</v>
      </c>
      <c r="AQ22" s="94">
        <f t="shared" si="56"/>
        <v>-69.970930232558146</v>
      </c>
      <c r="AR22" s="94">
        <f t="shared" si="56"/>
        <v>-50.712209302325583</v>
      </c>
      <c r="AS22" s="94">
        <f t="shared" si="56"/>
        <v>-39.156976744186046</v>
      </c>
      <c r="AT22" s="94">
        <f t="shared" si="56"/>
        <v>-41.453488372093013</v>
      </c>
      <c r="AU22" s="94">
        <f t="shared" si="56"/>
        <v>-33.75</v>
      </c>
    </row>
    <row r="23" spans="2:47">
      <c r="B23" s="66" t="s">
        <v>171</v>
      </c>
      <c r="C23" s="67">
        <f>C22/C$7</f>
        <v>0.18</v>
      </c>
      <c r="D23" s="67">
        <f>D22/D$7</f>
        <v>0.29678571428571421</v>
      </c>
      <c r="E23" s="67">
        <f>E22/E$7</f>
        <v>0.3849999999999999</v>
      </c>
      <c r="J23" s="66" t="s">
        <v>171</v>
      </c>
      <c r="K23" s="67">
        <f>K22/K$7</f>
        <v>-0.27</v>
      </c>
      <c r="L23" s="67">
        <f>L22/L$7</f>
        <v>-3.8928571428571507E-2</v>
      </c>
      <c r="M23" s="67">
        <f>M22/M$7</f>
        <v>0.1349999999999999</v>
      </c>
      <c r="S23" s="67" t="e">
        <f t="shared" ref="S23:AH23" si="57">S22/S$7</f>
        <v>#DIV/0!</v>
      </c>
      <c r="T23" s="67" t="e">
        <f t="shared" si="57"/>
        <v>#DIV/0!</v>
      </c>
      <c r="U23" s="67" t="e">
        <f t="shared" si="57"/>
        <v>#DIV/0!</v>
      </c>
      <c r="V23" s="67" t="e">
        <f t="shared" si="57"/>
        <v>#DIV/0!</v>
      </c>
      <c r="W23" s="67" t="e">
        <f t="shared" si="57"/>
        <v>#DIV/0!</v>
      </c>
      <c r="X23" s="67" t="e">
        <f t="shared" si="57"/>
        <v>#DIV/0!</v>
      </c>
      <c r="Y23" s="67">
        <f t="shared" si="57"/>
        <v>0.53</v>
      </c>
      <c r="Z23" s="67">
        <f t="shared" si="57"/>
        <v>0.53</v>
      </c>
      <c r="AA23" s="67">
        <f t="shared" si="57"/>
        <v>0.53</v>
      </c>
      <c r="AB23" s="67">
        <f t="shared" si="57"/>
        <v>-6.3500000000000005</v>
      </c>
      <c r="AC23" s="67">
        <f t="shared" si="57"/>
        <v>0.53</v>
      </c>
      <c r="AD23" s="67">
        <f t="shared" si="57"/>
        <v>0.53</v>
      </c>
      <c r="AE23" s="67">
        <f t="shared" si="57"/>
        <v>-0.158</v>
      </c>
      <c r="AF23" s="67">
        <f t="shared" si="57"/>
        <v>0.53</v>
      </c>
      <c r="AH23" s="67" t="e">
        <f t="shared" si="57"/>
        <v>#DIV/0!</v>
      </c>
      <c r="AI23" s="67" t="e">
        <f t="shared" ref="AI23" si="58">AI22/AI$7</f>
        <v>#DIV/0!</v>
      </c>
      <c r="AJ23" s="67" t="e">
        <f t="shared" ref="AJ23" si="59">AJ22/AJ$7</f>
        <v>#DIV/0!</v>
      </c>
      <c r="AK23" s="67" t="e">
        <f t="shared" ref="AK23" si="60">AK22/AK$7</f>
        <v>#DIV/0!</v>
      </c>
      <c r="AL23" s="67" t="e">
        <f t="shared" ref="AL23" si="61">AL22/AL$7</f>
        <v>#DIV/0!</v>
      </c>
      <c r="AM23" s="67" t="e">
        <f t="shared" ref="AM23" si="62">AM22/AM$7</f>
        <v>#DIV/0!</v>
      </c>
      <c r="AN23" s="67">
        <f t="shared" ref="AN23" si="63">AN22/AN$7</f>
        <v>-2.0500000000000003</v>
      </c>
      <c r="AO23" s="67">
        <f t="shared" ref="AO23" si="64">AO22/AO$7</f>
        <v>-0.94428571428571439</v>
      </c>
      <c r="AP23" s="67">
        <f t="shared" ref="AP23" si="65">AP22/AP$7</f>
        <v>-0.502</v>
      </c>
      <c r="AQ23" s="67">
        <f t="shared" ref="AQ23" si="66">AQ22/AQ$7</f>
        <v>-1.8515384615384618</v>
      </c>
      <c r="AR23" s="67">
        <f t="shared" ref="AR23" si="67">AR22/AR$7</f>
        <v>-0.68411764705882361</v>
      </c>
      <c r="AS23" s="67">
        <f t="shared" ref="AS23" si="68">AS22/AS$7</f>
        <v>-0.40818181818181815</v>
      </c>
      <c r="AT23" s="67">
        <f t="shared" ref="AT23" si="69">AT22/AT$7</f>
        <v>-0.37526315789473674</v>
      </c>
      <c r="AU23" s="67">
        <f t="shared" ref="AU23" si="70">AU22/AU$7</f>
        <v>-0.27</v>
      </c>
    </row>
    <row r="24" spans="2:47">
      <c r="B24" s="49"/>
      <c r="C24" s="3"/>
      <c r="D24" s="3"/>
      <c r="E24" s="3"/>
      <c r="J24" s="49"/>
      <c r="K24" s="3"/>
      <c r="L24" s="3"/>
      <c r="M24" s="3"/>
    </row>
    <row r="25" spans="2:47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f>C25</f>
        <v>0</v>
      </c>
      <c r="L25" s="91">
        <f t="shared" ref="L25:M25" si="71">D25</f>
        <v>0</v>
      </c>
      <c r="M25" s="91">
        <f t="shared" si="71"/>
        <v>0</v>
      </c>
    </row>
    <row r="26" spans="2:47">
      <c r="B26" t="s">
        <v>173</v>
      </c>
      <c r="C26" s="91">
        <f>C52</f>
        <v>0</v>
      </c>
      <c r="D26" s="91">
        <f t="shared" ref="D26:E26" si="72">D52</f>
        <v>0</v>
      </c>
      <c r="E26" s="91">
        <f t="shared" si="72"/>
        <v>0</v>
      </c>
      <c r="J26" t="s">
        <v>173</v>
      </c>
      <c r="K26" s="91">
        <f>C26</f>
        <v>0</v>
      </c>
      <c r="L26" s="91">
        <f t="shared" ref="L26" si="73">D26</f>
        <v>0</v>
      </c>
      <c r="M26" s="91">
        <f t="shared" ref="M26" si="74">E26</f>
        <v>0</v>
      </c>
    </row>
    <row r="27" spans="2:47">
      <c r="B27" s="49"/>
      <c r="C27" s="3"/>
      <c r="D27" s="3"/>
      <c r="E27" s="3"/>
      <c r="J27" s="49"/>
      <c r="K27" s="3"/>
      <c r="L27" s="3"/>
      <c r="M27" s="3"/>
    </row>
    <row r="28" spans="2:47">
      <c r="B28" s="65" t="s">
        <v>174</v>
      </c>
      <c r="C28" s="94">
        <f>SUM(C22,C25:C26)</f>
        <v>45</v>
      </c>
      <c r="D28" s="94">
        <f>SUM(D22,D25:D26)</f>
        <v>103.87499999999997</v>
      </c>
      <c r="E28" s="94">
        <f>SUM(E22,E25:E26)</f>
        <v>192.49999999999994</v>
      </c>
      <c r="J28" s="65" t="s">
        <v>174</v>
      </c>
      <c r="K28" s="94">
        <f>SUM(K22,K25:K26)</f>
        <v>-33.75</v>
      </c>
      <c r="L28" s="94">
        <f>SUM(L22,L25:L26)</f>
        <v>-6.8125000000000142</v>
      </c>
      <c r="M28" s="94">
        <f>SUM(M22,M25:M26)</f>
        <v>33.749999999999972</v>
      </c>
      <c r="S28" s="94">
        <f t="shared" ref="S28:AF28" si="75">SUM(S22,S25:S26)</f>
        <v>0</v>
      </c>
      <c r="T28" s="94">
        <f t="shared" si="75"/>
        <v>0</v>
      </c>
      <c r="U28" s="94">
        <f t="shared" si="75"/>
        <v>0</v>
      </c>
      <c r="V28" s="94">
        <f t="shared" si="75"/>
        <v>0</v>
      </c>
      <c r="W28" s="94">
        <f t="shared" si="75"/>
        <v>0</v>
      </c>
      <c r="X28" s="94">
        <f t="shared" si="75"/>
        <v>-30</v>
      </c>
      <c r="Y28" s="94">
        <f t="shared" si="75"/>
        <v>6.1627906976744189</v>
      </c>
      <c r="Z28" s="94">
        <f t="shared" si="75"/>
        <v>4.6220930232558137</v>
      </c>
      <c r="AA28" s="94">
        <f t="shared" si="75"/>
        <v>4.6220930232558137</v>
      </c>
      <c r="AB28" s="94">
        <f t="shared" si="75"/>
        <v>-55.377906976744185</v>
      </c>
      <c r="AC28" s="94">
        <f t="shared" si="75"/>
        <v>19.25872093023256</v>
      </c>
      <c r="AD28" s="94">
        <f t="shared" si="75"/>
        <v>11.555232558139535</v>
      </c>
      <c r="AE28" s="94">
        <f t="shared" si="75"/>
        <v>-2.2965116279069768</v>
      </c>
      <c r="AF28" s="94">
        <f t="shared" si="75"/>
        <v>7.7034883720930232</v>
      </c>
      <c r="AH28" s="94">
        <f t="shared" ref="AH28:AU28" si="76">SUM(AH22,AH25:AH26)</f>
        <v>0</v>
      </c>
      <c r="AI28" s="94">
        <f t="shared" si="76"/>
        <v>0</v>
      </c>
      <c r="AJ28" s="94">
        <f t="shared" si="76"/>
        <v>0</v>
      </c>
      <c r="AK28" s="94">
        <f t="shared" si="76"/>
        <v>0</v>
      </c>
      <c r="AL28" s="94">
        <f t="shared" si="76"/>
        <v>0</v>
      </c>
      <c r="AM28" s="94">
        <f t="shared" si="76"/>
        <v>-30</v>
      </c>
      <c r="AN28" s="94">
        <f t="shared" si="76"/>
        <v>-23.837209302325583</v>
      </c>
      <c r="AO28" s="94">
        <f t="shared" si="76"/>
        <v>-19.215116279069768</v>
      </c>
      <c r="AP28" s="94">
        <f t="shared" si="76"/>
        <v>-14.593023255813954</v>
      </c>
      <c r="AQ28" s="94">
        <f t="shared" si="76"/>
        <v>-69.970930232558146</v>
      </c>
      <c r="AR28" s="94">
        <f t="shared" si="76"/>
        <v>-50.712209302325583</v>
      </c>
      <c r="AS28" s="94">
        <f t="shared" si="76"/>
        <v>-39.156976744186046</v>
      </c>
      <c r="AT28" s="94">
        <f t="shared" si="76"/>
        <v>-41.453488372093013</v>
      </c>
      <c r="AU28" s="94">
        <f t="shared" si="76"/>
        <v>-33.75</v>
      </c>
    </row>
    <row r="29" spans="2:47">
      <c r="B29" s="66" t="s">
        <v>175</v>
      </c>
      <c r="C29" s="67">
        <f>C28/C$7</f>
        <v>0.18</v>
      </c>
      <c r="D29" s="67">
        <f>D28/D$7</f>
        <v>0.29678571428571421</v>
      </c>
      <c r="E29" s="67">
        <f>E28/E$7</f>
        <v>0.3849999999999999</v>
      </c>
      <c r="J29" s="66" t="s">
        <v>175</v>
      </c>
      <c r="K29" s="67">
        <f>K28/K$7</f>
        <v>-0.27</v>
      </c>
      <c r="L29" s="67">
        <f>L28/L$7</f>
        <v>-3.8928571428571507E-2</v>
      </c>
      <c r="M29" s="67">
        <f>M28/M$7</f>
        <v>0.1349999999999999</v>
      </c>
      <c r="S29" s="67" t="e">
        <f t="shared" ref="S29:AH29" si="77">S28/S$7</f>
        <v>#DIV/0!</v>
      </c>
      <c r="T29" s="67" t="e">
        <f t="shared" si="77"/>
        <v>#DIV/0!</v>
      </c>
      <c r="U29" s="67" t="e">
        <f t="shared" si="77"/>
        <v>#DIV/0!</v>
      </c>
      <c r="V29" s="67" t="e">
        <f t="shared" si="77"/>
        <v>#DIV/0!</v>
      </c>
      <c r="W29" s="67" t="e">
        <f t="shared" si="77"/>
        <v>#DIV/0!</v>
      </c>
      <c r="X29" s="67" t="e">
        <f t="shared" si="77"/>
        <v>#DIV/0!</v>
      </c>
      <c r="Y29" s="67">
        <f t="shared" si="77"/>
        <v>0.53</v>
      </c>
      <c r="Z29" s="67">
        <f t="shared" si="77"/>
        <v>0.53</v>
      </c>
      <c r="AA29" s="67">
        <f t="shared" si="77"/>
        <v>0.53</v>
      </c>
      <c r="AB29" s="67">
        <f t="shared" si="77"/>
        <v>-6.3500000000000005</v>
      </c>
      <c r="AC29" s="67">
        <f t="shared" si="77"/>
        <v>0.53</v>
      </c>
      <c r="AD29" s="67">
        <f t="shared" si="77"/>
        <v>0.53</v>
      </c>
      <c r="AE29" s="67">
        <f t="shared" si="77"/>
        <v>-0.158</v>
      </c>
      <c r="AF29" s="67">
        <f t="shared" si="77"/>
        <v>0.53</v>
      </c>
      <c r="AH29" s="67" t="e">
        <f t="shared" si="77"/>
        <v>#DIV/0!</v>
      </c>
      <c r="AI29" s="67" t="e">
        <f t="shared" ref="AI29" si="78">AI28/AI$7</f>
        <v>#DIV/0!</v>
      </c>
      <c r="AJ29" s="67" t="e">
        <f t="shared" ref="AJ29" si="79">AJ28/AJ$7</f>
        <v>#DIV/0!</v>
      </c>
      <c r="AK29" s="67" t="e">
        <f t="shared" ref="AK29" si="80">AK28/AK$7</f>
        <v>#DIV/0!</v>
      </c>
      <c r="AL29" s="67" t="e">
        <f t="shared" ref="AL29" si="81">AL28/AL$7</f>
        <v>#DIV/0!</v>
      </c>
      <c r="AM29" s="67" t="e">
        <f t="shared" ref="AM29" si="82">AM28/AM$7</f>
        <v>#DIV/0!</v>
      </c>
      <c r="AN29" s="67">
        <f t="shared" ref="AN29" si="83">AN28/AN$7</f>
        <v>-2.0500000000000003</v>
      </c>
      <c r="AO29" s="67">
        <f t="shared" ref="AO29" si="84">AO28/AO$7</f>
        <v>-0.94428571428571439</v>
      </c>
      <c r="AP29" s="67">
        <f t="shared" ref="AP29" si="85">AP28/AP$7</f>
        <v>-0.502</v>
      </c>
      <c r="AQ29" s="67">
        <f t="shared" ref="AQ29" si="86">AQ28/AQ$7</f>
        <v>-1.8515384615384618</v>
      </c>
      <c r="AR29" s="67">
        <f t="shared" ref="AR29" si="87">AR28/AR$7</f>
        <v>-0.68411764705882361</v>
      </c>
      <c r="AS29" s="67">
        <f t="shared" ref="AS29" si="88">AS28/AS$7</f>
        <v>-0.40818181818181815</v>
      </c>
      <c r="AT29" s="67">
        <f t="shared" ref="AT29" si="89">AT28/AT$7</f>
        <v>-0.37526315789473674</v>
      </c>
      <c r="AU29" s="67">
        <f t="shared" ref="AU29" si="90">AU28/AU$7</f>
        <v>-0.27</v>
      </c>
    </row>
    <row r="30" spans="2:47">
      <c r="B30" s="49"/>
      <c r="C30" s="3"/>
      <c r="D30" s="3"/>
      <c r="E30" s="3"/>
      <c r="J30" s="49"/>
      <c r="K30" s="3"/>
      <c r="L30" s="3"/>
      <c r="M30" s="3"/>
    </row>
    <row r="31" spans="2:47">
      <c r="B31" t="s">
        <v>176</v>
      </c>
      <c r="C31" s="91">
        <f>C54</f>
        <v>0</v>
      </c>
      <c r="D31" s="91">
        <f t="shared" ref="D31:E31" si="91">D54</f>
        <v>0</v>
      </c>
      <c r="E31" s="91">
        <f t="shared" si="91"/>
        <v>0</v>
      </c>
      <c r="J31" t="s">
        <v>176</v>
      </c>
      <c r="K31" s="91">
        <v>0</v>
      </c>
      <c r="L31" s="91">
        <v>0</v>
      </c>
      <c r="M31" s="91">
        <v>0</v>
      </c>
    </row>
    <row r="32" spans="2:47">
      <c r="B32" s="49"/>
      <c r="C32" s="3"/>
      <c r="D32" s="3"/>
      <c r="E32" s="3"/>
      <c r="J32" s="49"/>
      <c r="K32" s="3"/>
      <c r="L32" s="3"/>
      <c r="M32" s="3"/>
    </row>
    <row r="33" spans="2:47">
      <c r="B33" s="65" t="s">
        <v>177</v>
      </c>
      <c r="C33" s="94">
        <f>SUM(C28,C31)</f>
        <v>45</v>
      </c>
      <c r="D33" s="94">
        <f>SUM(D28,D31)</f>
        <v>103.87499999999997</v>
      </c>
      <c r="E33" s="94">
        <f>SUM(E28,E31)</f>
        <v>192.49999999999994</v>
      </c>
      <c r="J33" s="65" t="s">
        <v>177</v>
      </c>
      <c r="K33" s="94">
        <f>SUM(K28,K31)</f>
        <v>-33.75</v>
      </c>
      <c r="L33" s="94">
        <f>SUM(L28,L31)</f>
        <v>-6.8125000000000142</v>
      </c>
      <c r="M33" s="94">
        <f>SUM(M28,M31)</f>
        <v>33.749999999999972</v>
      </c>
      <c r="S33" s="94">
        <f t="shared" ref="S33:AF33" si="92">SUM(S28,S31)</f>
        <v>0</v>
      </c>
      <c r="T33" s="94">
        <f t="shared" si="92"/>
        <v>0</v>
      </c>
      <c r="U33" s="94">
        <f t="shared" si="92"/>
        <v>0</v>
      </c>
      <c r="V33" s="94">
        <f t="shared" si="92"/>
        <v>0</v>
      </c>
      <c r="W33" s="94">
        <f t="shared" si="92"/>
        <v>0</v>
      </c>
      <c r="X33" s="94">
        <f t="shared" si="92"/>
        <v>-30</v>
      </c>
      <c r="Y33" s="94">
        <f t="shared" si="92"/>
        <v>6.1627906976744189</v>
      </c>
      <c r="Z33" s="94">
        <f t="shared" si="92"/>
        <v>4.6220930232558137</v>
      </c>
      <c r="AA33" s="94">
        <f t="shared" si="92"/>
        <v>4.6220930232558137</v>
      </c>
      <c r="AB33" s="94">
        <f t="shared" si="92"/>
        <v>-55.377906976744185</v>
      </c>
      <c r="AC33" s="94">
        <f t="shared" si="92"/>
        <v>19.25872093023256</v>
      </c>
      <c r="AD33" s="94">
        <f t="shared" si="92"/>
        <v>11.555232558139535</v>
      </c>
      <c r="AE33" s="94">
        <f t="shared" si="92"/>
        <v>-2.2965116279069768</v>
      </c>
      <c r="AF33" s="94">
        <f t="shared" si="92"/>
        <v>7.7034883720930232</v>
      </c>
      <c r="AH33" s="94">
        <f t="shared" ref="AH33:AU33" si="93">SUM(AH28,AH31)</f>
        <v>0</v>
      </c>
      <c r="AI33" s="94">
        <f t="shared" si="93"/>
        <v>0</v>
      </c>
      <c r="AJ33" s="94">
        <f t="shared" si="93"/>
        <v>0</v>
      </c>
      <c r="AK33" s="94">
        <f t="shared" si="93"/>
        <v>0</v>
      </c>
      <c r="AL33" s="94">
        <f t="shared" si="93"/>
        <v>0</v>
      </c>
      <c r="AM33" s="94">
        <f t="shared" si="93"/>
        <v>-30</v>
      </c>
      <c r="AN33" s="94">
        <f t="shared" si="93"/>
        <v>-23.837209302325583</v>
      </c>
      <c r="AO33" s="94">
        <f t="shared" si="93"/>
        <v>-19.215116279069768</v>
      </c>
      <c r="AP33" s="94">
        <f t="shared" si="93"/>
        <v>-14.593023255813954</v>
      </c>
      <c r="AQ33" s="94">
        <f t="shared" si="93"/>
        <v>-69.970930232558146</v>
      </c>
      <c r="AR33" s="94">
        <f t="shared" si="93"/>
        <v>-50.712209302325583</v>
      </c>
      <c r="AS33" s="94">
        <f t="shared" si="93"/>
        <v>-39.156976744186046</v>
      </c>
      <c r="AT33" s="94">
        <f t="shared" si="93"/>
        <v>-41.453488372093013</v>
      </c>
      <c r="AU33" s="94">
        <f t="shared" si="93"/>
        <v>-33.75</v>
      </c>
    </row>
    <row r="34" spans="2:47">
      <c r="B34" s="66" t="s">
        <v>178</v>
      </c>
      <c r="C34" s="67">
        <f>C33/C$7</f>
        <v>0.18</v>
      </c>
      <c r="D34" s="67">
        <f>D33/D$7</f>
        <v>0.29678571428571421</v>
      </c>
      <c r="E34" s="67">
        <f>E33/E$7</f>
        <v>0.3849999999999999</v>
      </c>
      <c r="J34" s="66" t="s">
        <v>178</v>
      </c>
      <c r="K34" s="67">
        <f>K33/K$7</f>
        <v>-0.27</v>
      </c>
      <c r="L34" s="67">
        <f>L33/L$7</f>
        <v>-3.8928571428571507E-2</v>
      </c>
      <c r="M34" s="67">
        <f>M33/M$7</f>
        <v>0.1349999999999999</v>
      </c>
      <c r="S34" s="67" t="e">
        <f t="shared" ref="S34:AH34" si="94">S33/S$7</f>
        <v>#DIV/0!</v>
      </c>
      <c r="T34" s="67" t="e">
        <f t="shared" si="94"/>
        <v>#DIV/0!</v>
      </c>
      <c r="U34" s="67" t="e">
        <f t="shared" si="94"/>
        <v>#DIV/0!</v>
      </c>
      <c r="V34" s="67" t="e">
        <f t="shared" si="94"/>
        <v>#DIV/0!</v>
      </c>
      <c r="W34" s="67" t="e">
        <f t="shared" si="94"/>
        <v>#DIV/0!</v>
      </c>
      <c r="X34" s="67" t="e">
        <f t="shared" si="94"/>
        <v>#DIV/0!</v>
      </c>
      <c r="Y34" s="67">
        <f t="shared" si="94"/>
        <v>0.53</v>
      </c>
      <c r="Z34" s="67">
        <f t="shared" si="94"/>
        <v>0.53</v>
      </c>
      <c r="AA34" s="67">
        <f t="shared" si="94"/>
        <v>0.53</v>
      </c>
      <c r="AB34" s="67">
        <f t="shared" si="94"/>
        <v>-6.3500000000000005</v>
      </c>
      <c r="AC34" s="67">
        <f t="shared" si="94"/>
        <v>0.53</v>
      </c>
      <c r="AD34" s="67">
        <f t="shared" si="94"/>
        <v>0.53</v>
      </c>
      <c r="AE34" s="67">
        <f t="shared" si="94"/>
        <v>-0.158</v>
      </c>
      <c r="AF34" s="67">
        <f t="shared" si="94"/>
        <v>0.53</v>
      </c>
      <c r="AH34" s="67" t="e">
        <f t="shared" si="94"/>
        <v>#DIV/0!</v>
      </c>
      <c r="AI34" s="67" t="e">
        <f t="shared" ref="AI34" si="95">AI33/AI$7</f>
        <v>#DIV/0!</v>
      </c>
      <c r="AJ34" s="67" t="e">
        <f t="shared" ref="AJ34" si="96">AJ33/AJ$7</f>
        <v>#DIV/0!</v>
      </c>
      <c r="AK34" s="67" t="e">
        <f t="shared" ref="AK34" si="97">AK33/AK$7</f>
        <v>#DIV/0!</v>
      </c>
      <c r="AL34" s="67" t="e">
        <f t="shared" ref="AL34" si="98">AL33/AL$7</f>
        <v>#DIV/0!</v>
      </c>
      <c r="AM34" s="67" t="e">
        <f t="shared" ref="AM34" si="99">AM33/AM$7</f>
        <v>#DIV/0!</v>
      </c>
      <c r="AN34" s="67">
        <f t="shared" ref="AN34" si="100">AN33/AN$7</f>
        <v>-2.0500000000000003</v>
      </c>
      <c r="AO34" s="67">
        <f t="shared" ref="AO34" si="101">AO33/AO$7</f>
        <v>-0.94428571428571439</v>
      </c>
      <c r="AP34" s="67">
        <f t="shared" ref="AP34" si="102">AP33/AP$7</f>
        <v>-0.502</v>
      </c>
      <c r="AQ34" s="67">
        <f t="shared" ref="AQ34" si="103">AQ33/AQ$7</f>
        <v>-1.8515384615384618</v>
      </c>
      <c r="AR34" s="67">
        <f t="shared" ref="AR34" si="104">AR33/AR$7</f>
        <v>-0.68411764705882361</v>
      </c>
      <c r="AS34" s="67">
        <f t="shared" ref="AS34" si="105">AS33/AS$7</f>
        <v>-0.40818181818181815</v>
      </c>
      <c r="AT34" s="67">
        <f t="shared" ref="AT34" si="106">AT33/AT$7</f>
        <v>-0.37526315789473674</v>
      </c>
      <c r="AU34" s="67">
        <f t="shared" ref="AU34" si="107">AU33/AU$7</f>
        <v>-0.27</v>
      </c>
    </row>
    <row r="37" spans="2:47">
      <c r="B37" t="s">
        <v>179</v>
      </c>
      <c r="C37" s="137">
        <f>C19</f>
        <v>-100</v>
      </c>
      <c r="F37" s="138"/>
      <c r="J37" t="s">
        <v>179</v>
      </c>
      <c r="K37" s="137">
        <f>K19</f>
        <v>-100</v>
      </c>
      <c r="N37" s="138"/>
    </row>
    <row r="44" spans="2:47">
      <c r="B44" t="s">
        <v>181</v>
      </c>
    </row>
    <row r="46" spans="2:47">
      <c r="B46" t="s">
        <v>206</v>
      </c>
      <c r="C46" s="138">
        <v>250</v>
      </c>
      <c r="D46" s="138">
        <v>350</v>
      </c>
      <c r="E46" s="138">
        <v>500</v>
      </c>
    </row>
    <row r="47" spans="2:47">
      <c r="B47" t="s">
        <v>207</v>
      </c>
      <c r="C47" s="139"/>
      <c r="D47" s="140"/>
      <c r="E47" s="139"/>
    </row>
    <row r="49" spans="2:5">
      <c r="B49" t="s">
        <v>168</v>
      </c>
      <c r="C49" s="138">
        <v>-100</v>
      </c>
      <c r="D49" s="138">
        <v>-100</v>
      </c>
      <c r="E49" s="138">
        <v>-100</v>
      </c>
    </row>
    <row r="50" spans="2:5">
      <c r="B50" t="s">
        <v>169</v>
      </c>
      <c r="C50" s="138"/>
      <c r="D50" s="138"/>
      <c r="E50" s="138"/>
    </row>
    <row r="52" spans="2:5">
      <c r="B52" t="s">
        <v>173</v>
      </c>
      <c r="C52" s="138"/>
      <c r="D52" s="138"/>
      <c r="E52" s="138"/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119B-8B28-46F9-9A87-73E7F99F2A21}">
  <sheetPr>
    <tabColor rgb="FFFFFF00"/>
  </sheetPr>
  <dimension ref="B2:AU54"/>
  <sheetViews>
    <sheetView showGridLines="0" tabSelected="1" workbookViewId="0">
      <selection activeCell="T7" sqref="T7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/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C46+'3YP'!E32*C47</f>
        <v>100</v>
      </c>
      <c r="D7" s="93">
        <f>D46+'3YP'!F32*D47</f>
        <v>200</v>
      </c>
      <c r="E7" s="93">
        <f>E46+'3YP'!G32*E47</f>
        <v>300</v>
      </c>
      <c r="H7" s="9">
        <v>-0.5</v>
      </c>
      <c r="J7" s="64" t="s">
        <v>155</v>
      </c>
      <c r="K7" s="93">
        <f>C7*(1+$H$7)</f>
        <v>50</v>
      </c>
      <c r="L7" s="93">
        <f t="shared" ref="L7:M8" si="2">D7*(1+$H$7)</f>
        <v>100</v>
      </c>
      <c r="M7" s="93">
        <f t="shared" si="2"/>
        <v>150</v>
      </c>
    </row>
    <row r="8" spans="2:47">
      <c r="B8" t="s">
        <v>157</v>
      </c>
      <c r="C8" s="91">
        <f>-C7*(1-COGS!C30)</f>
        <v>-40</v>
      </c>
      <c r="D8" s="91">
        <f>-D7*(1-COGS!D30)</f>
        <v>-79.500000000000014</v>
      </c>
      <c r="E8" s="91">
        <f>-E7*(1-COGS!E30)</f>
        <v>-118.50000000000004</v>
      </c>
      <c r="J8" t="s">
        <v>157</v>
      </c>
      <c r="K8" s="91">
        <f>C8*(1+$H$7)</f>
        <v>-20</v>
      </c>
      <c r="L8" s="91">
        <f t="shared" si="2"/>
        <v>-39.750000000000007</v>
      </c>
      <c r="M8" s="91">
        <f t="shared" si="2"/>
        <v>-59.250000000000021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60</v>
      </c>
      <c r="D10" s="94">
        <f>SUM(D7:D8)</f>
        <v>120.49999999999999</v>
      </c>
      <c r="E10" s="94">
        <f>SUM(E7:E8)</f>
        <v>181.49999999999994</v>
      </c>
      <c r="J10" s="65" t="s">
        <v>158</v>
      </c>
      <c r="K10" s="94">
        <f>SUM(K7:K8)</f>
        <v>30</v>
      </c>
      <c r="L10" s="94">
        <f>SUM(L7:L8)</f>
        <v>60.249999999999993</v>
      </c>
      <c r="M10" s="94">
        <f>SUM(M7:M8)</f>
        <v>90.749999999999972</v>
      </c>
    </row>
    <row r="11" spans="2:47">
      <c r="B11" s="66" t="s">
        <v>160</v>
      </c>
      <c r="C11" s="67">
        <f>C10/C$7</f>
        <v>0.6</v>
      </c>
      <c r="D11" s="67">
        <f>D10/D$7</f>
        <v>0.60249999999999992</v>
      </c>
      <c r="E11" s="67">
        <f>E10/E$7</f>
        <v>0.60499999999999976</v>
      </c>
      <c r="J11" s="66" t="s">
        <v>160</v>
      </c>
      <c r="K11" s="67">
        <f>K10/K$7</f>
        <v>0.6</v>
      </c>
      <c r="L11" s="67">
        <f>L10/L$7</f>
        <v>0.60249999999999992</v>
      </c>
      <c r="M11" s="67">
        <f>M10/M$7</f>
        <v>0.60499999999999976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COS'!$C$31</f>
        <v>-2</v>
      </c>
      <c r="D13" s="91">
        <f>-D7*'Other COS'!$C$31</f>
        <v>-4</v>
      </c>
      <c r="E13" s="91">
        <f>-E7*'Other COS'!$C$31</f>
        <v>-6</v>
      </c>
      <c r="J13" t="s">
        <v>162</v>
      </c>
      <c r="K13" s="91">
        <f>-K7*'Other COS'!$C$16</f>
        <v>-3.5000000000000004</v>
      </c>
      <c r="L13" s="91">
        <f>-L7*'Other COS'!$C$16</f>
        <v>-7.0000000000000009</v>
      </c>
      <c r="M13" s="91">
        <f>-M7*'Other COS'!$C$16</f>
        <v>-10.500000000000002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58</v>
      </c>
      <c r="D16" s="94">
        <f>SUM(D10,D13:D14)</f>
        <v>116.49999999999999</v>
      </c>
      <c r="E16" s="94">
        <f>SUM(E10,E13:E14)</f>
        <v>175.49999999999994</v>
      </c>
      <c r="J16" s="65" t="s">
        <v>166</v>
      </c>
      <c r="K16" s="94">
        <f>SUM(K10,K13:K14)</f>
        <v>26.5</v>
      </c>
      <c r="L16" s="94">
        <f>SUM(L10,L13:L14)</f>
        <v>53.249999999999993</v>
      </c>
      <c r="M16" s="94">
        <f>SUM(M10,M13:M14)</f>
        <v>80.249999999999972</v>
      </c>
    </row>
    <row r="17" spans="2:13">
      <c r="B17" s="66" t="s">
        <v>167</v>
      </c>
      <c r="C17" s="67">
        <f>C16/C$7</f>
        <v>0.57999999999999996</v>
      </c>
      <c r="D17" s="67">
        <f>D16/D$7</f>
        <v>0.58249999999999991</v>
      </c>
      <c r="E17" s="67">
        <f>E16/E$7</f>
        <v>0.58499999999999985</v>
      </c>
      <c r="J17" s="66" t="s">
        <v>167</v>
      </c>
      <c r="K17" s="67">
        <f>K16/K$7</f>
        <v>0.53</v>
      </c>
      <c r="L17" s="67">
        <f>L16/L$7</f>
        <v>0.53249999999999997</v>
      </c>
      <c r="M17" s="67">
        <f>M16/M$7</f>
        <v>0.53499999999999981</v>
      </c>
    </row>
    <row r="18" spans="2:13">
      <c r="B18" s="49"/>
      <c r="C18" s="3"/>
      <c r="D18" s="3"/>
      <c r="E18" s="3"/>
      <c r="J18" s="49"/>
      <c r="K18" s="3"/>
      <c r="L18" s="3"/>
      <c r="M18" s="3"/>
    </row>
    <row r="19" spans="2:13">
      <c r="B19" t="s">
        <v>168</v>
      </c>
      <c r="C19" s="91">
        <f>C49</f>
        <v>-50</v>
      </c>
      <c r="D19" s="91">
        <f t="shared" ref="D19:E20" si="3">D49</f>
        <v>-60</v>
      </c>
      <c r="E19" s="91">
        <f t="shared" si="3"/>
        <v>-70</v>
      </c>
      <c r="J19" t="s">
        <v>168</v>
      </c>
      <c r="K19" s="91">
        <f t="shared" ref="K19:M20" si="4">C19</f>
        <v>-50</v>
      </c>
      <c r="L19" s="91">
        <f t="shared" si="4"/>
        <v>-60</v>
      </c>
      <c r="M19" s="91">
        <f t="shared" si="4"/>
        <v>-70</v>
      </c>
    </row>
    <row r="20" spans="2:13">
      <c r="B20" t="s">
        <v>169</v>
      </c>
      <c r="C20" s="91">
        <f>C50</f>
        <v>0</v>
      </c>
      <c r="D20" s="91">
        <f t="shared" si="3"/>
        <v>0</v>
      </c>
      <c r="E20" s="91">
        <f t="shared" si="3"/>
        <v>0</v>
      </c>
      <c r="J20" t="s">
        <v>169</v>
      </c>
      <c r="K20" s="91">
        <f t="shared" si="4"/>
        <v>0</v>
      </c>
      <c r="L20" s="91">
        <f t="shared" si="4"/>
        <v>0</v>
      </c>
      <c r="M20" s="91">
        <f t="shared" si="4"/>
        <v>0</v>
      </c>
    </row>
    <row r="21" spans="2:13">
      <c r="B21" s="49"/>
      <c r="C21" s="3"/>
      <c r="D21" s="3"/>
      <c r="E21" s="3"/>
      <c r="J21" s="49"/>
      <c r="K21" s="3"/>
      <c r="L21" s="3"/>
      <c r="M21" s="3"/>
    </row>
    <row r="22" spans="2:13">
      <c r="B22" s="65" t="s">
        <v>170</v>
      </c>
      <c r="C22" s="94">
        <f>SUM(C16,C19:C20)</f>
        <v>8</v>
      </c>
      <c r="D22" s="94">
        <f>SUM(D16,D19:D20)</f>
        <v>56.499999999999986</v>
      </c>
      <c r="E22" s="94">
        <f>SUM(E16,E19:E20)</f>
        <v>105.49999999999994</v>
      </c>
      <c r="J22" s="65" t="s">
        <v>170</v>
      </c>
      <c r="K22" s="94">
        <f>SUM(K16,K19:K20)</f>
        <v>-23.5</v>
      </c>
      <c r="L22" s="94">
        <f>SUM(L16,L19:L20)</f>
        <v>-6.7500000000000071</v>
      </c>
      <c r="M22" s="94">
        <f>SUM(M16,M19:M20)</f>
        <v>10.249999999999972</v>
      </c>
    </row>
    <row r="23" spans="2:13">
      <c r="B23" s="66" t="s">
        <v>171</v>
      </c>
      <c r="C23" s="67">
        <f>C22/C$7</f>
        <v>0.08</v>
      </c>
      <c r="D23" s="67">
        <f>D22/D$7</f>
        <v>0.28249999999999992</v>
      </c>
      <c r="E23" s="67">
        <f>E22/E$7</f>
        <v>0.35166666666666646</v>
      </c>
      <c r="J23" s="66" t="s">
        <v>171</v>
      </c>
      <c r="K23" s="67">
        <f>K22/K$7</f>
        <v>-0.47</v>
      </c>
      <c r="L23" s="67">
        <f>L22/L$7</f>
        <v>-6.7500000000000074E-2</v>
      </c>
      <c r="M23" s="67">
        <f>M22/M$7</f>
        <v>6.8333333333333149E-2</v>
      </c>
    </row>
    <row r="24" spans="2:13">
      <c r="B24" s="49"/>
      <c r="C24" s="3"/>
      <c r="D24" s="3"/>
      <c r="E24" s="3"/>
      <c r="J24" s="49"/>
      <c r="K24" s="3"/>
      <c r="L24" s="3"/>
      <c r="M24" s="3"/>
    </row>
    <row r="25" spans="2:13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f>C25</f>
        <v>0</v>
      </c>
      <c r="L25" s="91">
        <f t="shared" ref="L25:M25" si="5">D25</f>
        <v>0</v>
      </c>
      <c r="M25" s="91">
        <f t="shared" si="5"/>
        <v>0</v>
      </c>
    </row>
    <row r="26" spans="2:13">
      <c r="B26" t="s">
        <v>173</v>
      </c>
      <c r="C26" s="91">
        <f>C52</f>
        <v>0</v>
      </c>
      <c r="D26" s="91">
        <f t="shared" ref="D26:E26" si="6">D52</f>
        <v>0</v>
      </c>
      <c r="E26" s="91">
        <f t="shared" si="6"/>
        <v>0</v>
      </c>
      <c r="J26" t="s">
        <v>173</v>
      </c>
      <c r="K26" s="91">
        <f>C26</f>
        <v>0</v>
      </c>
      <c r="L26" s="91">
        <f t="shared" ref="L26" si="7">D26</f>
        <v>0</v>
      </c>
      <c r="M26" s="91">
        <f t="shared" ref="M26" si="8">E26</f>
        <v>0</v>
      </c>
    </row>
    <row r="27" spans="2:13">
      <c r="B27" s="49"/>
      <c r="C27" s="3"/>
      <c r="D27" s="3"/>
      <c r="E27" s="3"/>
      <c r="J27" s="49"/>
      <c r="K27" s="3"/>
      <c r="L27" s="3"/>
      <c r="M27" s="3"/>
    </row>
    <row r="28" spans="2:13">
      <c r="B28" s="65" t="s">
        <v>174</v>
      </c>
      <c r="C28" s="94">
        <f>SUM(C22,C25:C26)</f>
        <v>8</v>
      </c>
      <c r="D28" s="94">
        <f>SUM(D22,D25:D26)</f>
        <v>56.499999999999986</v>
      </c>
      <c r="E28" s="94">
        <f>SUM(E22,E25:E26)</f>
        <v>105.49999999999994</v>
      </c>
      <c r="J28" s="65" t="s">
        <v>174</v>
      </c>
      <c r="K28" s="94">
        <f>SUM(K22,K25:K26)</f>
        <v>-23.5</v>
      </c>
      <c r="L28" s="94">
        <f>SUM(L22,L25:L26)</f>
        <v>-6.7500000000000071</v>
      </c>
      <c r="M28" s="94">
        <f>SUM(M22,M25:M26)</f>
        <v>10.249999999999972</v>
      </c>
    </row>
    <row r="29" spans="2:13">
      <c r="B29" s="66" t="s">
        <v>175</v>
      </c>
      <c r="C29" s="67">
        <f>C28/C$7</f>
        <v>0.08</v>
      </c>
      <c r="D29" s="67">
        <f>D28/D$7</f>
        <v>0.28249999999999992</v>
      </c>
      <c r="E29" s="67">
        <f>E28/E$7</f>
        <v>0.35166666666666646</v>
      </c>
      <c r="J29" s="66" t="s">
        <v>175</v>
      </c>
      <c r="K29" s="67">
        <f>K28/K$7</f>
        <v>-0.47</v>
      </c>
      <c r="L29" s="67">
        <f>L28/L$7</f>
        <v>-6.7500000000000074E-2</v>
      </c>
      <c r="M29" s="67">
        <f>M28/M$7</f>
        <v>6.8333333333333149E-2</v>
      </c>
    </row>
    <row r="30" spans="2:13">
      <c r="B30" s="49"/>
      <c r="C30" s="3"/>
      <c r="D30" s="3"/>
      <c r="E30" s="3"/>
      <c r="J30" s="49"/>
      <c r="K30" s="3"/>
      <c r="L30" s="3"/>
      <c r="M30" s="3"/>
    </row>
    <row r="31" spans="2:13">
      <c r="B31" t="s">
        <v>176</v>
      </c>
      <c r="C31" s="91">
        <f>C54</f>
        <v>0</v>
      </c>
      <c r="D31" s="91">
        <f t="shared" ref="D31:E31" si="9">D54</f>
        <v>0</v>
      </c>
      <c r="E31" s="91">
        <f t="shared" si="9"/>
        <v>0</v>
      </c>
      <c r="J31" t="s">
        <v>176</v>
      </c>
      <c r="K31" s="91">
        <v>0</v>
      </c>
      <c r="L31" s="91">
        <v>0</v>
      </c>
      <c r="M31" s="91">
        <v>0</v>
      </c>
    </row>
    <row r="32" spans="2:13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8</v>
      </c>
      <c r="D33" s="94">
        <f>SUM(D28,D31)</f>
        <v>56.499999999999986</v>
      </c>
      <c r="E33" s="94">
        <f>SUM(E28,E31)</f>
        <v>105.49999999999994</v>
      </c>
      <c r="J33" s="65" t="s">
        <v>177</v>
      </c>
      <c r="K33" s="94">
        <f>SUM(K28,K31)</f>
        <v>-23.5</v>
      </c>
      <c r="L33" s="94">
        <f>SUM(L28,L31)</f>
        <v>-6.7500000000000071</v>
      </c>
      <c r="M33" s="94">
        <f>SUM(M28,M31)</f>
        <v>10.249999999999972</v>
      </c>
    </row>
    <row r="34" spans="2:14">
      <c r="B34" s="66" t="s">
        <v>178</v>
      </c>
      <c r="C34" s="67">
        <f>C33/C$7</f>
        <v>0.08</v>
      </c>
      <c r="D34" s="67">
        <f>D33/D$7</f>
        <v>0.28249999999999992</v>
      </c>
      <c r="E34" s="67">
        <f>E33/E$7</f>
        <v>0.35166666666666646</v>
      </c>
      <c r="J34" s="66" t="s">
        <v>178</v>
      </c>
      <c r="K34" s="67">
        <f>K33/K$7</f>
        <v>-0.47</v>
      </c>
      <c r="L34" s="67">
        <f>L33/L$7</f>
        <v>-6.7500000000000074E-2</v>
      </c>
      <c r="M34" s="67">
        <f>M33/M$7</f>
        <v>6.8333333333333149E-2</v>
      </c>
    </row>
    <row r="37" spans="2:14">
      <c r="B37" t="s">
        <v>179</v>
      </c>
      <c r="C37" s="137">
        <f>C20+C19*60%</f>
        <v>-30</v>
      </c>
      <c r="F37" s="138"/>
      <c r="J37" t="s">
        <v>179</v>
      </c>
      <c r="K37" s="137">
        <f>K20+K19*60%</f>
        <v>-30</v>
      </c>
      <c r="N37" s="138"/>
    </row>
    <row r="44" spans="2:14">
      <c r="B44" t="s">
        <v>181</v>
      </c>
    </row>
    <row r="46" spans="2:14">
      <c r="B46" t="s">
        <v>206</v>
      </c>
      <c r="C46" s="138">
        <v>100</v>
      </c>
      <c r="D46" s="138">
        <v>200</v>
      </c>
      <c r="E46" s="138">
        <v>300</v>
      </c>
    </row>
    <row r="47" spans="2:14">
      <c r="B47" t="s">
        <v>207</v>
      </c>
      <c r="C47" s="139"/>
      <c r="D47" s="140"/>
      <c r="E47" s="139"/>
    </row>
    <row r="49" spans="2:5">
      <c r="B49" t="s">
        <v>168</v>
      </c>
      <c r="C49" s="138">
        <v>-50</v>
      </c>
      <c r="D49" s="138">
        <v>-60</v>
      </c>
      <c r="E49" s="138">
        <v>-70</v>
      </c>
    </row>
    <row r="50" spans="2:5">
      <c r="B50" t="s">
        <v>169</v>
      </c>
      <c r="C50" s="138"/>
      <c r="D50" s="138"/>
      <c r="E50" s="138"/>
    </row>
    <row r="52" spans="2:5">
      <c r="B52" t="s">
        <v>173</v>
      </c>
      <c r="C52" s="138"/>
      <c r="D52" s="138"/>
      <c r="E52" s="138"/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4C5E-F7AA-4620-9344-A9224546E109}">
  <sheetPr>
    <tabColor rgb="FFFFFF00"/>
  </sheetPr>
  <dimension ref="B2:AU54"/>
  <sheetViews>
    <sheetView showGridLines="0" workbookViewId="0">
      <selection activeCell="S3" sqref="S3:AU5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/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C46+'3YP'!E32*C47</f>
        <v>50</v>
      </c>
      <c r="D7" s="93">
        <f>D46+'3YP'!F32*D47</f>
        <v>125</v>
      </c>
      <c r="E7" s="93">
        <f>E46+'3YP'!G32*E47</f>
        <v>237.5</v>
      </c>
      <c r="H7" s="9">
        <v>-0.3</v>
      </c>
      <c r="J7" s="64" t="s">
        <v>155</v>
      </c>
      <c r="K7" s="93">
        <f>C7*(1+$H$7)</f>
        <v>35</v>
      </c>
      <c r="L7" s="93">
        <f t="shared" ref="L7:M8" si="2">D7*(1+$H$7)</f>
        <v>87.5</v>
      </c>
      <c r="M7" s="93">
        <f t="shared" si="2"/>
        <v>166.25</v>
      </c>
    </row>
    <row r="8" spans="2:47">
      <c r="B8" t="s">
        <v>157</v>
      </c>
      <c r="C8" s="91">
        <f>-C7*(1-COGS!C31)</f>
        <v>-17.5</v>
      </c>
      <c r="D8" s="91">
        <f>-D7*(1-COGS!D31)</f>
        <v>-43.437500000000007</v>
      </c>
      <c r="E8" s="91">
        <f>-E7*(1-COGS!E31)</f>
        <v>-81.937500000000014</v>
      </c>
      <c r="J8" t="s">
        <v>157</v>
      </c>
      <c r="K8" s="91">
        <f>C8*(1+$H$7)</f>
        <v>-12.25</v>
      </c>
      <c r="L8" s="91">
        <f t="shared" si="2"/>
        <v>-30.406250000000004</v>
      </c>
      <c r="M8" s="91">
        <f t="shared" si="2"/>
        <v>-57.356250000000003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32.5</v>
      </c>
      <c r="D10" s="94">
        <f>SUM(D7:D8)</f>
        <v>81.5625</v>
      </c>
      <c r="E10" s="94">
        <f>SUM(E7:E8)</f>
        <v>155.5625</v>
      </c>
      <c r="J10" s="65" t="s">
        <v>158</v>
      </c>
      <c r="K10" s="94">
        <f>SUM(K7:K8)</f>
        <v>22.75</v>
      </c>
      <c r="L10" s="94">
        <f>SUM(L7:L8)</f>
        <v>57.09375</v>
      </c>
      <c r="M10" s="94">
        <f>SUM(M7:M8)</f>
        <v>108.89375</v>
      </c>
    </row>
    <row r="11" spans="2:47">
      <c r="B11" s="66" t="s">
        <v>160</v>
      </c>
      <c r="C11" s="67">
        <f>C10/C$7</f>
        <v>0.65</v>
      </c>
      <c r="D11" s="67">
        <f>D10/D$7</f>
        <v>0.65249999999999997</v>
      </c>
      <c r="E11" s="67">
        <f>E10/E$7</f>
        <v>0.65500000000000003</v>
      </c>
      <c r="J11" s="66" t="s">
        <v>160</v>
      </c>
      <c r="K11" s="67">
        <f>K10/K$7</f>
        <v>0.65</v>
      </c>
      <c r="L11" s="67">
        <f>L10/L$7</f>
        <v>0.65249999999999997</v>
      </c>
      <c r="M11" s="67">
        <f>M10/M$7</f>
        <v>0.65500000000000003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COS'!$C$32</f>
        <v>-0.5</v>
      </c>
      <c r="D13" s="91">
        <f>-D7*'Other COS'!$C$32</f>
        <v>-1.25</v>
      </c>
      <c r="E13" s="91">
        <f>-E7*'Other COS'!$C$32</f>
        <v>-2.375</v>
      </c>
      <c r="J13" t="s">
        <v>162</v>
      </c>
      <c r="K13" s="91">
        <f>-K7*'Other COS'!$C$32</f>
        <v>-0.35000000000000003</v>
      </c>
      <c r="L13" s="91">
        <f>-L7*'Other COS'!$C$32</f>
        <v>-0.875</v>
      </c>
      <c r="M13" s="91">
        <f>-M7*'Other COS'!$C$32</f>
        <v>-1.6625000000000001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32</v>
      </c>
      <c r="D16" s="94">
        <f>SUM(D10,D13:D14)</f>
        <v>80.3125</v>
      </c>
      <c r="E16" s="94">
        <f>SUM(E10,E13:E14)</f>
        <v>153.1875</v>
      </c>
      <c r="J16" s="65" t="s">
        <v>166</v>
      </c>
      <c r="K16" s="94">
        <f>SUM(K10,K13:K14)</f>
        <v>22.4</v>
      </c>
      <c r="L16" s="94">
        <f>SUM(L10,L13:L14)</f>
        <v>56.21875</v>
      </c>
      <c r="M16" s="94">
        <f>SUM(M10,M13:M14)</f>
        <v>107.23125</v>
      </c>
    </row>
    <row r="17" spans="2:13">
      <c r="B17" s="66" t="s">
        <v>167</v>
      </c>
      <c r="C17" s="67">
        <f>C16/C$7</f>
        <v>0.64</v>
      </c>
      <c r="D17" s="67">
        <f>D16/D$7</f>
        <v>0.64249999999999996</v>
      </c>
      <c r="E17" s="67">
        <f>E16/E$7</f>
        <v>0.64500000000000002</v>
      </c>
      <c r="J17" s="66" t="s">
        <v>167</v>
      </c>
      <c r="K17" s="67">
        <f>K16/K$7</f>
        <v>0.64</v>
      </c>
      <c r="L17" s="67">
        <f>L16/L$7</f>
        <v>0.64249999999999996</v>
      </c>
      <c r="M17" s="67">
        <f>M16/M$7</f>
        <v>0.64500000000000002</v>
      </c>
    </row>
    <row r="18" spans="2:13">
      <c r="B18" s="49"/>
      <c r="C18" s="3"/>
      <c r="D18" s="3"/>
      <c r="E18" s="3"/>
      <c r="J18" s="49"/>
      <c r="K18" s="3"/>
      <c r="L18" s="3"/>
      <c r="M18" s="3"/>
    </row>
    <row r="19" spans="2:13">
      <c r="B19" t="s">
        <v>168</v>
      </c>
      <c r="C19" s="91">
        <f>C49</f>
        <v>0</v>
      </c>
      <c r="D19" s="91">
        <f t="shared" ref="D19:E20" si="3">D49</f>
        <v>0</v>
      </c>
      <c r="E19" s="91">
        <f t="shared" si="3"/>
        <v>0</v>
      </c>
      <c r="J19" t="s">
        <v>168</v>
      </c>
      <c r="K19" s="91">
        <f t="shared" ref="K19:M20" si="4">C19</f>
        <v>0</v>
      </c>
      <c r="L19" s="91">
        <f t="shared" si="4"/>
        <v>0</v>
      </c>
      <c r="M19" s="91">
        <f t="shared" si="4"/>
        <v>0</v>
      </c>
    </row>
    <row r="20" spans="2:13">
      <c r="B20" t="s">
        <v>169</v>
      </c>
      <c r="C20" s="91">
        <f>C50</f>
        <v>0</v>
      </c>
      <c r="D20" s="91">
        <f t="shared" si="3"/>
        <v>0</v>
      </c>
      <c r="E20" s="91">
        <f t="shared" si="3"/>
        <v>0</v>
      </c>
      <c r="J20" t="s">
        <v>169</v>
      </c>
      <c r="K20" s="91">
        <f t="shared" si="4"/>
        <v>0</v>
      </c>
      <c r="L20" s="91">
        <f t="shared" si="4"/>
        <v>0</v>
      </c>
      <c r="M20" s="91">
        <f t="shared" si="4"/>
        <v>0</v>
      </c>
    </row>
    <row r="21" spans="2:13">
      <c r="B21" s="49"/>
      <c r="C21" s="3"/>
      <c r="D21" s="3"/>
      <c r="E21" s="3"/>
      <c r="J21" s="49"/>
      <c r="K21" s="3"/>
      <c r="L21" s="3"/>
      <c r="M21" s="3"/>
    </row>
    <row r="22" spans="2:13">
      <c r="B22" s="65" t="s">
        <v>170</v>
      </c>
      <c r="C22" s="94">
        <f>SUM(C16,C19:C20)</f>
        <v>32</v>
      </c>
      <c r="D22" s="94">
        <f>SUM(D16,D19:D20)</f>
        <v>80.3125</v>
      </c>
      <c r="E22" s="94">
        <f>SUM(E16,E19:E20)</f>
        <v>153.1875</v>
      </c>
      <c r="J22" s="65" t="s">
        <v>170</v>
      </c>
      <c r="K22" s="94">
        <f>SUM(K16,K19:K20)</f>
        <v>22.4</v>
      </c>
      <c r="L22" s="94">
        <f>SUM(L16,L19:L20)</f>
        <v>56.21875</v>
      </c>
      <c r="M22" s="94">
        <f>SUM(M16,M19:M20)</f>
        <v>107.23125</v>
      </c>
    </row>
    <row r="23" spans="2:13">
      <c r="B23" s="66" t="s">
        <v>171</v>
      </c>
      <c r="C23" s="67">
        <f>C22/C$7</f>
        <v>0.64</v>
      </c>
      <c r="D23" s="67">
        <f>D22/D$7</f>
        <v>0.64249999999999996</v>
      </c>
      <c r="E23" s="67">
        <f>E22/E$7</f>
        <v>0.64500000000000002</v>
      </c>
      <c r="J23" s="66" t="s">
        <v>171</v>
      </c>
      <c r="K23" s="67">
        <f>K22/K$7</f>
        <v>0.64</v>
      </c>
      <c r="L23" s="67">
        <f>L22/L$7</f>
        <v>0.64249999999999996</v>
      </c>
      <c r="M23" s="67">
        <f>M22/M$7</f>
        <v>0.64500000000000002</v>
      </c>
    </row>
    <row r="24" spans="2:13">
      <c r="B24" s="49"/>
      <c r="C24" s="3"/>
      <c r="D24" s="3"/>
      <c r="E24" s="3"/>
      <c r="J24" s="49"/>
      <c r="K24" s="3"/>
      <c r="L24" s="3"/>
      <c r="M24" s="3"/>
    </row>
    <row r="25" spans="2:13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f>C25</f>
        <v>0</v>
      </c>
      <c r="L25" s="91">
        <f t="shared" ref="L25:M26" si="5">D25</f>
        <v>0</v>
      </c>
      <c r="M25" s="91">
        <f t="shared" si="5"/>
        <v>0</v>
      </c>
    </row>
    <row r="26" spans="2:13">
      <c r="B26" t="s">
        <v>173</v>
      </c>
      <c r="C26" s="91">
        <f>C52</f>
        <v>0</v>
      </c>
      <c r="D26" s="91">
        <f t="shared" ref="D26:E26" si="6">D52</f>
        <v>0</v>
      </c>
      <c r="E26" s="91">
        <f t="shared" si="6"/>
        <v>0</v>
      </c>
      <c r="J26" t="s">
        <v>173</v>
      </c>
      <c r="K26" s="91">
        <f>C26</f>
        <v>0</v>
      </c>
      <c r="L26" s="91">
        <f t="shared" si="5"/>
        <v>0</v>
      </c>
      <c r="M26" s="91">
        <f t="shared" si="5"/>
        <v>0</v>
      </c>
    </row>
    <row r="27" spans="2:13">
      <c r="B27" s="49"/>
      <c r="C27" s="3"/>
      <c r="D27" s="3"/>
      <c r="E27" s="3"/>
      <c r="J27" s="49"/>
      <c r="K27" s="3"/>
      <c r="L27" s="3"/>
      <c r="M27" s="3"/>
    </row>
    <row r="28" spans="2:13">
      <c r="B28" s="65" t="s">
        <v>174</v>
      </c>
      <c r="C28" s="94">
        <f>SUM(C22,C25:C26)</f>
        <v>32</v>
      </c>
      <c r="D28" s="94">
        <f>SUM(D22,D25:D26)</f>
        <v>80.3125</v>
      </c>
      <c r="E28" s="94">
        <f>SUM(E22,E25:E26)</f>
        <v>153.1875</v>
      </c>
      <c r="J28" s="65" t="s">
        <v>174</v>
      </c>
      <c r="K28" s="94">
        <f>SUM(K22,K25:K26)</f>
        <v>22.4</v>
      </c>
      <c r="L28" s="94">
        <f>SUM(L22,L25:L26)</f>
        <v>56.21875</v>
      </c>
      <c r="M28" s="94">
        <f>SUM(M22,M25:M26)</f>
        <v>107.23125</v>
      </c>
    </row>
    <row r="29" spans="2:13">
      <c r="B29" s="66" t="s">
        <v>175</v>
      </c>
      <c r="C29" s="67">
        <f>C28/C$7</f>
        <v>0.64</v>
      </c>
      <c r="D29" s="67">
        <f>D28/D$7</f>
        <v>0.64249999999999996</v>
      </c>
      <c r="E29" s="67">
        <f>E28/E$7</f>
        <v>0.64500000000000002</v>
      </c>
      <c r="J29" s="66" t="s">
        <v>175</v>
      </c>
      <c r="K29" s="67">
        <f>K28/K$7</f>
        <v>0.64</v>
      </c>
      <c r="L29" s="67">
        <f>L28/L$7</f>
        <v>0.64249999999999996</v>
      </c>
      <c r="M29" s="67">
        <f>M28/M$7</f>
        <v>0.64500000000000002</v>
      </c>
    </row>
    <row r="30" spans="2:13">
      <c r="B30" s="49"/>
      <c r="C30" s="3"/>
      <c r="D30" s="3"/>
      <c r="E30" s="3"/>
      <c r="J30" s="49"/>
      <c r="K30" s="3"/>
      <c r="L30" s="3"/>
      <c r="M30" s="3"/>
    </row>
    <row r="31" spans="2:13">
      <c r="B31" t="s">
        <v>176</v>
      </c>
      <c r="C31" s="91">
        <f>C54</f>
        <v>-30</v>
      </c>
      <c r="D31" s="91">
        <f t="shared" ref="D31:E31" si="7">D54</f>
        <v>0</v>
      </c>
      <c r="E31" s="91">
        <f t="shared" si="7"/>
        <v>0</v>
      </c>
      <c r="J31" t="s">
        <v>176</v>
      </c>
      <c r="K31" s="91">
        <f>C31</f>
        <v>-30</v>
      </c>
      <c r="L31" s="91">
        <f t="shared" ref="L31:M31" si="8">D31</f>
        <v>0</v>
      </c>
      <c r="M31" s="91">
        <f t="shared" si="8"/>
        <v>0</v>
      </c>
    </row>
    <row r="32" spans="2:13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2</v>
      </c>
      <c r="D33" s="94">
        <f>SUM(D28,D31)</f>
        <v>80.3125</v>
      </c>
      <c r="E33" s="94">
        <f>SUM(E28,E31)</f>
        <v>153.1875</v>
      </c>
      <c r="J33" s="65" t="s">
        <v>177</v>
      </c>
      <c r="K33" s="94">
        <f>SUM(K28,K31)</f>
        <v>-7.6000000000000014</v>
      </c>
      <c r="L33" s="94">
        <f>SUM(L28,L31)</f>
        <v>56.21875</v>
      </c>
      <c r="M33" s="94">
        <f>SUM(M28,M31)</f>
        <v>107.23125</v>
      </c>
    </row>
    <row r="34" spans="2:14">
      <c r="B34" s="66" t="s">
        <v>178</v>
      </c>
      <c r="C34" s="67">
        <f>C33/C$7</f>
        <v>0.04</v>
      </c>
      <c r="D34" s="67">
        <f>D33/D$7</f>
        <v>0.64249999999999996</v>
      </c>
      <c r="E34" s="67">
        <f>E33/E$7</f>
        <v>0.64500000000000002</v>
      </c>
      <c r="J34" s="66" t="s">
        <v>178</v>
      </c>
      <c r="K34" s="67">
        <f>K33/K$7</f>
        <v>-0.21714285714285719</v>
      </c>
      <c r="L34" s="67">
        <f>L33/L$7</f>
        <v>0.64249999999999996</v>
      </c>
      <c r="M34" s="67">
        <f>M33/M$7</f>
        <v>0.64500000000000002</v>
      </c>
    </row>
    <row r="37" spans="2:14">
      <c r="B37" t="s">
        <v>179</v>
      </c>
      <c r="C37" s="91">
        <f>C31/2</f>
        <v>-15</v>
      </c>
      <c r="F37" t="s">
        <v>208</v>
      </c>
      <c r="J37" t="s">
        <v>179</v>
      </c>
      <c r="K37" s="91">
        <f>K31/2</f>
        <v>-15</v>
      </c>
      <c r="N37" t="s">
        <v>208</v>
      </c>
    </row>
    <row r="44" spans="2:14">
      <c r="B44" t="s">
        <v>181</v>
      </c>
    </row>
    <row r="46" spans="2:14">
      <c r="B46" t="s">
        <v>206</v>
      </c>
      <c r="C46" s="138">
        <f>100*50%</f>
        <v>50</v>
      </c>
      <c r="D46" s="138">
        <f>C46*1.5+100*50%</f>
        <v>125</v>
      </c>
      <c r="E46" s="138">
        <f>D46*1.5+100*50%</f>
        <v>237.5</v>
      </c>
    </row>
    <row r="47" spans="2:14">
      <c r="B47" t="s">
        <v>207</v>
      </c>
      <c r="C47" s="139"/>
      <c r="D47" s="140"/>
      <c r="E47" s="139"/>
    </row>
    <row r="49" spans="2:5">
      <c r="B49" t="s">
        <v>168</v>
      </c>
      <c r="C49" s="138"/>
      <c r="D49" s="138"/>
      <c r="E49" s="138"/>
    </row>
    <row r="50" spans="2:5">
      <c r="B50" t="s">
        <v>169</v>
      </c>
      <c r="C50" s="138"/>
      <c r="D50" s="138"/>
      <c r="E50" s="138"/>
    </row>
    <row r="52" spans="2:5">
      <c r="B52" t="s">
        <v>173</v>
      </c>
      <c r="C52" s="138"/>
      <c r="D52" s="138"/>
      <c r="E52" s="138"/>
    </row>
    <row r="54" spans="2:5">
      <c r="B54" t="s">
        <v>176</v>
      </c>
      <c r="C54" s="138">
        <f>-5*6</f>
        <v>-30</v>
      </c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4572-48D9-49DC-8A04-47672C223847}">
  <sheetPr>
    <tabColor rgb="FFFFFF00"/>
  </sheetPr>
  <dimension ref="B2:AU54"/>
  <sheetViews>
    <sheetView showGridLines="0" workbookViewId="0">
      <selection activeCell="S3" sqref="S3:AU5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/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C46+'3YP'!E32*C47</f>
        <v>100</v>
      </c>
      <c r="D7" s="93">
        <f>D46+'3YP'!F32*D47</f>
        <v>150</v>
      </c>
      <c r="E7" s="93">
        <f>E46+'3YP'!G32*E47</f>
        <v>250</v>
      </c>
      <c r="H7" s="9">
        <v>-0.5</v>
      </c>
      <c r="J7" s="64" t="s">
        <v>155</v>
      </c>
      <c r="K7" s="93">
        <f>C7*(1+$H$7)</f>
        <v>50</v>
      </c>
      <c r="L7" s="93">
        <f t="shared" ref="L7:M8" si="2">D7*(1+$H$7)</f>
        <v>75</v>
      </c>
      <c r="M7" s="93">
        <f t="shared" si="2"/>
        <v>125</v>
      </c>
    </row>
    <row r="8" spans="2:47">
      <c r="B8" t="s">
        <v>157</v>
      </c>
      <c r="C8" s="91">
        <f>-C7*(1-COGS!C31)</f>
        <v>-35</v>
      </c>
      <c r="D8" s="91">
        <f>-D7*(1-COGS!D31)</f>
        <v>-52.125000000000007</v>
      </c>
      <c r="E8" s="91">
        <f>-E7*(1-COGS!E31)</f>
        <v>-86.250000000000014</v>
      </c>
      <c r="J8" t="s">
        <v>157</v>
      </c>
      <c r="K8" s="91">
        <f>C8*(1+$H$7)</f>
        <v>-17.5</v>
      </c>
      <c r="L8" s="91">
        <f t="shared" si="2"/>
        <v>-26.062500000000004</v>
      </c>
      <c r="M8" s="91">
        <f t="shared" si="2"/>
        <v>-43.125000000000007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65</v>
      </c>
      <c r="D10" s="94">
        <f>SUM(D7:D8)</f>
        <v>97.875</v>
      </c>
      <c r="E10" s="94">
        <f>SUM(E7:E8)</f>
        <v>163.75</v>
      </c>
      <c r="J10" s="65" t="s">
        <v>158</v>
      </c>
      <c r="K10" s="94">
        <f>SUM(K7:K8)</f>
        <v>32.5</v>
      </c>
      <c r="L10" s="94">
        <f>SUM(L7:L8)</f>
        <v>48.9375</v>
      </c>
      <c r="M10" s="94">
        <f>SUM(M7:M8)</f>
        <v>81.875</v>
      </c>
    </row>
    <row r="11" spans="2:47">
      <c r="B11" s="66" t="s">
        <v>160</v>
      </c>
      <c r="C11" s="67">
        <f>C10/C$7</f>
        <v>0.65</v>
      </c>
      <c r="D11" s="67">
        <f>D10/D$7</f>
        <v>0.65249999999999997</v>
      </c>
      <c r="E11" s="67">
        <f>E10/E$7</f>
        <v>0.65500000000000003</v>
      </c>
      <c r="J11" s="66" t="s">
        <v>160</v>
      </c>
      <c r="K11" s="67">
        <f>K10/K$7</f>
        <v>0.65</v>
      </c>
      <c r="L11" s="67">
        <f>L10/L$7</f>
        <v>0.65249999999999997</v>
      </c>
      <c r="M11" s="67">
        <f>M10/M$7</f>
        <v>0.65500000000000003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COS'!$C$32</f>
        <v>-1</v>
      </c>
      <c r="D13" s="91">
        <f>-D7*'Other COS'!$C$32</f>
        <v>-1.5</v>
      </c>
      <c r="E13" s="91">
        <f>-E7*'Other COS'!$C$32</f>
        <v>-2.5</v>
      </c>
      <c r="J13" t="s">
        <v>162</v>
      </c>
      <c r="K13" s="91">
        <f>-K7*'Other COS'!$C$32</f>
        <v>-0.5</v>
      </c>
      <c r="L13" s="91">
        <f>-L7*'Other COS'!$C$32</f>
        <v>-0.75</v>
      </c>
      <c r="M13" s="91">
        <f>-M7*'Other COS'!$C$32</f>
        <v>-1.25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64</v>
      </c>
      <c r="D16" s="94">
        <f>SUM(D10,D13:D14)</f>
        <v>96.375</v>
      </c>
      <c r="E16" s="94">
        <f>SUM(E10,E13:E14)</f>
        <v>161.25</v>
      </c>
      <c r="J16" s="65" t="s">
        <v>166</v>
      </c>
      <c r="K16" s="94">
        <f>SUM(K10,K13:K14)</f>
        <v>32</v>
      </c>
      <c r="L16" s="94">
        <f>SUM(L10,L13:L14)</f>
        <v>48.1875</v>
      </c>
      <c r="M16" s="94">
        <f>SUM(M10,M13:M14)</f>
        <v>80.625</v>
      </c>
    </row>
    <row r="17" spans="2:13">
      <c r="B17" s="66" t="s">
        <v>167</v>
      </c>
      <c r="C17" s="67">
        <f>C16/C$7</f>
        <v>0.64</v>
      </c>
      <c r="D17" s="67">
        <f>D16/D$7</f>
        <v>0.64249999999999996</v>
      </c>
      <c r="E17" s="67">
        <f>E16/E$7</f>
        <v>0.64500000000000002</v>
      </c>
      <c r="J17" s="66" t="s">
        <v>167</v>
      </c>
      <c r="K17" s="67">
        <f>K16/K$7</f>
        <v>0.64</v>
      </c>
      <c r="L17" s="67">
        <f>L16/L$7</f>
        <v>0.64249999999999996</v>
      </c>
      <c r="M17" s="67">
        <f>M16/M$7</f>
        <v>0.64500000000000002</v>
      </c>
    </row>
    <row r="18" spans="2:13">
      <c r="B18" s="49"/>
      <c r="C18" s="3"/>
      <c r="D18" s="3"/>
      <c r="E18" s="3"/>
      <c r="J18" s="49"/>
      <c r="K18" s="3"/>
      <c r="L18" s="3"/>
      <c r="M18" s="3"/>
    </row>
    <row r="19" spans="2:13">
      <c r="B19" t="s">
        <v>168</v>
      </c>
      <c r="C19" s="91">
        <f>C49</f>
        <v>-50</v>
      </c>
      <c r="D19" s="91">
        <f t="shared" ref="D19:E20" si="3">D49</f>
        <v>-50</v>
      </c>
      <c r="E19" s="91">
        <f t="shared" si="3"/>
        <v>-50</v>
      </c>
      <c r="J19" t="s">
        <v>168</v>
      </c>
      <c r="K19" s="91">
        <f t="shared" ref="K19:M20" si="4">C19</f>
        <v>-50</v>
      </c>
      <c r="L19" s="91">
        <f t="shared" si="4"/>
        <v>-50</v>
      </c>
      <c r="M19" s="91">
        <f t="shared" si="4"/>
        <v>-50</v>
      </c>
    </row>
    <row r="20" spans="2:13">
      <c r="B20" t="s">
        <v>169</v>
      </c>
      <c r="C20" s="91">
        <f>C50</f>
        <v>0</v>
      </c>
      <c r="D20" s="91">
        <f t="shared" si="3"/>
        <v>0</v>
      </c>
      <c r="E20" s="91">
        <f t="shared" si="3"/>
        <v>0</v>
      </c>
      <c r="J20" t="s">
        <v>169</v>
      </c>
      <c r="K20" s="91">
        <f t="shared" si="4"/>
        <v>0</v>
      </c>
      <c r="L20" s="91">
        <f t="shared" si="4"/>
        <v>0</v>
      </c>
      <c r="M20" s="91">
        <f t="shared" si="4"/>
        <v>0</v>
      </c>
    </row>
    <row r="21" spans="2:13">
      <c r="B21" s="49"/>
      <c r="C21" s="3"/>
      <c r="D21" s="3"/>
      <c r="E21" s="3"/>
      <c r="J21" s="49"/>
      <c r="K21" s="3"/>
      <c r="L21" s="3"/>
      <c r="M21" s="3"/>
    </row>
    <row r="22" spans="2:13">
      <c r="B22" s="65" t="s">
        <v>170</v>
      </c>
      <c r="C22" s="94">
        <f>SUM(C16,C19:C20)</f>
        <v>14</v>
      </c>
      <c r="D22" s="94">
        <f>SUM(D16,D19:D20)</f>
        <v>46.375</v>
      </c>
      <c r="E22" s="94">
        <f>SUM(E16,E19:E20)</f>
        <v>111.25</v>
      </c>
      <c r="J22" s="65" t="s">
        <v>170</v>
      </c>
      <c r="K22" s="94">
        <f>SUM(K16,K19:K20)</f>
        <v>-18</v>
      </c>
      <c r="L22" s="94">
        <f>SUM(L16,L19:L20)</f>
        <v>-1.8125</v>
      </c>
      <c r="M22" s="94">
        <f>SUM(M16,M19:M20)</f>
        <v>30.625</v>
      </c>
    </row>
    <row r="23" spans="2:13">
      <c r="B23" s="66" t="s">
        <v>171</v>
      </c>
      <c r="C23" s="67">
        <f>C22/C$7</f>
        <v>0.14000000000000001</v>
      </c>
      <c r="D23" s="67">
        <f>D22/D$7</f>
        <v>0.30916666666666665</v>
      </c>
      <c r="E23" s="67">
        <f>E22/E$7</f>
        <v>0.44500000000000001</v>
      </c>
      <c r="J23" s="66" t="s">
        <v>171</v>
      </c>
      <c r="K23" s="67">
        <f>K22/K$7</f>
        <v>-0.36</v>
      </c>
      <c r="L23" s="67">
        <f>L22/L$7</f>
        <v>-2.4166666666666666E-2</v>
      </c>
      <c r="M23" s="67">
        <f>M22/M$7</f>
        <v>0.245</v>
      </c>
    </row>
    <row r="24" spans="2:13">
      <c r="B24" s="49"/>
      <c r="C24" s="3"/>
      <c r="D24" s="3"/>
      <c r="E24" s="3"/>
      <c r="J24" s="49"/>
      <c r="K24" s="3"/>
      <c r="L24" s="3"/>
      <c r="M24" s="3"/>
    </row>
    <row r="25" spans="2:13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f>C25</f>
        <v>0</v>
      </c>
      <c r="L25" s="91">
        <f t="shared" ref="L25:M26" si="5">D25</f>
        <v>0</v>
      </c>
      <c r="M25" s="91">
        <f t="shared" si="5"/>
        <v>0</v>
      </c>
    </row>
    <row r="26" spans="2:13">
      <c r="B26" t="s">
        <v>173</v>
      </c>
      <c r="C26" s="91">
        <f>C52</f>
        <v>0</v>
      </c>
      <c r="D26" s="91">
        <f t="shared" ref="D26:E26" si="6">D52</f>
        <v>0</v>
      </c>
      <c r="E26" s="91">
        <f t="shared" si="6"/>
        <v>0</v>
      </c>
      <c r="J26" t="s">
        <v>173</v>
      </c>
      <c r="K26" s="91">
        <f>C26</f>
        <v>0</v>
      </c>
      <c r="L26" s="91">
        <f t="shared" si="5"/>
        <v>0</v>
      </c>
      <c r="M26" s="91">
        <f t="shared" si="5"/>
        <v>0</v>
      </c>
    </row>
    <row r="27" spans="2:13">
      <c r="B27" s="49"/>
      <c r="C27" s="3"/>
      <c r="D27" s="3"/>
      <c r="E27" s="3"/>
      <c r="J27" s="49"/>
      <c r="K27" s="3"/>
      <c r="L27" s="3"/>
      <c r="M27" s="3"/>
    </row>
    <row r="28" spans="2:13">
      <c r="B28" s="65" t="s">
        <v>174</v>
      </c>
      <c r="C28" s="94">
        <f>SUM(C22,C25:C26)</f>
        <v>14</v>
      </c>
      <c r="D28" s="94">
        <f>SUM(D22,D25:D26)</f>
        <v>46.375</v>
      </c>
      <c r="E28" s="94">
        <f>SUM(E22,E25:E26)</f>
        <v>111.25</v>
      </c>
      <c r="J28" s="65" t="s">
        <v>174</v>
      </c>
      <c r="K28" s="94">
        <f>SUM(K22,K25:K26)</f>
        <v>-18</v>
      </c>
      <c r="L28" s="94">
        <f>SUM(L22,L25:L26)</f>
        <v>-1.8125</v>
      </c>
      <c r="M28" s="94">
        <f>SUM(M22,M25:M26)</f>
        <v>30.625</v>
      </c>
    </row>
    <row r="29" spans="2:13">
      <c r="B29" s="66" t="s">
        <v>175</v>
      </c>
      <c r="C29" s="67">
        <f>C28/C$7</f>
        <v>0.14000000000000001</v>
      </c>
      <c r="D29" s="67">
        <f>D28/D$7</f>
        <v>0.30916666666666665</v>
      </c>
      <c r="E29" s="67">
        <f>E28/E$7</f>
        <v>0.44500000000000001</v>
      </c>
      <c r="J29" s="66" t="s">
        <v>175</v>
      </c>
      <c r="K29" s="67">
        <f>K28/K$7</f>
        <v>-0.36</v>
      </c>
      <c r="L29" s="67">
        <f>L28/L$7</f>
        <v>-2.4166666666666666E-2</v>
      </c>
      <c r="M29" s="67">
        <f>M28/M$7</f>
        <v>0.245</v>
      </c>
    </row>
    <row r="30" spans="2:13">
      <c r="B30" s="49"/>
      <c r="C30" s="3"/>
      <c r="D30" s="3"/>
      <c r="E30" s="3"/>
      <c r="J30" s="49"/>
      <c r="K30" s="3"/>
      <c r="L30" s="3"/>
      <c r="M30" s="3"/>
    </row>
    <row r="31" spans="2:13">
      <c r="B31" t="s">
        <v>176</v>
      </c>
      <c r="C31" s="91">
        <f>C54</f>
        <v>0</v>
      </c>
      <c r="D31" s="91">
        <f t="shared" ref="D31:E31" si="7">D54</f>
        <v>0</v>
      </c>
      <c r="E31" s="91">
        <f t="shared" si="7"/>
        <v>0</v>
      </c>
      <c r="J31" t="s">
        <v>176</v>
      </c>
      <c r="K31" s="91">
        <f>C31</f>
        <v>0</v>
      </c>
      <c r="L31" s="91">
        <f t="shared" ref="L31:M31" si="8">D31</f>
        <v>0</v>
      </c>
      <c r="M31" s="91">
        <f t="shared" si="8"/>
        <v>0</v>
      </c>
    </row>
    <row r="32" spans="2:13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14</v>
      </c>
      <c r="D33" s="94">
        <f>SUM(D28,D31)</f>
        <v>46.375</v>
      </c>
      <c r="E33" s="94">
        <f>SUM(E28,E31)</f>
        <v>111.25</v>
      </c>
      <c r="J33" s="65" t="s">
        <v>177</v>
      </c>
      <c r="K33" s="94">
        <f>SUM(K28,K31)</f>
        <v>-18</v>
      </c>
      <c r="L33" s="94">
        <f>SUM(L28,L31)</f>
        <v>-1.8125</v>
      </c>
      <c r="M33" s="94">
        <f>SUM(M28,M31)</f>
        <v>30.625</v>
      </c>
    </row>
    <row r="34" spans="2:14">
      <c r="B34" s="66" t="s">
        <v>178</v>
      </c>
      <c r="C34" s="67">
        <f>C33/C$7</f>
        <v>0.14000000000000001</v>
      </c>
      <c r="D34" s="67">
        <f>D33/D$7</f>
        <v>0.30916666666666665</v>
      </c>
      <c r="E34" s="67">
        <f>E33/E$7</f>
        <v>0.44500000000000001</v>
      </c>
      <c r="J34" s="66" t="s">
        <v>178</v>
      </c>
      <c r="K34" s="67">
        <f>K33/K$7</f>
        <v>-0.36</v>
      </c>
      <c r="L34" s="67">
        <f>L33/L$7</f>
        <v>-2.4166666666666666E-2</v>
      </c>
      <c r="M34" s="67">
        <f>M33/M$7</f>
        <v>0.245</v>
      </c>
    </row>
    <row r="37" spans="2:14">
      <c r="B37" t="s">
        <v>179</v>
      </c>
      <c r="C37" s="137">
        <f>C31/2</f>
        <v>0</v>
      </c>
      <c r="F37" s="138"/>
      <c r="J37" t="s">
        <v>179</v>
      </c>
      <c r="K37" s="137">
        <f>K31/2</f>
        <v>0</v>
      </c>
      <c r="N37" s="138"/>
    </row>
    <row r="44" spans="2:14">
      <c r="B44" t="s">
        <v>181</v>
      </c>
    </row>
    <row r="46" spans="2:14">
      <c r="B46" t="s">
        <v>206</v>
      </c>
      <c r="C46" s="138">
        <v>100</v>
      </c>
      <c r="D46" s="138">
        <v>150</v>
      </c>
      <c r="E46" s="138">
        <v>250</v>
      </c>
    </row>
    <row r="47" spans="2:14">
      <c r="B47" t="s">
        <v>207</v>
      </c>
      <c r="C47" s="139"/>
      <c r="D47" s="140"/>
      <c r="E47" s="139"/>
    </row>
    <row r="49" spans="2:5">
      <c r="B49" t="s">
        <v>168</v>
      </c>
      <c r="C49" s="138">
        <v>-50</v>
      </c>
      <c r="D49" s="138">
        <v>-50</v>
      </c>
      <c r="E49" s="138">
        <v>-50</v>
      </c>
    </row>
    <row r="50" spans="2:5">
      <c r="B50" t="s">
        <v>169</v>
      </c>
      <c r="C50" s="138"/>
      <c r="D50" s="138"/>
      <c r="E50" s="138"/>
    </row>
    <row r="52" spans="2:5">
      <c r="B52" t="s">
        <v>173</v>
      </c>
      <c r="C52" s="138"/>
      <c r="D52" s="138"/>
      <c r="E52" s="138"/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432B-BAAF-4D25-A852-9C4166983F21}">
  <sheetPr>
    <tabColor rgb="FFFFFF00"/>
  </sheetPr>
  <dimension ref="B2:AU54"/>
  <sheetViews>
    <sheetView showGridLines="0" workbookViewId="0">
      <selection activeCell="S3" sqref="S3:AU5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 t="s">
        <v>209</v>
      </c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C46+'3YP'!E33*C47</f>
        <v>150</v>
      </c>
      <c r="D7" s="93">
        <f>D46+'3YP'!F33*D47</f>
        <v>200</v>
      </c>
      <c r="E7" s="93">
        <f>E46+'3YP'!G33*E47</f>
        <v>300</v>
      </c>
      <c r="H7" s="9">
        <v>-0.75</v>
      </c>
      <c r="J7" s="64" t="s">
        <v>155</v>
      </c>
      <c r="K7" s="93">
        <f>C7*(1+$H$7)</f>
        <v>37.5</v>
      </c>
      <c r="L7" s="93">
        <f t="shared" ref="L7:M8" si="2">D7*(1+$H$7)</f>
        <v>50</v>
      </c>
      <c r="M7" s="93">
        <f t="shared" si="2"/>
        <v>75</v>
      </c>
    </row>
    <row r="8" spans="2:47">
      <c r="B8" t="s">
        <v>157</v>
      </c>
      <c r="C8" s="91">
        <f>-C7*(1-COGS!C32)</f>
        <v>-49.499999999999993</v>
      </c>
      <c r="D8" s="91">
        <f>-D7*(1-COGS!D32)</f>
        <v>-65.5</v>
      </c>
      <c r="E8" s="91">
        <f>-E7*(1-COGS!E32)</f>
        <v>-97.500000000000014</v>
      </c>
      <c r="J8" t="s">
        <v>157</v>
      </c>
      <c r="K8" s="91">
        <f>C8*(1+$H$7)</f>
        <v>-12.374999999999998</v>
      </c>
      <c r="L8" s="91">
        <f t="shared" si="2"/>
        <v>-16.375</v>
      </c>
      <c r="M8" s="91">
        <f t="shared" si="2"/>
        <v>-24.375000000000004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100.5</v>
      </c>
      <c r="D10" s="94">
        <f>SUM(D7:D8)</f>
        <v>134.5</v>
      </c>
      <c r="E10" s="94">
        <f>SUM(E7:E8)</f>
        <v>202.5</v>
      </c>
      <c r="J10" s="65" t="s">
        <v>158</v>
      </c>
      <c r="K10" s="94">
        <f>SUM(K7:K8)</f>
        <v>25.125</v>
      </c>
      <c r="L10" s="94">
        <f>SUM(L7:L8)</f>
        <v>33.625</v>
      </c>
      <c r="M10" s="94">
        <f>SUM(M7:M8)</f>
        <v>50.625</v>
      </c>
    </row>
    <row r="11" spans="2:47">
      <c r="B11" s="66" t="s">
        <v>160</v>
      </c>
      <c r="C11" s="67">
        <f>C10/C$7</f>
        <v>0.67</v>
      </c>
      <c r="D11" s="67">
        <f>D10/D$7</f>
        <v>0.67249999999999999</v>
      </c>
      <c r="E11" s="67">
        <f>E10/E$7</f>
        <v>0.67500000000000004</v>
      </c>
      <c r="J11" s="66" t="s">
        <v>160</v>
      </c>
      <c r="K11" s="67">
        <f>K10/K$7</f>
        <v>0.67</v>
      </c>
      <c r="L11" s="67">
        <f>L10/L$7</f>
        <v>0.67249999999999999</v>
      </c>
      <c r="M11" s="67">
        <f>M10/M$7</f>
        <v>0.67500000000000004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COS'!$C$34</f>
        <v>0</v>
      </c>
      <c r="D13" s="91">
        <f>-D7*'Other COS'!$C$34</f>
        <v>0</v>
      </c>
      <c r="E13" s="91">
        <f>-E7*'Other COS'!$C$34</f>
        <v>0</v>
      </c>
      <c r="J13" t="s">
        <v>162</v>
      </c>
      <c r="K13" s="91">
        <f>-K7*'Other COS'!$C$34</f>
        <v>0</v>
      </c>
      <c r="L13" s="91">
        <f>-L7*'Other COS'!$C$34</f>
        <v>0</v>
      </c>
      <c r="M13" s="91">
        <f>-M7*'Other COS'!$C$34</f>
        <v>0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100.5</v>
      </c>
      <c r="D16" s="94">
        <f>SUM(D10,D13:D14)</f>
        <v>134.5</v>
      </c>
      <c r="E16" s="94">
        <f>SUM(E10,E13:E14)</f>
        <v>202.5</v>
      </c>
      <c r="J16" s="65" t="s">
        <v>166</v>
      </c>
      <c r="K16" s="94">
        <f>SUM(K10,K13:K14)</f>
        <v>25.125</v>
      </c>
      <c r="L16" s="94">
        <f>SUM(L10,L13:L14)</f>
        <v>33.625</v>
      </c>
      <c r="M16" s="94">
        <f>SUM(M10,M13:M14)</f>
        <v>50.625</v>
      </c>
    </row>
    <row r="17" spans="2:13">
      <c r="B17" s="66" t="s">
        <v>167</v>
      </c>
      <c r="C17" s="67">
        <f>C16/C$7</f>
        <v>0.67</v>
      </c>
      <c r="D17" s="67">
        <f>D16/D$7</f>
        <v>0.67249999999999999</v>
      </c>
      <c r="E17" s="67">
        <f>E16/E$7</f>
        <v>0.67500000000000004</v>
      </c>
      <c r="J17" s="66" t="s">
        <v>167</v>
      </c>
      <c r="K17" s="67">
        <f>K16/K$7</f>
        <v>0.67</v>
      </c>
      <c r="L17" s="67">
        <f>L16/L$7</f>
        <v>0.67249999999999999</v>
      </c>
      <c r="M17" s="67">
        <f>M16/M$7</f>
        <v>0.67500000000000004</v>
      </c>
    </row>
    <row r="18" spans="2:13">
      <c r="B18" s="49"/>
      <c r="C18" s="3"/>
      <c r="D18" s="3"/>
      <c r="E18" s="3"/>
      <c r="J18" s="49"/>
      <c r="K18" s="3"/>
      <c r="L18" s="3"/>
      <c r="M18" s="3"/>
    </row>
    <row r="19" spans="2:13">
      <c r="B19" t="s">
        <v>168</v>
      </c>
      <c r="C19" s="91">
        <f>C49</f>
        <v>0</v>
      </c>
      <c r="D19" s="91">
        <f t="shared" ref="D19:E20" si="3">D49</f>
        <v>0</v>
      </c>
      <c r="E19" s="91">
        <f t="shared" si="3"/>
        <v>0</v>
      </c>
      <c r="J19" t="s">
        <v>168</v>
      </c>
      <c r="K19" s="91">
        <f t="shared" ref="K19:M20" si="4">C19</f>
        <v>0</v>
      </c>
      <c r="L19" s="91">
        <f t="shared" si="4"/>
        <v>0</v>
      </c>
      <c r="M19" s="91">
        <f t="shared" si="4"/>
        <v>0</v>
      </c>
    </row>
    <row r="20" spans="2:13">
      <c r="B20" t="s">
        <v>169</v>
      </c>
      <c r="C20" s="91">
        <f>C50</f>
        <v>0</v>
      </c>
      <c r="D20" s="91">
        <f t="shared" si="3"/>
        <v>0</v>
      </c>
      <c r="E20" s="91">
        <f t="shared" si="3"/>
        <v>0</v>
      </c>
      <c r="J20" t="s">
        <v>169</v>
      </c>
      <c r="K20" s="91">
        <f t="shared" si="4"/>
        <v>0</v>
      </c>
      <c r="L20" s="91">
        <f t="shared" si="4"/>
        <v>0</v>
      </c>
      <c r="M20" s="91">
        <f t="shared" si="4"/>
        <v>0</v>
      </c>
    </row>
    <row r="21" spans="2:13">
      <c r="B21" s="49"/>
      <c r="C21" s="3"/>
      <c r="D21" s="3"/>
      <c r="E21" s="3"/>
      <c r="J21" s="49"/>
      <c r="K21" s="3"/>
      <c r="L21" s="3"/>
      <c r="M21" s="3"/>
    </row>
    <row r="22" spans="2:13">
      <c r="B22" s="65" t="s">
        <v>170</v>
      </c>
      <c r="C22" s="94">
        <f>SUM(C16,C19:C20)</f>
        <v>100.5</v>
      </c>
      <c r="D22" s="94">
        <f>SUM(D16,D19:D20)</f>
        <v>134.5</v>
      </c>
      <c r="E22" s="94">
        <f>SUM(E16,E19:E20)</f>
        <v>202.5</v>
      </c>
      <c r="J22" s="65" t="s">
        <v>170</v>
      </c>
      <c r="K22" s="94">
        <f>SUM(K16,K19:K20)</f>
        <v>25.125</v>
      </c>
      <c r="L22" s="94">
        <f>SUM(L16,L19:L20)</f>
        <v>33.625</v>
      </c>
      <c r="M22" s="94">
        <f>SUM(M16,M19:M20)</f>
        <v>50.625</v>
      </c>
    </row>
    <row r="23" spans="2:13">
      <c r="B23" s="66" t="s">
        <v>171</v>
      </c>
      <c r="C23" s="67">
        <f>C22/C$7</f>
        <v>0.67</v>
      </c>
      <c r="D23" s="67">
        <f>D22/D$7</f>
        <v>0.67249999999999999</v>
      </c>
      <c r="E23" s="67">
        <f>E22/E$7</f>
        <v>0.67500000000000004</v>
      </c>
      <c r="J23" s="66" t="s">
        <v>171</v>
      </c>
      <c r="K23" s="67">
        <f>K22/K$7</f>
        <v>0.67</v>
      </c>
      <c r="L23" s="67">
        <f>L22/L$7</f>
        <v>0.67249999999999999</v>
      </c>
      <c r="M23" s="67">
        <f>M22/M$7</f>
        <v>0.67500000000000004</v>
      </c>
    </row>
    <row r="24" spans="2:13">
      <c r="B24" s="49"/>
      <c r="C24" s="3"/>
      <c r="D24" s="3"/>
      <c r="E24" s="3"/>
      <c r="J24" s="49"/>
      <c r="K24" s="3"/>
      <c r="L24" s="3"/>
      <c r="M24" s="3"/>
    </row>
    <row r="25" spans="2:13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f>C25</f>
        <v>0</v>
      </c>
      <c r="L25" s="91">
        <f t="shared" ref="L25:M26" si="5">D25</f>
        <v>0</v>
      </c>
      <c r="M25" s="91">
        <f t="shared" si="5"/>
        <v>0</v>
      </c>
    </row>
    <row r="26" spans="2:13">
      <c r="B26" t="s">
        <v>173</v>
      </c>
      <c r="C26" s="91">
        <f>C52</f>
        <v>0</v>
      </c>
      <c r="D26" s="91">
        <f t="shared" ref="D26:E26" si="6">D52</f>
        <v>0</v>
      </c>
      <c r="E26" s="91">
        <f t="shared" si="6"/>
        <v>0</v>
      </c>
      <c r="J26" t="s">
        <v>173</v>
      </c>
      <c r="K26" s="91">
        <f>C26</f>
        <v>0</v>
      </c>
      <c r="L26" s="91">
        <f t="shared" si="5"/>
        <v>0</v>
      </c>
      <c r="M26" s="91">
        <f t="shared" si="5"/>
        <v>0</v>
      </c>
    </row>
    <row r="27" spans="2:13">
      <c r="B27" s="49"/>
      <c r="C27" s="3"/>
      <c r="D27" s="3"/>
      <c r="E27" s="3"/>
      <c r="J27" s="49"/>
      <c r="K27" s="3"/>
      <c r="L27" s="3"/>
      <c r="M27" s="3"/>
    </row>
    <row r="28" spans="2:13">
      <c r="B28" s="65" t="s">
        <v>174</v>
      </c>
      <c r="C28" s="94">
        <f>SUM(C22,C25:C26)</f>
        <v>100.5</v>
      </c>
      <c r="D28" s="94">
        <f>SUM(D22,D25:D26)</f>
        <v>134.5</v>
      </c>
      <c r="E28" s="94">
        <f>SUM(E22,E25:E26)</f>
        <v>202.5</v>
      </c>
      <c r="J28" s="65" t="s">
        <v>174</v>
      </c>
      <c r="K28" s="94">
        <f>SUM(K22,K25:K26)</f>
        <v>25.125</v>
      </c>
      <c r="L28" s="94">
        <f>SUM(L22,L25:L26)</f>
        <v>33.625</v>
      </c>
      <c r="M28" s="94">
        <f>SUM(M22,M25:M26)</f>
        <v>50.625</v>
      </c>
    </row>
    <row r="29" spans="2:13">
      <c r="B29" s="66" t="s">
        <v>175</v>
      </c>
      <c r="C29" s="67">
        <f>C28/C$7</f>
        <v>0.67</v>
      </c>
      <c r="D29" s="67">
        <f>D28/D$7</f>
        <v>0.67249999999999999</v>
      </c>
      <c r="E29" s="67">
        <f>E28/E$7</f>
        <v>0.67500000000000004</v>
      </c>
      <c r="J29" s="66" t="s">
        <v>175</v>
      </c>
      <c r="K29" s="67">
        <f>K28/K$7</f>
        <v>0.67</v>
      </c>
      <c r="L29" s="67">
        <f>L28/L$7</f>
        <v>0.67249999999999999</v>
      </c>
      <c r="M29" s="67">
        <f>M28/M$7</f>
        <v>0.67500000000000004</v>
      </c>
    </row>
    <row r="30" spans="2:13">
      <c r="B30" s="49"/>
      <c r="C30" s="3"/>
      <c r="D30" s="3"/>
      <c r="E30" s="3"/>
      <c r="J30" s="49"/>
      <c r="K30" s="3"/>
      <c r="L30" s="3"/>
      <c r="M30" s="3"/>
    </row>
    <row r="31" spans="2:13">
      <c r="B31" t="s">
        <v>176</v>
      </c>
      <c r="C31" s="91">
        <f>-C7*10%</f>
        <v>-15</v>
      </c>
      <c r="D31" s="91">
        <f t="shared" ref="D31:E31" si="7">-D7*10%</f>
        <v>-20</v>
      </c>
      <c r="E31" s="91">
        <f t="shared" si="7"/>
        <v>-30</v>
      </c>
      <c r="J31" t="s">
        <v>176</v>
      </c>
      <c r="K31" s="91">
        <f>-K7*10%</f>
        <v>-3.75</v>
      </c>
      <c r="L31" s="91">
        <f t="shared" ref="L31:M31" si="8">-L7*10%</f>
        <v>-5</v>
      </c>
      <c r="M31" s="91">
        <f t="shared" si="8"/>
        <v>-7.5</v>
      </c>
    </row>
    <row r="32" spans="2:13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85.5</v>
      </c>
      <c r="D33" s="94">
        <f>SUM(D28,D31)</f>
        <v>114.5</v>
      </c>
      <c r="E33" s="94">
        <f>SUM(E28,E31)</f>
        <v>172.5</v>
      </c>
      <c r="J33" s="65" t="s">
        <v>177</v>
      </c>
      <c r="K33" s="94">
        <f>SUM(K28,K31)</f>
        <v>21.375</v>
      </c>
      <c r="L33" s="94">
        <f>SUM(L28,L31)</f>
        <v>28.625</v>
      </c>
      <c r="M33" s="94">
        <f>SUM(M28,M31)</f>
        <v>43.125</v>
      </c>
    </row>
    <row r="34" spans="2:14">
      <c r="B34" s="66" t="s">
        <v>178</v>
      </c>
      <c r="C34" s="67">
        <f>C33/C$7</f>
        <v>0.56999999999999995</v>
      </c>
      <c r="D34" s="67">
        <f>D33/D$7</f>
        <v>0.57250000000000001</v>
      </c>
      <c r="E34" s="67">
        <f>E33/E$7</f>
        <v>0.57499999999999996</v>
      </c>
      <c r="J34" s="66" t="s">
        <v>178</v>
      </c>
      <c r="K34" s="67">
        <f>K33/K$7</f>
        <v>0.56999999999999995</v>
      </c>
      <c r="L34" s="67">
        <f>L33/L$7</f>
        <v>0.57250000000000001</v>
      </c>
      <c r="M34" s="67">
        <f>M33/M$7</f>
        <v>0.57499999999999996</v>
      </c>
    </row>
    <row r="37" spans="2:14">
      <c r="B37" t="s">
        <v>179</v>
      </c>
      <c r="C37" s="137">
        <v>0</v>
      </c>
      <c r="F37" s="138" t="s">
        <v>210</v>
      </c>
      <c r="J37" t="s">
        <v>179</v>
      </c>
      <c r="K37" s="137">
        <v>0</v>
      </c>
      <c r="N37" s="138" t="s">
        <v>210</v>
      </c>
    </row>
    <row r="44" spans="2:14">
      <c r="B44" t="s">
        <v>181</v>
      </c>
    </row>
    <row r="46" spans="2:14">
      <c r="B46" t="s">
        <v>206</v>
      </c>
      <c r="C46" s="138">
        <v>150</v>
      </c>
      <c r="D46" s="138">
        <v>200</v>
      </c>
      <c r="E46" s="138">
        <v>300</v>
      </c>
    </row>
    <row r="47" spans="2:14">
      <c r="B47" t="s">
        <v>207</v>
      </c>
      <c r="C47" s="139"/>
      <c r="D47" s="140"/>
      <c r="E47" s="139"/>
    </row>
    <row r="49" spans="2:5">
      <c r="B49" t="s">
        <v>168</v>
      </c>
      <c r="C49" s="138"/>
      <c r="D49" s="138"/>
      <c r="E49" s="138"/>
    </row>
    <row r="50" spans="2:5">
      <c r="B50" t="s">
        <v>169</v>
      </c>
      <c r="C50" s="138"/>
      <c r="D50" s="138"/>
      <c r="E50" s="138"/>
    </row>
    <row r="52" spans="2:5">
      <c r="B52" t="s">
        <v>173</v>
      </c>
      <c r="C52" s="138"/>
      <c r="D52" s="138"/>
      <c r="E52" s="138"/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C94D-B930-4B60-9F7C-E9827D59D16E}">
  <sheetPr>
    <tabColor rgb="FFFFFF00"/>
  </sheetPr>
  <dimension ref="B2:AU54"/>
  <sheetViews>
    <sheetView showGridLines="0" workbookViewId="0">
      <selection sqref="A1:XFD1048576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 t="s">
        <v>209</v>
      </c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C46+SUM('3YP'!E32:E33)*C47</f>
        <v>1200</v>
      </c>
      <c r="D7" s="93">
        <f>D46+SUM('3YP'!F32:F33)*D47</f>
        <v>2400</v>
      </c>
      <c r="E7" s="93">
        <f>E46+SUM('3YP'!G32:G33)*E47</f>
        <v>3260</v>
      </c>
      <c r="H7" s="9">
        <v>-0.9</v>
      </c>
      <c r="J7" s="64" t="s">
        <v>155</v>
      </c>
      <c r="K7" s="93">
        <f>C7*(1+$H$7)</f>
        <v>119.99999999999997</v>
      </c>
      <c r="L7" s="93">
        <f t="shared" ref="L7:M8" si="2">D7*(1+$H$7)</f>
        <v>239.99999999999994</v>
      </c>
      <c r="M7" s="93">
        <f t="shared" si="2"/>
        <v>325.99999999999994</v>
      </c>
    </row>
    <row r="8" spans="2:47">
      <c r="B8" t="s">
        <v>157</v>
      </c>
      <c r="C8" s="91">
        <f>-C46*(1-COGS!C32)-(C7-C46) *(1-AVERAGE(COGS!C30:C31))</f>
        <v>-404.99999999999994</v>
      </c>
      <c r="D8" s="91">
        <f>-D46*(1-COGS!D32)-(D7-D46) *(1-AVERAGE(COGS!D30:D31))</f>
        <v>-813</v>
      </c>
      <c r="E8" s="91">
        <f>-E46*(1-COGS!E32)-(E7-E46) *(1-AVERAGE(COGS!E30:E31))</f>
        <v>-1116.2000000000003</v>
      </c>
      <c r="J8" t="s">
        <v>157</v>
      </c>
      <c r="K8" s="91">
        <f>C8*(1+$H$7)</f>
        <v>-40.499999999999986</v>
      </c>
      <c r="L8" s="91">
        <f t="shared" si="2"/>
        <v>-81.299999999999983</v>
      </c>
      <c r="M8" s="91">
        <f t="shared" si="2"/>
        <v>-111.62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795</v>
      </c>
      <c r="D10" s="94">
        <f>SUM(D7:D8)</f>
        <v>1587</v>
      </c>
      <c r="E10" s="94">
        <f>SUM(E7:E8)</f>
        <v>2143.7999999999997</v>
      </c>
      <c r="J10" s="65" t="s">
        <v>158</v>
      </c>
      <c r="K10" s="94">
        <f>SUM(K7:K8)</f>
        <v>79.499999999999986</v>
      </c>
      <c r="L10" s="94">
        <f>SUM(L7:L8)</f>
        <v>158.69999999999996</v>
      </c>
      <c r="M10" s="94">
        <f>SUM(M7:M8)</f>
        <v>214.37999999999994</v>
      </c>
    </row>
    <row r="11" spans="2:47">
      <c r="B11" s="66" t="s">
        <v>160</v>
      </c>
      <c r="C11" s="67">
        <f>C10/C$7</f>
        <v>0.66249999999999998</v>
      </c>
      <c r="D11" s="67">
        <f>D10/D$7</f>
        <v>0.66125</v>
      </c>
      <c r="E11" s="67">
        <f>E10/E$7</f>
        <v>0.65760736196319014</v>
      </c>
      <c r="J11" s="66" t="s">
        <v>160</v>
      </c>
      <c r="K11" s="67">
        <f>K10/K$7</f>
        <v>0.66250000000000009</v>
      </c>
      <c r="L11" s="67">
        <f>L10/L$7</f>
        <v>0.66125</v>
      </c>
      <c r="M11" s="67">
        <f>M10/M$7</f>
        <v>0.65760736196319014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COS'!$C$34</f>
        <v>0</v>
      </c>
      <c r="D13" s="91">
        <f>-D7*'Other COS'!$C$34</f>
        <v>0</v>
      </c>
      <c r="E13" s="91">
        <f>-E7*'Other COS'!$C$34</f>
        <v>0</v>
      </c>
      <c r="J13" t="s">
        <v>162</v>
      </c>
      <c r="K13" s="91">
        <f>-K7*'Other COS'!$C$34</f>
        <v>0</v>
      </c>
      <c r="L13" s="91">
        <f>-L7*'Other COS'!$C$34</f>
        <v>0</v>
      </c>
      <c r="M13" s="91">
        <f>-M7*'Other COS'!$C$34</f>
        <v>0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795</v>
      </c>
      <c r="D16" s="94">
        <f>SUM(D10,D13:D14)</f>
        <v>1587</v>
      </c>
      <c r="E16" s="94">
        <f>SUM(E10,E13:E14)</f>
        <v>2143.7999999999997</v>
      </c>
      <c r="J16" s="65" t="s">
        <v>166</v>
      </c>
      <c r="K16" s="94">
        <f>SUM(K10,K13:K14)</f>
        <v>79.499999999999986</v>
      </c>
      <c r="L16" s="94">
        <f>SUM(L10,L13:L14)</f>
        <v>158.69999999999996</v>
      </c>
      <c r="M16" s="94">
        <f>SUM(M10,M13:M14)</f>
        <v>214.37999999999994</v>
      </c>
    </row>
    <row r="17" spans="2:18">
      <c r="B17" s="66" t="s">
        <v>167</v>
      </c>
      <c r="C17" s="67">
        <f>C16/C$7</f>
        <v>0.66249999999999998</v>
      </c>
      <c r="D17" s="67">
        <f>D16/D$7</f>
        <v>0.66125</v>
      </c>
      <c r="E17" s="67">
        <f>E16/E$7</f>
        <v>0.65760736196319014</v>
      </c>
      <c r="J17" s="66" t="s">
        <v>167</v>
      </c>
      <c r="K17" s="67">
        <f>K16/K$7</f>
        <v>0.66250000000000009</v>
      </c>
      <c r="L17" s="67">
        <f>L16/L$7</f>
        <v>0.66125</v>
      </c>
      <c r="M17" s="67">
        <f>M16/M$7</f>
        <v>0.65760736196319014</v>
      </c>
    </row>
    <row r="18" spans="2:18">
      <c r="B18" s="49"/>
      <c r="C18" s="3"/>
      <c r="D18" s="3"/>
      <c r="E18" s="3"/>
      <c r="J18" s="49"/>
      <c r="K18" s="3"/>
      <c r="L18" s="3"/>
      <c r="M18" s="3"/>
    </row>
    <row r="19" spans="2:18">
      <c r="B19" t="s">
        <v>168</v>
      </c>
      <c r="C19" s="91">
        <f>C49</f>
        <v>0</v>
      </c>
      <c r="D19" s="91">
        <f t="shared" ref="D19:E20" si="3">D49</f>
        <v>0</v>
      </c>
      <c r="E19" s="91">
        <f t="shared" si="3"/>
        <v>0</v>
      </c>
      <c r="J19" t="s">
        <v>168</v>
      </c>
      <c r="K19" s="91">
        <f t="shared" ref="K19:M20" si="4">C19</f>
        <v>0</v>
      </c>
      <c r="L19" s="91">
        <f t="shared" si="4"/>
        <v>0</v>
      </c>
      <c r="M19" s="91">
        <f t="shared" si="4"/>
        <v>0</v>
      </c>
    </row>
    <row r="20" spans="2:18">
      <c r="B20" t="s">
        <v>169</v>
      </c>
      <c r="C20" s="91">
        <f>C50</f>
        <v>0</v>
      </c>
      <c r="D20" s="91">
        <f t="shared" si="3"/>
        <v>0</v>
      </c>
      <c r="E20" s="91">
        <f t="shared" si="3"/>
        <v>0</v>
      </c>
      <c r="J20" t="s">
        <v>169</v>
      </c>
      <c r="K20" s="91">
        <f t="shared" si="4"/>
        <v>0</v>
      </c>
      <c r="L20" s="91">
        <f t="shared" si="4"/>
        <v>0</v>
      </c>
      <c r="M20" s="91">
        <f t="shared" si="4"/>
        <v>0</v>
      </c>
    </row>
    <row r="21" spans="2:18">
      <c r="B21" s="49"/>
      <c r="C21" s="3"/>
      <c r="D21" s="3"/>
      <c r="E21" s="3"/>
      <c r="J21" s="49"/>
      <c r="K21" s="3"/>
      <c r="L21" s="3"/>
      <c r="M21" s="3"/>
    </row>
    <row r="22" spans="2:18">
      <c r="B22" s="65" t="s">
        <v>170</v>
      </c>
      <c r="C22" s="94">
        <f>SUM(C16,C19:C20)</f>
        <v>795</v>
      </c>
      <c r="D22" s="94">
        <f>SUM(D16,D19:D20)</f>
        <v>1587</v>
      </c>
      <c r="E22" s="94">
        <f>SUM(E16,E19:E20)</f>
        <v>2143.7999999999997</v>
      </c>
      <c r="J22" s="65" t="s">
        <v>170</v>
      </c>
      <c r="K22" s="94">
        <f>SUM(K16,K19:K20)</f>
        <v>79.499999999999986</v>
      </c>
      <c r="L22" s="94">
        <f>SUM(L16,L19:L20)</f>
        <v>158.69999999999996</v>
      </c>
      <c r="M22" s="94">
        <f>SUM(M16,M19:M20)</f>
        <v>214.37999999999994</v>
      </c>
    </row>
    <row r="23" spans="2:18">
      <c r="B23" s="66" t="s">
        <v>171</v>
      </c>
      <c r="C23" s="67">
        <f>C22/C$7</f>
        <v>0.66249999999999998</v>
      </c>
      <c r="D23" s="67">
        <f>D22/D$7</f>
        <v>0.66125</v>
      </c>
      <c r="E23" s="67">
        <f>E22/E$7</f>
        <v>0.65760736196319014</v>
      </c>
      <c r="J23" s="66" t="s">
        <v>171</v>
      </c>
      <c r="K23" s="67">
        <f>K22/K$7</f>
        <v>0.66250000000000009</v>
      </c>
      <c r="L23" s="67">
        <f>L22/L$7</f>
        <v>0.66125</v>
      </c>
      <c r="M23" s="67">
        <f>M22/M$7</f>
        <v>0.65760736196319014</v>
      </c>
    </row>
    <row r="24" spans="2:18">
      <c r="B24" s="49"/>
      <c r="C24" s="3"/>
      <c r="D24" s="3"/>
      <c r="E24" s="3"/>
      <c r="J24" s="49"/>
      <c r="K24" s="3"/>
      <c r="L24" s="3"/>
      <c r="M24" s="3"/>
    </row>
    <row r="25" spans="2:18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f>C25</f>
        <v>0</v>
      </c>
      <c r="L25" s="91">
        <f t="shared" ref="L25:M26" si="5">D25</f>
        <v>0</v>
      </c>
      <c r="M25" s="91">
        <f t="shared" si="5"/>
        <v>0</v>
      </c>
    </row>
    <row r="26" spans="2:18">
      <c r="B26" t="s">
        <v>173</v>
      </c>
      <c r="C26" s="91">
        <f>C52</f>
        <v>-10</v>
      </c>
      <c r="D26" s="91">
        <f t="shared" ref="D26:E26" si="6">D52</f>
        <v>-15</v>
      </c>
      <c r="E26" s="91">
        <f t="shared" si="6"/>
        <v>-20</v>
      </c>
      <c r="J26" t="s">
        <v>173</v>
      </c>
      <c r="K26" s="91">
        <f>C26</f>
        <v>-10</v>
      </c>
      <c r="L26" s="91">
        <f t="shared" si="5"/>
        <v>-15</v>
      </c>
      <c r="M26" s="91">
        <f t="shared" si="5"/>
        <v>-20</v>
      </c>
    </row>
    <row r="27" spans="2:18">
      <c r="B27" s="49"/>
      <c r="C27" s="3"/>
      <c r="D27" s="3"/>
      <c r="E27" s="3"/>
      <c r="J27" s="49"/>
      <c r="K27" s="3"/>
      <c r="L27" s="3"/>
      <c r="M27" s="3"/>
    </row>
    <row r="28" spans="2:18">
      <c r="B28" s="65" t="s">
        <v>174</v>
      </c>
      <c r="C28" s="94">
        <f>SUM(C22,C25:C26)</f>
        <v>785</v>
      </c>
      <c r="D28" s="94">
        <f>SUM(D22,D25:D26)</f>
        <v>1572</v>
      </c>
      <c r="E28" s="94">
        <f>SUM(E22,E25:E26)</f>
        <v>2123.7999999999997</v>
      </c>
      <c r="J28" s="65" t="s">
        <v>174</v>
      </c>
      <c r="K28" s="94">
        <f>SUM(K22,K25:K26)</f>
        <v>69.499999999999986</v>
      </c>
      <c r="L28" s="94">
        <f>SUM(L22,L25:L26)</f>
        <v>143.69999999999996</v>
      </c>
      <c r="M28" s="94">
        <f>SUM(M22,M25:M26)</f>
        <v>194.37999999999994</v>
      </c>
    </row>
    <row r="29" spans="2:18">
      <c r="B29" s="66" t="s">
        <v>175</v>
      </c>
      <c r="C29" s="67">
        <f>C28/C$7</f>
        <v>0.65416666666666667</v>
      </c>
      <c r="D29" s="67">
        <f>D28/D$7</f>
        <v>0.65500000000000003</v>
      </c>
      <c r="E29" s="67">
        <f>E28/E$7</f>
        <v>0.65147239263803669</v>
      </c>
      <c r="J29" s="66" t="s">
        <v>175</v>
      </c>
      <c r="K29" s="67">
        <f>K28/K$7</f>
        <v>0.57916666666666672</v>
      </c>
      <c r="L29" s="67">
        <f>L28/L$7</f>
        <v>0.59875</v>
      </c>
      <c r="M29" s="67">
        <f>M28/M$7</f>
        <v>0.59625766871165631</v>
      </c>
      <c r="R29">
        <f>140+167+15+130+30+52</f>
        <v>534</v>
      </c>
    </row>
    <row r="30" spans="2:18">
      <c r="B30" s="49"/>
      <c r="C30" s="3"/>
      <c r="D30" s="3"/>
      <c r="E30" s="3"/>
      <c r="J30" s="49"/>
      <c r="K30" s="3"/>
      <c r="L30" s="3"/>
      <c r="M30" s="3"/>
    </row>
    <row r="31" spans="2:18">
      <c r="B31" t="s">
        <v>176</v>
      </c>
      <c r="C31" s="91">
        <f>-C7*10%-10*12</f>
        <v>-240</v>
      </c>
      <c r="D31" s="91">
        <f>-D7*10%-10*12*1.1</f>
        <v>-372</v>
      </c>
      <c r="E31" s="91">
        <f>-E7*10%-10*12*1.1^2</f>
        <v>-471.20000000000005</v>
      </c>
      <c r="J31" t="s">
        <v>176</v>
      </c>
      <c r="K31" s="91">
        <f>-K7*10%-10*12</f>
        <v>-132</v>
      </c>
      <c r="L31" s="91">
        <f>-L7*10%-10*12*1.1</f>
        <v>-156</v>
      </c>
      <c r="M31" s="91">
        <f>-M7*10%-10*12*1.1^2</f>
        <v>-177.8</v>
      </c>
    </row>
    <row r="32" spans="2:18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545</v>
      </c>
      <c r="D33" s="94">
        <f>SUM(D28,D31)</f>
        <v>1200</v>
      </c>
      <c r="E33" s="94">
        <f>SUM(E28,E31)</f>
        <v>1652.5999999999997</v>
      </c>
      <c r="J33" s="65" t="s">
        <v>177</v>
      </c>
      <c r="K33" s="94">
        <f>SUM(K28,K31)</f>
        <v>-62.500000000000014</v>
      </c>
      <c r="L33" s="94">
        <f>SUM(L28,L31)</f>
        <v>-12.30000000000004</v>
      </c>
      <c r="M33" s="94">
        <f>SUM(M28,M31)</f>
        <v>16.579999999999927</v>
      </c>
    </row>
    <row r="34" spans="2:14">
      <c r="B34" s="66" t="s">
        <v>178</v>
      </c>
      <c r="C34" s="67">
        <f>C33/C$7</f>
        <v>0.45416666666666666</v>
      </c>
      <c r="D34" s="67">
        <f>D33/D$7</f>
        <v>0.5</v>
      </c>
      <c r="E34" s="67">
        <f>E33/E$7</f>
        <v>0.50693251533742323</v>
      </c>
      <c r="J34" s="66" t="s">
        <v>178</v>
      </c>
      <c r="K34" s="67">
        <f>K33/K$7</f>
        <v>-0.52083333333333359</v>
      </c>
      <c r="L34" s="67">
        <f>L33/L$7</f>
        <v>-5.1250000000000177E-2</v>
      </c>
      <c r="M34" s="67">
        <f>M33/M$7</f>
        <v>5.0858895705521261E-2</v>
      </c>
    </row>
    <row r="37" spans="2:14">
      <c r="B37" t="s">
        <v>179</v>
      </c>
      <c r="C37" s="137">
        <f>C31*3/12</f>
        <v>-60</v>
      </c>
      <c r="F37" s="138" t="s">
        <v>211</v>
      </c>
      <c r="J37" t="s">
        <v>179</v>
      </c>
      <c r="K37" s="137">
        <f>K31*3/12</f>
        <v>-33</v>
      </c>
      <c r="N37" s="138" t="s">
        <v>211</v>
      </c>
    </row>
    <row r="44" spans="2:14">
      <c r="B44" t="s">
        <v>181</v>
      </c>
    </row>
    <row r="46" spans="2:14">
      <c r="B46" t="s">
        <v>206</v>
      </c>
      <c r="C46" s="138">
        <v>1000</v>
      </c>
      <c r="D46" s="138">
        <v>1800</v>
      </c>
      <c r="E46" s="138">
        <v>2000</v>
      </c>
    </row>
    <row r="47" spans="2:14">
      <c r="B47" t="s">
        <v>207</v>
      </c>
      <c r="C47" s="139">
        <v>0.2</v>
      </c>
      <c r="D47" s="139">
        <v>0.4</v>
      </c>
      <c r="E47" s="139">
        <v>0.6</v>
      </c>
      <c r="F47" t="s">
        <v>212</v>
      </c>
    </row>
    <row r="49" spans="2:5">
      <c r="B49" t="s">
        <v>168</v>
      </c>
      <c r="C49" s="138"/>
      <c r="D49" s="138"/>
      <c r="E49" s="138"/>
    </row>
    <row r="50" spans="2:5">
      <c r="B50" t="s">
        <v>169</v>
      </c>
      <c r="C50" s="138"/>
      <c r="D50" s="138"/>
      <c r="E50" s="138"/>
    </row>
    <row r="52" spans="2:5">
      <c r="B52" t="s">
        <v>173</v>
      </c>
      <c r="C52" s="138">
        <v>-10</v>
      </c>
      <c r="D52" s="138">
        <v>-15</v>
      </c>
      <c r="E52" s="138">
        <v>-20</v>
      </c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2820-187D-48DC-9990-009D6E98594E}">
  <sheetPr>
    <tabColor rgb="FFFFFF00"/>
  </sheetPr>
  <dimension ref="B2:AU54"/>
  <sheetViews>
    <sheetView showGridLines="0" workbookViewId="0">
      <selection activeCell="S3" sqref="S3:AU5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 t="s">
        <v>213</v>
      </c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C46+'3YP'!E33*C47</f>
        <v>50</v>
      </c>
      <c r="D7" s="93">
        <f>D46+'3YP'!F33*D47</f>
        <v>75</v>
      </c>
      <c r="E7" s="93">
        <f>E46+'3YP'!G33*E47</f>
        <v>100</v>
      </c>
      <c r="H7" s="9">
        <v>-0.5</v>
      </c>
      <c r="J7" s="64" t="s">
        <v>155</v>
      </c>
      <c r="K7" s="93">
        <f>C7*(1+$H$7)</f>
        <v>25</v>
      </c>
      <c r="L7" s="93">
        <f t="shared" ref="L7:M8" si="2">D7*(1+$H$7)</f>
        <v>37.5</v>
      </c>
      <c r="M7" s="93">
        <f t="shared" si="2"/>
        <v>50</v>
      </c>
    </row>
    <row r="8" spans="2:47">
      <c r="B8" t="s">
        <v>157</v>
      </c>
      <c r="C8" s="91">
        <f>-C7*(1-COGS!C32)</f>
        <v>-16.499999999999996</v>
      </c>
      <c r="D8" s="91">
        <f>-D7*(1-COGS!D32)</f>
        <v>-24.5625</v>
      </c>
      <c r="E8" s="91">
        <f>-E7*(1-COGS!E32)</f>
        <v>-32.500000000000007</v>
      </c>
      <c r="J8" t="s">
        <v>157</v>
      </c>
      <c r="K8" s="91">
        <f>C8*(1+$H$7)</f>
        <v>-8.2499999999999982</v>
      </c>
      <c r="L8" s="91">
        <f t="shared" si="2"/>
        <v>-12.28125</v>
      </c>
      <c r="M8" s="91">
        <f t="shared" si="2"/>
        <v>-16.250000000000004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33.5</v>
      </c>
      <c r="D10" s="94">
        <f>SUM(D7:D8)</f>
        <v>50.4375</v>
      </c>
      <c r="E10" s="94">
        <f>SUM(E7:E8)</f>
        <v>67.5</v>
      </c>
      <c r="J10" s="65" t="s">
        <v>158</v>
      </c>
      <c r="K10" s="94">
        <f>SUM(K7:K8)</f>
        <v>16.75</v>
      </c>
      <c r="L10" s="94">
        <f>SUM(L7:L8)</f>
        <v>25.21875</v>
      </c>
      <c r="M10" s="94">
        <f>SUM(M7:M8)</f>
        <v>33.75</v>
      </c>
    </row>
    <row r="11" spans="2:47">
      <c r="B11" s="66" t="s">
        <v>160</v>
      </c>
      <c r="C11" s="67">
        <f>C10/C$7</f>
        <v>0.67</v>
      </c>
      <c r="D11" s="67">
        <f>D10/D$7</f>
        <v>0.67249999999999999</v>
      </c>
      <c r="E11" s="67">
        <f>E10/E$7</f>
        <v>0.67500000000000004</v>
      </c>
      <c r="J11" s="66" t="s">
        <v>160</v>
      </c>
      <c r="K11" s="67">
        <f>K10/K$7</f>
        <v>0.67</v>
      </c>
      <c r="L11" s="67">
        <f>L10/L$7</f>
        <v>0.67249999999999999</v>
      </c>
      <c r="M11" s="67">
        <f>M10/M$7</f>
        <v>0.67500000000000004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COS'!$C$34</f>
        <v>0</v>
      </c>
      <c r="D13" s="91">
        <f>-D7*'Other COS'!$C$34</f>
        <v>0</v>
      </c>
      <c r="E13" s="91">
        <f>-E7*'Other COS'!$C$34</f>
        <v>0</v>
      </c>
      <c r="J13" t="s">
        <v>162</v>
      </c>
      <c r="K13" s="91">
        <f>-K7*'Other COS'!$C$34</f>
        <v>0</v>
      </c>
      <c r="L13" s="91">
        <f>-L7*'Other COS'!$C$34</f>
        <v>0</v>
      </c>
      <c r="M13" s="91">
        <f>-M7*'Other COS'!$C$34</f>
        <v>0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33.5</v>
      </c>
      <c r="D16" s="94">
        <f>SUM(D10,D13:D14)</f>
        <v>50.4375</v>
      </c>
      <c r="E16" s="94">
        <f>SUM(E10,E13:E14)</f>
        <v>67.5</v>
      </c>
      <c r="J16" s="65" t="s">
        <v>166</v>
      </c>
      <c r="K16" s="94">
        <f>SUM(K10,K13:K14)</f>
        <v>16.75</v>
      </c>
      <c r="L16" s="94">
        <f>SUM(L10,L13:L14)</f>
        <v>25.21875</v>
      </c>
      <c r="M16" s="94">
        <f>SUM(M10,M13:M14)</f>
        <v>33.75</v>
      </c>
    </row>
    <row r="17" spans="2:13">
      <c r="B17" s="66" t="s">
        <v>167</v>
      </c>
      <c r="C17" s="67">
        <f>C16/C$7</f>
        <v>0.67</v>
      </c>
      <c r="D17" s="67">
        <f>D16/D$7</f>
        <v>0.67249999999999999</v>
      </c>
      <c r="E17" s="67">
        <f>E16/E$7</f>
        <v>0.67500000000000004</v>
      </c>
      <c r="J17" s="66" t="s">
        <v>167</v>
      </c>
      <c r="K17" s="67">
        <f>K16/K$7</f>
        <v>0.67</v>
      </c>
      <c r="L17" s="67">
        <f>L16/L$7</f>
        <v>0.67249999999999999</v>
      </c>
      <c r="M17" s="67">
        <f>M16/M$7</f>
        <v>0.67500000000000004</v>
      </c>
    </row>
    <row r="18" spans="2:13">
      <c r="B18" s="49"/>
      <c r="C18" s="3"/>
      <c r="D18" s="3"/>
      <c r="E18" s="3"/>
      <c r="J18" s="49"/>
      <c r="K18" s="3"/>
      <c r="L18" s="3"/>
      <c r="M18" s="3"/>
    </row>
    <row r="19" spans="2:13">
      <c r="B19" t="s">
        <v>168</v>
      </c>
      <c r="C19" s="91">
        <f>C49</f>
        <v>0</v>
      </c>
      <c r="D19" s="91">
        <f t="shared" ref="D19:E20" si="3">D49</f>
        <v>0</v>
      </c>
      <c r="E19" s="91">
        <f t="shared" si="3"/>
        <v>0</v>
      </c>
      <c r="J19" t="s">
        <v>168</v>
      </c>
      <c r="K19" s="91">
        <f t="shared" ref="K19:M20" si="4">C19</f>
        <v>0</v>
      </c>
      <c r="L19" s="91">
        <f t="shared" si="4"/>
        <v>0</v>
      </c>
      <c r="M19" s="91">
        <f t="shared" si="4"/>
        <v>0</v>
      </c>
    </row>
    <row r="20" spans="2:13">
      <c r="B20" t="s">
        <v>169</v>
      </c>
      <c r="C20" s="91">
        <f>C50</f>
        <v>-36</v>
      </c>
      <c r="D20" s="91">
        <f t="shared" si="3"/>
        <v>-39.6</v>
      </c>
      <c r="E20" s="91">
        <f t="shared" si="3"/>
        <v>-43.56</v>
      </c>
      <c r="J20" t="s">
        <v>169</v>
      </c>
      <c r="K20" s="91">
        <f t="shared" si="4"/>
        <v>-36</v>
      </c>
      <c r="L20" s="91">
        <f t="shared" si="4"/>
        <v>-39.6</v>
      </c>
      <c r="M20" s="91">
        <f t="shared" si="4"/>
        <v>-43.56</v>
      </c>
    </row>
    <row r="21" spans="2:13">
      <c r="B21" s="49"/>
      <c r="C21" s="3"/>
      <c r="D21" s="3"/>
      <c r="E21" s="3"/>
      <c r="J21" s="49"/>
      <c r="K21" s="3"/>
      <c r="L21" s="3"/>
      <c r="M21" s="3"/>
    </row>
    <row r="22" spans="2:13">
      <c r="B22" s="65" t="s">
        <v>170</v>
      </c>
      <c r="C22" s="94">
        <f>SUM(C16,C19:C20)</f>
        <v>-2.5</v>
      </c>
      <c r="D22" s="94">
        <f>SUM(D16,D19:D20)</f>
        <v>10.837499999999999</v>
      </c>
      <c r="E22" s="94">
        <f>SUM(E16,E19:E20)</f>
        <v>23.939999999999998</v>
      </c>
      <c r="J22" s="65" t="s">
        <v>170</v>
      </c>
      <c r="K22" s="94">
        <f>SUM(K16,K19:K20)</f>
        <v>-19.25</v>
      </c>
      <c r="L22" s="94">
        <f>SUM(L16,L19:L20)</f>
        <v>-14.381250000000001</v>
      </c>
      <c r="M22" s="94">
        <f>SUM(M16,M19:M20)</f>
        <v>-9.8100000000000023</v>
      </c>
    </row>
    <row r="23" spans="2:13">
      <c r="B23" s="66" t="s">
        <v>171</v>
      </c>
      <c r="C23" s="67">
        <f>C22/C$7</f>
        <v>-0.05</v>
      </c>
      <c r="D23" s="67">
        <f>D22/D$7</f>
        <v>0.14449999999999999</v>
      </c>
      <c r="E23" s="67">
        <f>E22/E$7</f>
        <v>0.23939999999999997</v>
      </c>
      <c r="J23" s="66" t="s">
        <v>171</v>
      </c>
      <c r="K23" s="67">
        <f>K22/K$7</f>
        <v>-0.77</v>
      </c>
      <c r="L23" s="67">
        <f>L22/L$7</f>
        <v>-0.38350000000000006</v>
      </c>
      <c r="M23" s="67">
        <f>M22/M$7</f>
        <v>-0.19620000000000004</v>
      </c>
    </row>
    <row r="24" spans="2:13">
      <c r="B24" s="49"/>
      <c r="C24" s="3"/>
      <c r="D24" s="3"/>
      <c r="E24" s="3"/>
      <c r="J24" s="49"/>
      <c r="K24" s="3"/>
      <c r="L24" s="3"/>
      <c r="M24" s="3"/>
    </row>
    <row r="25" spans="2:13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f>C25</f>
        <v>0</v>
      </c>
      <c r="L25" s="91">
        <f t="shared" ref="L25:M26" si="5">D25</f>
        <v>0</v>
      </c>
      <c r="M25" s="91">
        <f t="shared" si="5"/>
        <v>0</v>
      </c>
    </row>
    <row r="26" spans="2:13">
      <c r="B26" t="s">
        <v>173</v>
      </c>
      <c r="C26" s="91">
        <f>C52</f>
        <v>0</v>
      </c>
      <c r="D26" s="91">
        <f t="shared" ref="D26:E26" si="6">D52</f>
        <v>0</v>
      </c>
      <c r="E26" s="91">
        <f t="shared" si="6"/>
        <v>0</v>
      </c>
      <c r="J26" t="s">
        <v>173</v>
      </c>
      <c r="K26" s="91">
        <f>C26</f>
        <v>0</v>
      </c>
      <c r="L26" s="91">
        <f t="shared" si="5"/>
        <v>0</v>
      </c>
      <c r="M26" s="91">
        <f t="shared" si="5"/>
        <v>0</v>
      </c>
    </row>
    <row r="27" spans="2:13">
      <c r="B27" s="49"/>
      <c r="C27" s="3"/>
      <c r="D27" s="3"/>
      <c r="E27" s="3"/>
      <c r="J27" s="49"/>
      <c r="K27" s="3"/>
      <c r="L27" s="3"/>
      <c r="M27" s="3"/>
    </row>
    <row r="28" spans="2:13">
      <c r="B28" s="65" t="s">
        <v>174</v>
      </c>
      <c r="C28" s="94">
        <f>SUM(C22,C25:C26)</f>
        <v>-2.5</v>
      </c>
      <c r="D28" s="94">
        <f>SUM(D22,D25:D26)</f>
        <v>10.837499999999999</v>
      </c>
      <c r="E28" s="94">
        <f>SUM(E22,E25:E26)</f>
        <v>23.939999999999998</v>
      </c>
      <c r="J28" s="65" t="s">
        <v>174</v>
      </c>
      <c r="K28" s="94">
        <f>SUM(K22,K25:K26)</f>
        <v>-19.25</v>
      </c>
      <c r="L28" s="94">
        <f>SUM(L22,L25:L26)</f>
        <v>-14.381250000000001</v>
      </c>
      <c r="M28" s="94">
        <f>SUM(M22,M25:M26)</f>
        <v>-9.8100000000000023</v>
      </c>
    </row>
    <row r="29" spans="2:13">
      <c r="B29" s="66" t="s">
        <v>175</v>
      </c>
      <c r="C29" s="67">
        <f>C28/C$7</f>
        <v>-0.05</v>
      </c>
      <c r="D29" s="67">
        <f>D28/D$7</f>
        <v>0.14449999999999999</v>
      </c>
      <c r="E29" s="67">
        <f>E28/E$7</f>
        <v>0.23939999999999997</v>
      </c>
      <c r="J29" s="66" t="s">
        <v>175</v>
      </c>
      <c r="K29" s="67">
        <f>K28/K$7</f>
        <v>-0.77</v>
      </c>
      <c r="L29" s="67">
        <f>L28/L$7</f>
        <v>-0.38350000000000006</v>
      </c>
      <c r="M29" s="67">
        <f>M28/M$7</f>
        <v>-0.19620000000000004</v>
      </c>
    </row>
    <row r="30" spans="2:13">
      <c r="B30" s="49"/>
      <c r="C30" s="3"/>
      <c r="D30" s="3"/>
      <c r="E30" s="3"/>
      <c r="J30" s="49"/>
      <c r="K30" s="3"/>
      <c r="L30" s="3"/>
      <c r="M30" s="3"/>
    </row>
    <row r="31" spans="2:13">
      <c r="B31" t="s">
        <v>176</v>
      </c>
      <c r="C31" s="91">
        <v>0</v>
      </c>
      <c r="D31" s="91">
        <v>0</v>
      </c>
      <c r="E31" s="91">
        <v>0</v>
      </c>
      <c r="J31" t="s">
        <v>176</v>
      </c>
      <c r="K31" s="91">
        <v>0</v>
      </c>
      <c r="L31" s="91">
        <v>0</v>
      </c>
      <c r="M31" s="91">
        <v>0</v>
      </c>
    </row>
    <row r="32" spans="2:13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-2.5</v>
      </c>
      <c r="D33" s="94">
        <f>SUM(D28,D31)</f>
        <v>10.837499999999999</v>
      </c>
      <c r="E33" s="94">
        <f>SUM(E28,E31)</f>
        <v>23.939999999999998</v>
      </c>
      <c r="J33" s="65" t="s">
        <v>177</v>
      </c>
      <c r="K33" s="94">
        <f>SUM(K28,K31)</f>
        <v>-19.25</v>
      </c>
      <c r="L33" s="94">
        <f>SUM(L28,L31)</f>
        <v>-14.381250000000001</v>
      </c>
      <c r="M33" s="94">
        <f>SUM(M28,M31)</f>
        <v>-9.8100000000000023</v>
      </c>
    </row>
    <row r="34" spans="2:14">
      <c r="B34" s="66" t="s">
        <v>178</v>
      </c>
      <c r="C34" s="67">
        <f>C33/C$7</f>
        <v>-0.05</v>
      </c>
      <c r="D34" s="67">
        <f>D33/D$7</f>
        <v>0.14449999999999999</v>
      </c>
      <c r="E34" s="67">
        <f>E33/E$7</f>
        <v>0.23939999999999997</v>
      </c>
      <c r="J34" s="66" t="s">
        <v>178</v>
      </c>
      <c r="K34" s="67">
        <f>K33/K$7</f>
        <v>-0.77</v>
      </c>
      <c r="L34" s="67">
        <f>L33/L$7</f>
        <v>-0.38350000000000006</v>
      </c>
      <c r="M34" s="67">
        <f>M33/M$7</f>
        <v>-0.19620000000000004</v>
      </c>
    </row>
    <row r="37" spans="2:14">
      <c r="B37" t="s">
        <v>179</v>
      </c>
      <c r="C37" s="137">
        <f>C20*6/12</f>
        <v>-18</v>
      </c>
      <c r="F37" s="138" t="s">
        <v>214</v>
      </c>
      <c r="J37" t="s">
        <v>179</v>
      </c>
      <c r="K37" s="137">
        <f>K20*6/12</f>
        <v>-18</v>
      </c>
      <c r="N37" s="138" t="s">
        <v>214</v>
      </c>
    </row>
    <row r="44" spans="2:14">
      <c r="B44" t="s">
        <v>181</v>
      </c>
    </row>
    <row r="46" spans="2:14">
      <c r="B46" t="s">
        <v>206</v>
      </c>
      <c r="C46" s="138">
        <v>50</v>
      </c>
      <c r="D46" s="138">
        <v>75</v>
      </c>
      <c r="E46" s="138">
        <v>100</v>
      </c>
    </row>
    <row r="47" spans="2:14">
      <c r="B47" t="s">
        <v>207</v>
      </c>
      <c r="C47" s="139"/>
      <c r="D47" s="140"/>
      <c r="E47" s="139"/>
    </row>
    <row r="49" spans="2:5">
      <c r="B49" t="s">
        <v>168</v>
      </c>
      <c r="C49" s="138"/>
      <c r="D49" s="138"/>
      <c r="E49" s="138"/>
    </row>
    <row r="50" spans="2:5">
      <c r="B50" t="s">
        <v>169</v>
      </c>
      <c r="C50" s="138">
        <f>-3*12</f>
        <v>-36</v>
      </c>
      <c r="D50" s="138">
        <f>C50*1.1</f>
        <v>-39.6</v>
      </c>
      <c r="E50" s="138">
        <f>D50*1.1</f>
        <v>-43.56</v>
      </c>
    </row>
    <row r="52" spans="2:5">
      <c r="B52" t="s">
        <v>173</v>
      </c>
      <c r="C52" s="138"/>
      <c r="D52" s="138"/>
      <c r="E52" s="138"/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0A04-2B29-4418-B7A1-EF398729E925}">
  <sheetPr>
    <tabColor rgb="FFFFFF00"/>
  </sheetPr>
  <dimension ref="B2:AU54"/>
  <sheetViews>
    <sheetView showGridLines="0" workbookViewId="0">
      <selection activeCell="S3" sqref="S3:AU5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 t="s">
        <v>215</v>
      </c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C46+'3YP'!E28*C47</f>
        <v>48.612500000000004</v>
      </c>
      <c r="D7" s="93">
        <f>D46+'3YP'!F28*D47</f>
        <v>52.900000000000006</v>
      </c>
      <c r="E7" s="93">
        <f>E46+'3YP'!G28*E47</f>
        <v>59</v>
      </c>
      <c r="H7" s="9">
        <v>-0.25</v>
      </c>
      <c r="J7" s="64" t="s">
        <v>155</v>
      </c>
      <c r="K7" s="93">
        <f>C7*(1+$H$7)</f>
        <v>36.459375000000001</v>
      </c>
      <c r="L7" s="93">
        <f t="shared" ref="L7:M8" si="2">D7*(1+$H$7)</f>
        <v>39.675000000000004</v>
      </c>
      <c r="M7" s="93">
        <f t="shared" si="2"/>
        <v>44.25</v>
      </c>
    </row>
    <row r="8" spans="2:47">
      <c r="B8" t="s">
        <v>157</v>
      </c>
      <c r="C8" s="91">
        <f>-C7*(1-COGS!C19)</f>
        <v>-17.014375000000001</v>
      </c>
      <c r="D8" s="91">
        <f>-D7*(1-COGS!D19)</f>
        <v>-18.382750000000005</v>
      </c>
      <c r="E8" s="91">
        <f>-E7*(1-COGS!E19)</f>
        <v>-20.355000000000004</v>
      </c>
      <c r="J8" t="s">
        <v>157</v>
      </c>
      <c r="K8" s="91">
        <f>C8*(1+$H$7)</f>
        <v>-12.760781250000001</v>
      </c>
      <c r="L8" s="91">
        <f t="shared" si="2"/>
        <v>-13.787062500000005</v>
      </c>
      <c r="M8" s="91">
        <f t="shared" si="2"/>
        <v>-15.266250000000003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31.598125000000003</v>
      </c>
      <c r="D10" s="94">
        <f>SUM(D7:D8)</f>
        <v>34.517250000000004</v>
      </c>
      <c r="E10" s="94">
        <f>SUM(E7:E8)</f>
        <v>38.644999999999996</v>
      </c>
      <c r="J10" s="65" t="s">
        <v>158</v>
      </c>
      <c r="K10" s="94">
        <f>SUM(K7:K8)</f>
        <v>23.698593750000001</v>
      </c>
      <c r="L10" s="94">
        <f>SUM(L7:L8)</f>
        <v>25.8879375</v>
      </c>
      <c r="M10" s="94">
        <f>SUM(M7:M8)</f>
        <v>28.983749999999997</v>
      </c>
    </row>
    <row r="11" spans="2:47">
      <c r="B11" s="66" t="s">
        <v>160</v>
      </c>
      <c r="C11" s="67">
        <f>C10/C$7</f>
        <v>0.65</v>
      </c>
      <c r="D11" s="67">
        <f>D10/D$7</f>
        <v>0.65249999999999997</v>
      </c>
      <c r="E11" s="67">
        <f>E10/E$7</f>
        <v>0.65499999999999992</v>
      </c>
      <c r="J11" s="66" t="s">
        <v>160</v>
      </c>
      <c r="K11" s="67">
        <f>K10/K$7</f>
        <v>0.65</v>
      </c>
      <c r="L11" s="67">
        <f>L10/L$7</f>
        <v>0.65249999999999997</v>
      </c>
      <c r="M11" s="67">
        <f>M10/M$7</f>
        <v>0.65499999999999992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COS'!$C$34</f>
        <v>0</v>
      </c>
      <c r="D13" s="91">
        <f>-D7*'Other COS'!$C$34</f>
        <v>0</v>
      </c>
      <c r="E13" s="91">
        <f>-E7*'Other COS'!$C$34</f>
        <v>0</v>
      </c>
      <c r="J13" t="s">
        <v>162</v>
      </c>
      <c r="K13" s="91">
        <f>-K7*'Other COS'!$C$34</f>
        <v>0</v>
      </c>
      <c r="L13" s="91">
        <f>-L7*'Other COS'!$C$34</f>
        <v>0</v>
      </c>
      <c r="M13" s="91">
        <f>-M7*'Other COS'!$C$34</f>
        <v>0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31.598125000000003</v>
      </c>
      <c r="D16" s="94">
        <f>SUM(D10,D13:D14)</f>
        <v>34.517250000000004</v>
      </c>
      <c r="E16" s="94">
        <f>SUM(E10,E13:E14)</f>
        <v>38.644999999999996</v>
      </c>
      <c r="J16" s="65" t="s">
        <v>166</v>
      </c>
      <c r="K16" s="94">
        <f>SUM(K10,K13:K14)</f>
        <v>23.698593750000001</v>
      </c>
      <c r="L16" s="94">
        <f>SUM(L10,L13:L14)</f>
        <v>25.8879375</v>
      </c>
      <c r="M16" s="94">
        <f>SUM(M10,M13:M14)</f>
        <v>28.983749999999997</v>
      </c>
    </row>
    <row r="17" spans="2:13">
      <c r="B17" s="66" t="s">
        <v>167</v>
      </c>
      <c r="C17" s="67">
        <f>C16/C$7</f>
        <v>0.65</v>
      </c>
      <c r="D17" s="67">
        <f>D16/D$7</f>
        <v>0.65249999999999997</v>
      </c>
      <c r="E17" s="67">
        <f>E16/E$7</f>
        <v>0.65499999999999992</v>
      </c>
      <c r="J17" s="66" t="s">
        <v>167</v>
      </c>
      <c r="K17" s="67">
        <f>K16/K$7</f>
        <v>0.65</v>
      </c>
      <c r="L17" s="67">
        <f>L16/L$7</f>
        <v>0.65249999999999997</v>
      </c>
      <c r="M17" s="67">
        <f>M16/M$7</f>
        <v>0.65499999999999992</v>
      </c>
    </row>
    <row r="18" spans="2:13">
      <c r="B18" s="49"/>
      <c r="C18" s="3"/>
      <c r="D18" s="3"/>
      <c r="E18" s="3"/>
      <c r="J18" s="49"/>
      <c r="K18" s="3"/>
      <c r="L18" s="3"/>
      <c r="M18" s="3"/>
    </row>
    <row r="19" spans="2:13">
      <c r="B19" t="s">
        <v>168</v>
      </c>
      <c r="C19" s="91">
        <f>C49</f>
        <v>0</v>
      </c>
      <c r="D19" s="91">
        <f t="shared" ref="D19:E19" si="3">D49</f>
        <v>0</v>
      </c>
      <c r="E19" s="91">
        <f t="shared" si="3"/>
        <v>0</v>
      </c>
      <c r="J19" t="s">
        <v>168</v>
      </c>
      <c r="K19" s="91">
        <f t="shared" ref="K19:M20" si="4">C19</f>
        <v>0</v>
      </c>
      <c r="L19" s="91">
        <f t="shared" si="4"/>
        <v>0</v>
      </c>
      <c r="M19" s="91">
        <f t="shared" si="4"/>
        <v>0</v>
      </c>
    </row>
    <row r="20" spans="2:13">
      <c r="B20" t="s">
        <v>169</v>
      </c>
      <c r="C20" s="91">
        <f>-Extra!N42/1000</f>
        <v>-120</v>
      </c>
      <c r="D20" s="91"/>
      <c r="E20" s="91">
        <f>C20*1.1</f>
        <v>-132</v>
      </c>
      <c r="J20" t="s">
        <v>169</v>
      </c>
      <c r="K20" s="91">
        <f t="shared" si="4"/>
        <v>-120</v>
      </c>
      <c r="L20" s="91">
        <f t="shared" si="4"/>
        <v>0</v>
      </c>
      <c r="M20" s="91">
        <f t="shared" si="4"/>
        <v>-132</v>
      </c>
    </row>
    <row r="21" spans="2:13">
      <c r="B21" s="49"/>
      <c r="C21" s="3"/>
      <c r="D21" s="3"/>
      <c r="E21" s="3"/>
      <c r="J21" s="49"/>
      <c r="K21" s="3"/>
      <c r="L21" s="3"/>
      <c r="M21" s="3"/>
    </row>
    <row r="22" spans="2:13">
      <c r="B22" s="65" t="s">
        <v>170</v>
      </c>
      <c r="C22" s="94">
        <f>SUM(C16,C19:C20)</f>
        <v>-88.40187499999999</v>
      </c>
      <c r="D22" s="94">
        <f>SUM(D16,D19:D20)</f>
        <v>34.517250000000004</v>
      </c>
      <c r="E22" s="94">
        <f>SUM(E16,E19:E20)</f>
        <v>-93.355000000000004</v>
      </c>
      <c r="J22" s="65" t="s">
        <v>170</v>
      </c>
      <c r="K22" s="94">
        <f>SUM(K16,K19:K20)</f>
        <v>-96.301406249999999</v>
      </c>
      <c r="L22" s="94">
        <f>SUM(L16,L19:L20)</f>
        <v>25.8879375</v>
      </c>
      <c r="M22" s="94">
        <f>SUM(M16,M19:M20)</f>
        <v>-103.01625</v>
      </c>
    </row>
    <row r="23" spans="2:13">
      <c r="B23" s="66" t="s">
        <v>171</v>
      </c>
      <c r="C23" s="67">
        <f>C22/C$7</f>
        <v>-1.818500899974286</v>
      </c>
      <c r="D23" s="67">
        <f>D22/D$7</f>
        <v>0.65249999999999997</v>
      </c>
      <c r="E23" s="67">
        <f>E22/E$7</f>
        <v>-1.5822881355932203</v>
      </c>
      <c r="J23" s="66" t="s">
        <v>171</v>
      </c>
      <c r="K23" s="67">
        <f>K22/K$7</f>
        <v>-2.6413345332990485</v>
      </c>
      <c r="L23" s="67">
        <f>L22/L$7</f>
        <v>0.65249999999999997</v>
      </c>
      <c r="M23" s="67">
        <f>M22/M$7</f>
        <v>-2.3280508474576269</v>
      </c>
    </row>
    <row r="24" spans="2:13">
      <c r="B24" s="49"/>
      <c r="C24" s="3"/>
      <c r="D24" s="3"/>
      <c r="E24" s="3"/>
      <c r="J24" s="49"/>
      <c r="K24" s="3"/>
      <c r="L24" s="3"/>
      <c r="M24" s="3"/>
    </row>
    <row r="25" spans="2:13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f>C25</f>
        <v>0</v>
      </c>
      <c r="L25" s="91">
        <f t="shared" ref="L25:M26" si="5">D25</f>
        <v>0</v>
      </c>
      <c r="M25" s="91">
        <f t="shared" si="5"/>
        <v>0</v>
      </c>
    </row>
    <row r="26" spans="2:13">
      <c r="B26" t="s">
        <v>173</v>
      </c>
      <c r="C26" s="91">
        <f>C52</f>
        <v>-5</v>
      </c>
      <c r="D26" s="91">
        <f t="shared" ref="D26:E26" si="6">D52</f>
        <v>0</v>
      </c>
      <c r="E26" s="91">
        <f t="shared" si="6"/>
        <v>-5</v>
      </c>
      <c r="J26" t="s">
        <v>173</v>
      </c>
      <c r="K26" s="91">
        <f>C26</f>
        <v>-5</v>
      </c>
      <c r="L26" s="91">
        <f t="shared" si="5"/>
        <v>0</v>
      </c>
      <c r="M26" s="91">
        <f t="shared" si="5"/>
        <v>-5</v>
      </c>
    </row>
    <row r="27" spans="2:13">
      <c r="B27" s="49"/>
      <c r="C27" s="3"/>
      <c r="D27" s="3"/>
      <c r="E27" s="3"/>
      <c r="J27" s="49"/>
      <c r="K27" s="3"/>
      <c r="L27" s="3"/>
      <c r="M27" s="3"/>
    </row>
    <row r="28" spans="2:13">
      <c r="B28" s="65" t="s">
        <v>174</v>
      </c>
      <c r="C28" s="94">
        <f>SUM(C22,C25:C26)</f>
        <v>-93.40187499999999</v>
      </c>
      <c r="D28" s="94">
        <f>SUM(D22,D25:D26)</f>
        <v>34.517250000000004</v>
      </c>
      <c r="E28" s="94">
        <f>SUM(E22,E25:E26)</f>
        <v>-98.355000000000004</v>
      </c>
      <c r="J28" s="65" t="s">
        <v>174</v>
      </c>
      <c r="K28" s="94">
        <f>SUM(K22,K25:K26)</f>
        <v>-101.30140625</v>
      </c>
      <c r="L28" s="94">
        <f>SUM(L22,L25:L26)</f>
        <v>25.8879375</v>
      </c>
      <c r="M28" s="94">
        <f>SUM(M22,M25:M26)</f>
        <v>-108.01625</v>
      </c>
    </row>
    <row r="29" spans="2:13">
      <c r="B29" s="66" t="s">
        <v>175</v>
      </c>
      <c r="C29" s="67">
        <f>C28/C$7</f>
        <v>-1.9213551041398813</v>
      </c>
      <c r="D29" s="67">
        <f>D28/D$7</f>
        <v>0.65249999999999997</v>
      </c>
      <c r="E29" s="67">
        <f>E28/E$7</f>
        <v>-1.6670338983050847</v>
      </c>
      <c r="J29" s="66" t="s">
        <v>175</v>
      </c>
      <c r="K29" s="67">
        <f>K28/K$7</f>
        <v>-2.778473472186509</v>
      </c>
      <c r="L29" s="67">
        <f>L28/L$7</f>
        <v>0.65249999999999997</v>
      </c>
      <c r="M29" s="67">
        <f>M28/M$7</f>
        <v>-2.4410451977401131</v>
      </c>
    </row>
    <row r="30" spans="2:13">
      <c r="B30" s="49"/>
      <c r="C30" s="3"/>
      <c r="D30" s="3"/>
      <c r="E30" s="3"/>
      <c r="J30" s="49"/>
      <c r="K30" s="3"/>
      <c r="L30" s="3"/>
      <c r="M30" s="3"/>
    </row>
    <row r="31" spans="2:13">
      <c r="B31" t="s">
        <v>176</v>
      </c>
      <c r="C31" s="91">
        <v>0</v>
      </c>
      <c r="D31" s="91">
        <v>0</v>
      </c>
      <c r="E31" s="91">
        <v>0</v>
      </c>
      <c r="J31" t="s">
        <v>176</v>
      </c>
      <c r="K31" s="91">
        <v>0</v>
      </c>
      <c r="L31" s="91">
        <v>0</v>
      </c>
      <c r="M31" s="91">
        <v>0</v>
      </c>
    </row>
    <row r="32" spans="2:13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-93.40187499999999</v>
      </c>
      <c r="D33" s="94">
        <f>SUM(D28,D31)</f>
        <v>34.517250000000004</v>
      </c>
      <c r="E33" s="94">
        <f>SUM(E28,E31)</f>
        <v>-98.355000000000004</v>
      </c>
      <c r="J33" s="65" t="s">
        <v>177</v>
      </c>
      <c r="K33" s="94">
        <f>SUM(K28,K31)</f>
        <v>-101.30140625</v>
      </c>
      <c r="L33" s="94">
        <f>SUM(L28,L31)</f>
        <v>25.8879375</v>
      </c>
      <c r="M33" s="94">
        <f>SUM(M28,M31)</f>
        <v>-108.01625</v>
      </c>
    </row>
    <row r="34" spans="2:14">
      <c r="B34" s="66" t="s">
        <v>178</v>
      </c>
      <c r="C34" s="67">
        <f>C33/C$7</f>
        <v>-1.9213551041398813</v>
      </c>
      <c r="D34" s="67">
        <f>D33/D$7</f>
        <v>0.65249999999999997</v>
      </c>
      <c r="E34" s="67">
        <f>E33/E$7</f>
        <v>-1.6670338983050847</v>
      </c>
      <c r="J34" s="66" t="s">
        <v>178</v>
      </c>
      <c r="K34" s="67">
        <f>K33/K$7</f>
        <v>-2.778473472186509</v>
      </c>
      <c r="L34" s="67">
        <f>L33/L$7</f>
        <v>0.65249999999999997</v>
      </c>
      <c r="M34" s="67">
        <f>M33/M$7</f>
        <v>-2.4410451977401131</v>
      </c>
    </row>
    <row r="37" spans="2:14">
      <c r="B37" t="s">
        <v>179</v>
      </c>
      <c r="C37" s="137">
        <f>C20+C26</f>
        <v>-125</v>
      </c>
      <c r="F37" s="138" t="s">
        <v>216</v>
      </c>
      <c r="J37" t="s">
        <v>179</v>
      </c>
      <c r="K37" s="137">
        <f>K20+K26</f>
        <v>-125</v>
      </c>
      <c r="N37" s="138" t="s">
        <v>216</v>
      </c>
    </row>
    <row r="44" spans="2:14">
      <c r="B44" t="s">
        <v>181</v>
      </c>
    </row>
    <row r="46" spans="2:14">
      <c r="B46" t="s">
        <v>206</v>
      </c>
      <c r="C46" s="138"/>
      <c r="D46" s="138"/>
      <c r="E46" s="138"/>
    </row>
    <row r="47" spans="2:14">
      <c r="B47" t="s">
        <v>207</v>
      </c>
      <c r="C47" s="139">
        <v>2.5000000000000001E-2</v>
      </c>
      <c r="D47" s="139">
        <v>2.5000000000000001E-2</v>
      </c>
      <c r="E47" s="139">
        <v>2.5000000000000001E-2</v>
      </c>
    </row>
    <row r="49" spans="2:5">
      <c r="B49" t="s">
        <v>168</v>
      </c>
      <c r="C49" s="138"/>
      <c r="D49" s="138"/>
      <c r="E49" s="138"/>
    </row>
    <row r="50" spans="2:5">
      <c r="B50" t="s">
        <v>169</v>
      </c>
      <c r="C50" s="138">
        <f>-3*12</f>
        <v>-36</v>
      </c>
      <c r="D50" s="138">
        <f>C50*1.1</f>
        <v>-39.6</v>
      </c>
      <c r="E50" s="138">
        <f>D50*1.1</f>
        <v>-43.56</v>
      </c>
    </row>
    <row r="52" spans="2:5">
      <c r="B52" t="s">
        <v>173</v>
      </c>
      <c r="C52" s="138">
        <v>-5</v>
      </c>
      <c r="D52" s="138"/>
      <c r="E52" s="138">
        <v>-5</v>
      </c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1623-DF0B-4FED-8BD8-B99D47BBE96D}">
  <sheetPr>
    <tabColor rgb="FFFFFF00"/>
  </sheetPr>
  <dimension ref="B2:AU54"/>
  <sheetViews>
    <sheetView showGridLines="0" workbookViewId="0">
      <selection activeCell="K38" sqref="K38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 t="s">
        <v>209</v>
      </c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C46+SUM('3YP'!E32:E33)*C47</f>
        <v>500</v>
      </c>
      <c r="D7" s="93">
        <f>D46+SUM('3YP'!F32:F33)*D47</f>
        <v>1000</v>
      </c>
      <c r="E7" s="93">
        <f>E46+SUM('3YP'!G32:G33)*E47</f>
        <v>2000</v>
      </c>
      <c r="H7" s="9">
        <v>-0.5</v>
      </c>
      <c r="J7" s="64" t="s">
        <v>155</v>
      </c>
      <c r="K7" s="93">
        <f>C7*(1+$H$7)</f>
        <v>250</v>
      </c>
      <c r="L7" s="93">
        <f t="shared" ref="L7:M8" si="2">D7*(1+$H$7)</f>
        <v>500</v>
      </c>
      <c r="M7" s="93">
        <f t="shared" si="2"/>
        <v>1000</v>
      </c>
    </row>
    <row r="8" spans="2:47">
      <c r="B8" t="s">
        <v>157</v>
      </c>
      <c r="C8" s="91">
        <f>-C46*(1-COGS!C32)</f>
        <v>-164.99999999999997</v>
      </c>
      <c r="D8" s="91">
        <f>-D46*(1-COGS!D32)</f>
        <v>-327.5</v>
      </c>
      <c r="E8" s="91">
        <f>-E46*(1-COGS!E32)</f>
        <v>-650.00000000000011</v>
      </c>
      <c r="J8" t="s">
        <v>157</v>
      </c>
      <c r="K8" s="91">
        <f>C8*(1+$H$7)</f>
        <v>-82.499999999999986</v>
      </c>
      <c r="L8" s="91">
        <f t="shared" si="2"/>
        <v>-163.75</v>
      </c>
      <c r="M8" s="91">
        <f t="shared" si="2"/>
        <v>-325.00000000000006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335</v>
      </c>
      <c r="D10" s="94">
        <f>SUM(D7:D8)</f>
        <v>672.5</v>
      </c>
      <c r="E10" s="94">
        <f>SUM(E7:E8)</f>
        <v>1350</v>
      </c>
      <c r="J10" s="65" t="s">
        <v>158</v>
      </c>
      <c r="K10" s="94">
        <f>SUM(K7:K8)</f>
        <v>167.5</v>
      </c>
      <c r="L10" s="94">
        <f>SUM(L7:L8)</f>
        <v>336.25</v>
      </c>
      <c r="M10" s="94">
        <f>SUM(M7:M8)</f>
        <v>675</v>
      </c>
    </row>
    <row r="11" spans="2:47">
      <c r="B11" s="66" t="s">
        <v>160</v>
      </c>
      <c r="C11" s="67">
        <f>C10/C$7</f>
        <v>0.67</v>
      </c>
      <c r="D11" s="67">
        <f>D10/D$7</f>
        <v>0.67249999999999999</v>
      </c>
      <c r="E11" s="67">
        <f>E10/E$7</f>
        <v>0.67500000000000004</v>
      </c>
      <c r="J11" s="66" t="s">
        <v>160</v>
      </c>
      <c r="K11" s="67">
        <f>K10/K$7</f>
        <v>0.67</v>
      </c>
      <c r="L11" s="67">
        <f>L10/L$7</f>
        <v>0.67249999999999999</v>
      </c>
      <c r="M11" s="67">
        <f>M10/M$7</f>
        <v>0.67500000000000004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-C7*'Other COS'!$C$34</f>
        <v>0</v>
      </c>
      <c r="D13" s="91">
        <f>-D7*'Other COS'!$C$34</f>
        <v>0</v>
      </c>
      <c r="E13" s="91">
        <f>-E7*'Other COS'!$C$34</f>
        <v>0</v>
      </c>
      <c r="J13" t="s">
        <v>162</v>
      </c>
      <c r="K13" s="91">
        <f>-K7*'Other COS'!$C$34</f>
        <v>0</v>
      </c>
      <c r="L13" s="91">
        <f>-L7*'Other COS'!$C$34</f>
        <v>0</v>
      </c>
      <c r="M13" s="91">
        <f>-M7*'Other COS'!$C$34</f>
        <v>0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v>0</v>
      </c>
      <c r="L14" s="91">
        <v>0</v>
      </c>
      <c r="M14" s="91">
        <v>0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335</v>
      </c>
      <c r="D16" s="94">
        <f>SUM(D10,D13:D14)</f>
        <v>672.5</v>
      </c>
      <c r="E16" s="94">
        <f>SUM(E10,E13:E14)</f>
        <v>1350</v>
      </c>
      <c r="J16" s="65" t="s">
        <v>166</v>
      </c>
      <c r="K16" s="94">
        <f>SUM(K10,K13:K14)</f>
        <v>167.5</v>
      </c>
      <c r="L16" s="94">
        <f>SUM(L10,L13:L14)</f>
        <v>336.25</v>
      </c>
      <c r="M16" s="94">
        <f>SUM(M10,M13:M14)</f>
        <v>675</v>
      </c>
    </row>
    <row r="17" spans="2:18">
      <c r="B17" s="66" t="s">
        <v>167</v>
      </c>
      <c r="C17" s="67">
        <f>C16/C$7</f>
        <v>0.67</v>
      </c>
      <c r="D17" s="67">
        <f>D16/D$7</f>
        <v>0.67249999999999999</v>
      </c>
      <c r="E17" s="67">
        <f>E16/E$7</f>
        <v>0.67500000000000004</v>
      </c>
      <c r="J17" s="66" t="s">
        <v>167</v>
      </c>
      <c r="K17" s="67">
        <f>K16/K$7</f>
        <v>0.67</v>
      </c>
      <c r="L17" s="67">
        <f>L16/L$7</f>
        <v>0.67249999999999999</v>
      </c>
      <c r="M17" s="67">
        <f>M16/M$7</f>
        <v>0.67500000000000004</v>
      </c>
    </row>
    <row r="18" spans="2:18">
      <c r="B18" s="49"/>
      <c r="C18" s="3"/>
      <c r="D18" s="3"/>
      <c r="E18" s="3"/>
      <c r="J18" s="49"/>
      <c r="K18" s="3"/>
      <c r="L18" s="3"/>
      <c r="M18" s="3"/>
    </row>
    <row r="19" spans="2:18">
      <c r="B19" t="s">
        <v>168</v>
      </c>
      <c r="C19" s="91">
        <f>C49</f>
        <v>0</v>
      </c>
      <c r="D19" s="91">
        <f t="shared" ref="D19:E20" si="3">D49</f>
        <v>0</v>
      </c>
      <c r="E19" s="91">
        <f t="shared" si="3"/>
        <v>0</v>
      </c>
      <c r="J19" t="s">
        <v>168</v>
      </c>
      <c r="K19" s="91">
        <f t="shared" ref="K19:M20" si="4">C19</f>
        <v>0</v>
      </c>
      <c r="L19" s="91">
        <f t="shared" si="4"/>
        <v>0</v>
      </c>
      <c r="M19" s="91">
        <f t="shared" si="4"/>
        <v>0</v>
      </c>
    </row>
    <row r="20" spans="2:18">
      <c r="B20" t="s">
        <v>169</v>
      </c>
      <c r="C20" s="91">
        <f>C50</f>
        <v>0</v>
      </c>
      <c r="D20" s="91">
        <f t="shared" si="3"/>
        <v>0</v>
      </c>
      <c r="E20" s="91">
        <f t="shared" si="3"/>
        <v>0</v>
      </c>
      <c r="J20" t="s">
        <v>169</v>
      </c>
      <c r="K20" s="91">
        <f t="shared" si="4"/>
        <v>0</v>
      </c>
      <c r="L20" s="91">
        <f t="shared" si="4"/>
        <v>0</v>
      </c>
      <c r="M20" s="91">
        <f t="shared" si="4"/>
        <v>0</v>
      </c>
    </row>
    <row r="21" spans="2:18">
      <c r="B21" s="49"/>
      <c r="C21" s="3"/>
      <c r="D21" s="3"/>
      <c r="E21" s="3"/>
      <c r="J21" s="49"/>
      <c r="K21" s="3"/>
      <c r="L21" s="3"/>
      <c r="M21" s="3"/>
    </row>
    <row r="22" spans="2:18">
      <c r="B22" s="65" t="s">
        <v>170</v>
      </c>
      <c r="C22" s="94">
        <f>SUM(C16,C19:C20)</f>
        <v>335</v>
      </c>
      <c r="D22" s="94">
        <f>SUM(D16,D19:D20)</f>
        <v>672.5</v>
      </c>
      <c r="E22" s="94">
        <f>SUM(E16,E19:E20)</f>
        <v>1350</v>
      </c>
      <c r="J22" s="65" t="s">
        <v>170</v>
      </c>
      <c r="K22" s="94">
        <f>SUM(K16,K19:K20)</f>
        <v>167.5</v>
      </c>
      <c r="L22" s="94">
        <f>SUM(L16,L19:L20)</f>
        <v>336.25</v>
      </c>
      <c r="M22" s="94">
        <f>SUM(M16,M19:M20)</f>
        <v>675</v>
      </c>
    </row>
    <row r="23" spans="2:18">
      <c r="B23" s="66" t="s">
        <v>171</v>
      </c>
      <c r="C23" s="67">
        <f>C22/C$7</f>
        <v>0.67</v>
      </c>
      <c r="D23" s="67">
        <f>D22/D$7</f>
        <v>0.67249999999999999</v>
      </c>
      <c r="E23" s="67">
        <f>E22/E$7</f>
        <v>0.67500000000000004</v>
      </c>
      <c r="J23" s="66" t="s">
        <v>171</v>
      </c>
      <c r="K23" s="67">
        <f>K22/K$7</f>
        <v>0.67</v>
      </c>
      <c r="L23" s="67">
        <f>L22/L$7</f>
        <v>0.67249999999999999</v>
      </c>
      <c r="M23" s="67">
        <f>M22/M$7</f>
        <v>0.67500000000000004</v>
      </c>
    </row>
    <row r="24" spans="2:18">
      <c r="B24" s="49"/>
      <c r="C24" s="3"/>
      <c r="D24" s="3"/>
      <c r="E24" s="3"/>
      <c r="J24" s="49"/>
      <c r="K24" s="3"/>
      <c r="L24" s="3"/>
      <c r="M24" s="3"/>
    </row>
    <row r="25" spans="2:18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f>C25</f>
        <v>0</v>
      </c>
      <c r="L25" s="91">
        <f t="shared" ref="L25:M26" si="5">D25</f>
        <v>0</v>
      </c>
      <c r="M25" s="91">
        <f t="shared" si="5"/>
        <v>0</v>
      </c>
    </row>
    <row r="26" spans="2:18">
      <c r="B26" t="s">
        <v>173</v>
      </c>
      <c r="C26" s="91">
        <f>C52</f>
        <v>-10</v>
      </c>
      <c r="D26" s="91">
        <f t="shared" ref="D26:E26" si="6">D52</f>
        <v>-15</v>
      </c>
      <c r="E26" s="91">
        <f t="shared" si="6"/>
        <v>-20</v>
      </c>
      <c r="J26" t="s">
        <v>173</v>
      </c>
      <c r="K26" s="91">
        <f>C26</f>
        <v>-10</v>
      </c>
      <c r="L26" s="91">
        <f t="shared" si="5"/>
        <v>-15</v>
      </c>
      <c r="M26" s="91">
        <f t="shared" si="5"/>
        <v>-20</v>
      </c>
    </row>
    <row r="27" spans="2:18">
      <c r="B27" s="49"/>
      <c r="C27" s="3"/>
      <c r="D27" s="3"/>
      <c r="E27" s="3"/>
      <c r="J27" s="49"/>
      <c r="K27" s="3"/>
      <c r="L27" s="3"/>
      <c r="M27" s="3"/>
    </row>
    <row r="28" spans="2:18">
      <c r="B28" s="65" t="s">
        <v>174</v>
      </c>
      <c r="C28" s="94">
        <f>SUM(C22,C25:C26)</f>
        <v>325</v>
      </c>
      <c r="D28" s="94">
        <f>SUM(D22,D25:D26)</f>
        <v>657.5</v>
      </c>
      <c r="E28" s="94">
        <f>SUM(E22,E25:E26)</f>
        <v>1330</v>
      </c>
      <c r="J28" s="65" t="s">
        <v>174</v>
      </c>
      <c r="K28" s="94">
        <f>SUM(K22,K25:K26)</f>
        <v>157.5</v>
      </c>
      <c r="L28" s="94">
        <f>SUM(L22,L25:L26)</f>
        <v>321.25</v>
      </c>
      <c r="M28" s="94">
        <f>SUM(M22,M25:M26)</f>
        <v>655</v>
      </c>
    </row>
    <row r="29" spans="2:18">
      <c r="B29" s="66" t="s">
        <v>175</v>
      </c>
      <c r="C29" s="67">
        <f>C28/C$7</f>
        <v>0.65</v>
      </c>
      <c r="D29" s="67">
        <f>D28/D$7</f>
        <v>0.65749999999999997</v>
      </c>
      <c r="E29" s="67">
        <f>E28/E$7</f>
        <v>0.66500000000000004</v>
      </c>
      <c r="J29" s="66" t="s">
        <v>175</v>
      </c>
      <c r="K29" s="67">
        <f>K28/K$7</f>
        <v>0.63</v>
      </c>
      <c r="L29" s="67">
        <f>L28/L$7</f>
        <v>0.64249999999999996</v>
      </c>
      <c r="M29" s="67">
        <f>M28/M$7</f>
        <v>0.65500000000000003</v>
      </c>
      <c r="R29">
        <f>140+167+15+130+30+52</f>
        <v>534</v>
      </c>
    </row>
    <row r="30" spans="2:18">
      <c r="B30" s="49"/>
      <c r="C30" s="3"/>
      <c r="D30" s="3"/>
      <c r="E30" s="3"/>
      <c r="J30" s="49"/>
      <c r="K30" s="3"/>
      <c r="L30" s="3"/>
      <c r="M30" s="3"/>
    </row>
    <row r="31" spans="2:18">
      <c r="B31" t="s">
        <v>176</v>
      </c>
      <c r="C31" s="91">
        <f>-8-C7*20%</f>
        <v>-108</v>
      </c>
      <c r="D31" s="91">
        <f>-D7*20%</f>
        <v>-200</v>
      </c>
      <c r="E31" s="91">
        <f>-E7*20%</f>
        <v>-400</v>
      </c>
      <c r="J31" t="s">
        <v>176</v>
      </c>
      <c r="K31" s="91">
        <f>-K7*10%-10*12</f>
        <v>-145</v>
      </c>
      <c r="L31" s="91">
        <f>-L7*10%-10*12*1.1</f>
        <v>-182</v>
      </c>
      <c r="M31" s="91">
        <f>-M7*10%-10*12*1.1^2</f>
        <v>-245.20000000000002</v>
      </c>
    </row>
    <row r="32" spans="2:18">
      <c r="B32" s="49"/>
      <c r="C32" s="3"/>
      <c r="D32" s="3"/>
      <c r="E32" s="3"/>
      <c r="J32" s="49"/>
      <c r="K32" s="3"/>
      <c r="L32" s="3"/>
      <c r="M32" s="3"/>
    </row>
    <row r="33" spans="2:14">
      <c r="B33" s="65" t="s">
        <v>177</v>
      </c>
      <c r="C33" s="94">
        <f>SUM(C28,C31)</f>
        <v>217</v>
      </c>
      <c r="D33" s="94">
        <f>SUM(D28,D31)</f>
        <v>457.5</v>
      </c>
      <c r="E33" s="94">
        <f>SUM(E28,E31)</f>
        <v>930</v>
      </c>
      <c r="J33" s="65" t="s">
        <v>177</v>
      </c>
      <c r="K33" s="94">
        <f>SUM(K28,K31)</f>
        <v>12.5</v>
      </c>
      <c r="L33" s="94">
        <f>SUM(L28,L31)</f>
        <v>139.25</v>
      </c>
      <c r="M33" s="94">
        <f>SUM(M28,M31)</f>
        <v>409.79999999999995</v>
      </c>
    </row>
    <row r="34" spans="2:14">
      <c r="B34" s="66" t="s">
        <v>178</v>
      </c>
      <c r="C34" s="67">
        <f>C33/C$7</f>
        <v>0.434</v>
      </c>
      <c r="D34" s="67">
        <f>D33/D$7</f>
        <v>0.45750000000000002</v>
      </c>
      <c r="E34" s="67">
        <f>E33/E$7</f>
        <v>0.46500000000000002</v>
      </c>
      <c r="J34" s="66" t="s">
        <v>178</v>
      </c>
      <c r="K34" s="67">
        <f>K33/K$7</f>
        <v>0.05</v>
      </c>
      <c r="L34" s="67">
        <f>L33/L$7</f>
        <v>0.27850000000000003</v>
      </c>
      <c r="M34" s="67">
        <f>M33/M$7</f>
        <v>0.40979999999999994</v>
      </c>
    </row>
    <row r="37" spans="2:14">
      <c r="B37" t="s">
        <v>179</v>
      </c>
      <c r="C37" s="137">
        <v>-8</v>
      </c>
      <c r="F37" s="138" t="s">
        <v>217</v>
      </c>
      <c r="J37" t="s">
        <v>179</v>
      </c>
      <c r="K37" s="137">
        <f>C37</f>
        <v>-8</v>
      </c>
      <c r="N37" s="138" t="s">
        <v>211</v>
      </c>
    </row>
    <row r="44" spans="2:14">
      <c r="B44" t="s">
        <v>181</v>
      </c>
    </row>
    <row r="46" spans="2:14">
      <c r="B46" t="s">
        <v>206</v>
      </c>
      <c r="C46" s="138">
        <v>500</v>
      </c>
      <c r="D46" s="138">
        <v>1000</v>
      </c>
      <c r="E46" s="138">
        <v>2000</v>
      </c>
    </row>
    <row r="47" spans="2:14">
      <c r="B47" t="s">
        <v>207</v>
      </c>
      <c r="C47" s="139"/>
      <c r="D47" s="139"/>
      <c r="E47" s="139"/>
    </row>
    <row r="49" spans="2:5">
      <c r="B49" t="s">
        <v>168</v>
      </c>
      <c r="C49" s="138"/>
      <c r="D49" s="138"/>
      <c r="E49" s="138"/>
    </row>
    <row r="50" spans="2:5">
      <c r="B50" t="s">
        <v>169</v>
      </c>
      <c r="C50" s="138"/>
      <c r="D50" s="138"/>
      <c r="E50" s="138"/>
    </row>
    <row r="52" spans="2:5">
      <c r="B52" t="s">
        <v>173</v>
      </c>
      <c r="C52" s="138">
        <v>-10</v>
      </c>
      <c r="D52" s="138">
        <v>-15</v>
      </c>
      <c r="E52" s="138">
        <v>-20</v>
      </c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B3CD-7105-4762-A2CA-380C2034D2F0}">
  <sheetPr>
    <tabColor rgb="FF92D050"/>
  </sheetPr>
  <dimension ref="B2:AU47"/>
  <sheetViews>
    <sheetView showGridLines="0" topLeftCell="A10" workbookViewId="0">
      <selection activeCell="U7" sqref="U7:AF7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6"/>
    </row>
    <row r="3" spans="2:47">
      <c r="B3" s="136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142">
        <f>'Co. 3 eComm Sales'!T62-'Co. 3 eComm Sales'!T60+250</f>
        <v>361</v>
      </c>
      <c r="D7" s="142">
        <f>C7*1.15+100</f>
        <v>515.15</v>
      </c>
      <c r="E7" s="142">
        <f>D7*1.15+100</f>
        <v>692.4224999999999</v>
      </c>
      <c r="H7" s="9">
        <v>-0.3</v>
      </c>
      <c r="J7" s="64" t="s">
        <v>155</v>
      </c>
      <c r="K7" s="93">
        <f>C7*(1+$H$7)</f>
        <v>252.7</v>
      </c>
      <c r="L7" s="93">
        <f t="shared" ref="L7:M8" si="2">D7*(1+$H$7)</f>
        <v>360.60499999999996</v>
      </c>
      <c r="M7" s="93">
        <f t="shared" si="2"/>
        <v>484.69574999999992</v>
      </c>
      <c r="U7" s="5">
        <f>$K7*'2026B'!M38/'2026B'!$C38</f>
        <v>22.972727272727269</v>
      </c>
      <c r="V7" s="5">
        <f>$K7*'2026B'!N38/'2026B'!$C38</f>
        <v>21.621390374331551</v>
      </c>
      <c r="W7" s="5">
        <f>$K7*'2026B'!O38/'2026B'!$C38</f>
        <v>20.607887700534757</v>
      </c>
      <c r="X7" s="5">
        <f>$K7*'2026B'!P38/'2026B'!$C38</f>
        <v>16.216042780748662</v>
      </c>
      <c r="Y7" s="5">
        <f>$K7*'2026B'!Q38/'2026B'!$C38</f>
        <v>18.918716577540106</v>
      </c>
      <c r="Z7" s="5">
        <f>$K7*'2026B'!R38/'2026B'!$C38</f>
        <v>16.891711229946523</v>
      </c>
      <c r="AA7" s="5">
        <f>$K7*'2026B'!S38/'2026B'!$C38</f>
        <v>17.905213903743313</v>
      </c>
      <c r="AB7" s="5">
        <f>$K7*'2026B'!T38/'2026B'!$C38</f>
        <v>18.243048128342245</v>
      </c>
      <c r="AC7" s="5">
        <f>$K7*'2026B'!U38/'2026B'!$C38</f>
        <v>19.594385026737967</v>
      </c>
      <c r="AD7" s="5">
        <f>$K7*'2026B'!V38/'2026B'!$C38</f>
        <v>22.297058823529412</v>
      </c>
      <c r="AE7" s="5">
        <f>$K7*'2026B'!W38/'2026B'!$C38</f>
        <v>30.405080213903744</v>
      </c>
      <c r="AF7" s="5">
        <f>$K7*'2026B'!X38/'2026B'!$C38</f>
        <v>27.026737967914439</v>
      </c>
      <c r="AH7">
        <f>S7</f>
        <v>0</v>
      </c>
      <c r="AI7">
        <f>AH7+T7</f>
        <v>0</v>
      </c>
      <c r="AJ7">
        <f t="shared" ref="AJ7:AU19" si="3">AI7+U7</f>
        <v>22.972727272727269</v>
      </c>
      <c r="AK7">
        <f t="shared" si="3"/>
        <v>44.594117647058823</v>
      </c>
      <c r="AL7">
        <f t="shared" si="3"/>
        <v>65.202005347593584</v>
      </c>
      <c r="AM7">
        <f t="shared" si="3"/>
        <v>81.418048128342249</v>
      </c>
      <c r="AN7">
        <f t="shared" si="3"/>
        <v>100.33676470588236</v>
      </c>
      <c r="AO7">
        <f t="shared" si="3"/>
        <v>117.22847593582888</v>
      </c>
      <c r="AP7">
        <f t="shared" si="3"/>
        <v>135.13368983957218</v>
      </c>
      <c r="AQ7">
        <f t="shared" si="3"/>
        <v>153.37673796791444</v>
      </c>
      <c r="AR7">
        <f t="shared" si="3"/>
        <v>172.9711229946524</v>
      </c>
      <c r="AS7">
        <f t="shared" si="3"/>
        <v>195.2681818181818</v>
      </c>
      <c r="AT7">
        <f t="shared" si="3"/>
        <v>225.67326203208555</v>
      </c>
      <c r="AU7">
        <f t="shared" si="3"/>
        <v>252.7</v>
      </c>
    </row>
    <row r="8" spans="2:47">
      <c r="B8" t="s">
        <v>157</v>
      </c>
      <c r="C8" s="91">
        <f>-C7*(1-COGS!C36)</f>
        <v>-28.879999999999985</v>
      </c>
      <c r="D8" s="91">
        <f>-D7*(1-COGS!D36)</f>
        <v>-39.924125000000004</v>
      </c>
      <c r="E8" s="91">
        <f>-E7*(1-COGS!E36)</f>
        <v>-51.931687500000038</v>
      </c>
      <c r="J8" t="s">
        <v>157</v>
      </c>
      <c r="K8" s="91">
        <f>C8*(1+$H$7)</f>
        <v>-20.215999999999987</v>
      </c>
      <c r="L8" s="91">
        <f t="shared" si="2"/>
        <v>-27.946887500000003</v>
      </c>
      <c r="M8" s="91">
        <f t="shared" si="2"/>
        <v>-36.352181250000022</v>
      </c>
      <c r="U8" s="91">
        <f>U7*$K$8/$K$7</f>
        <v>-1.8378181818181802</v>
      </c>
      <c r="V8" s="91">
        <f t="shared" ref="V8:AF8" si="4">V7*$K$8/$K$7</f>
        <v>-1.7297112299465229</v>
      </c>
      <c r="W8" s="91">
        <f t="shared" si="4"/>
        <v>-1.6486310160427797</v>
      </c>
      <c r="X8" s="91">
        <f t="shared" si="4"/>
        <v>-1.2972834224598921</v>
      </c>
      <c r="Y8" s="91">
        <f t="shared" si="4"/>
        <v>-1.5134973262032076</v>
      </c>
      <c r="Z8" s="91">
        <f t="shared" si="4"/>
        <v>-1.351336898395721</v>
      </c>
      <c r="AA8" s="91">
        <f t="shared" si="4"/>
        <v>-1.432417112299464</v>
      </c>
      <c r="AB8" s="91">
        <f t="shared" si="4"/>
        <v>-1.4594438502673788</v>
      </c>
      <c r="AC8" s="91">
        <f t="shared" si="4"/>
        <v>-1.5675508021390365</v>
      </c>
      <c r="AD8" s="91">
        <f t="shared" si="4"/>
        <v>-1.7837647058823518</v>
      </c>
      <c r="AE8" s="91">
        <f t="shared" si="4"/>
        <v>-2.4324064171122979</v>
      </c>
      <c r="AF8" s="91">
        <f t="shared" si="4"/>
        <v>-2.1621390374331537</v>
      </c>
      <c r="AH8">
        <f t="shared" ref="AH8:AH19" si="5">S8</f>
        <v>0</v>
      </c>
      <c r="AI8">
        <f t="shared" ref="AI8:AI19" si="6">AH8+T8</f>
        <v>0</v>
      </c>
      <c r="AJ8">
        <f t="shared" si="3"/>
        <v>-1.8378181818181802</v>
      </c>
      <c r="AK8">
        <f t="shared" si="3"/>
        <v>-3.5675294117647032</v>
      </c>
      <c r="AL8">
        <f t="shared" si="3"/>
        <v>-5.2161604278074831</v>
      </c>
      <c r="AM8">
        <f t="shared" si="3"/>
        <v>-6.5134438502673753</v>
      </c>
      <c r="AN8">
        <f t="shared" si="3"/>
        <v>-8.0269411764705829</v>
      </c>
      <c r="AO8">
        <f t="shared" si="3"/>
        <v>-9.3782780748663033</v>
      </c>
      <c r="AP8">
        <f t="shared" si="3"/>
        <v>-10.810695187165766</v>
      </c>
      <c r="AQ8">
        <f t="shared" si="3"/>
        <v>-12.270139037433145</v>
      </c>
      <c r="AR8">
        <f t="shared" si="3"/>
        <v>-13.837689839572182</v>
      </c>
      <c r="AS8">
        <f t="shared" si="3"/>
        <v>-15.621454545454533</v>
      </c>
      <c r="AT8">
        <f t="shared" si="3"/>
        <v>-18.05386096256683</v>
      </c>
      <c r="AU8">
        <f t="shared" si="3"/>
        <v>-20.215999999999983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332.12</v>
      </c>
      <c r="D10" s="94">
        <f>SUM(D7:D8)</f>
        <v>475.22587499999997</v>
      </c>
      <c r="E10" s="94">
        <f>SUM(E7:E8)</f>
        <v>640.49081249999983</v>
      </c>
      <c r="J10" s="65" t="s">
        <v>158</v>
      </c>
      <c r="K10" s="94">
        <f>SUM(K7:K8)</f>
        <v>232.48400000000001</v>
      </c>
      <c r="L10" s="94">
        <f>SUM(L7:L8)</f>
        <v>332.65811249999996</v>
      </c>
      <c r="M10" s="94">
        <f>SUM(M7:M8)</f>
        <v>448.34356874999992</v>
      </c>
      <c r="S10" s="94">
        <f>SUM(S7:S8)</f>
        <v>0</v>
      </c>
      <c r="T10" s="94">
        <f t="shared" ref="T10:AF10" si="7">SUM(T7:T8)</f>
        <v>0</v>
      </c>
      <c r="U10" s="94">
        <f t="shared" si="7"/>
        <v>21.13490909090909</v>
      </c>
      <c r="V10" s="94">
        <f t="shared" si="7"/>
        <v>19.891679144385026</v>
      </c>
      <c r="W10" s="94">
        <f t="shared" si="7"/>
        <v>18.959256684491976</v>
      </c>
      <c r="X10" s="94">
        <f t="shared" si="7"/>
        <v>14.918759358288771</v>
      </c>
      <c r="Y10" s="94">
        <f t="shared" si="7"/>
        <v>17.405219251336899</v>
      </c>
      <c r="Z10" s="94">
        <f t="shared" si="7"/>
        <v>15.540374331550803</v>
      </c>
      <c r="AA10" s="94">
        <f t="shared" si="7"/>
        <v>16.472796791443848</v>
      </c>
      <c r="AB10" s="94">
        <f t="shared" si="7"/>
        <v>16.783604278074865</v>
      </c>
      <c r="AC10" s="94">
        <f t="shared" si="7"/>
        <v>18.026834224598932</v>
      </c>
      <c r="AD10" s="94">
        <f t="shared" si="7"/>
        <v>20.51329411764706</v>
      </c>
      <c r="AE10" s="94">
        <f t="shared" si="7"/>
        <v>27.972673796791447</v>
      </c>
      <c r="AF10" s="94">
        <f t="shared" si="7"/>
        <v>24.864598930481286</v>
      </c>
      <c r="AH10" s="94">
        <f t="shared" ref="AH10:AU10" si="8">SUM(AH7:AH8)</f>
        <v>0</v>
      </c>
      <c r="AI10" s="94">
        <f t="shared" si="8"/>
        <v>0</v>
      </c>
      <c r="AJ10" s="94">
        <f t="shared" si="8"/>
        <v>21.13490909090909</v>
      </c>
      <c r="AK10" s="94">
        <f t="shared" si="8"/>
        <v>41.02658823529412</v>
      </c>
      <c r="AL10" s="94">
        <f t="shared" si="8"/>
        <v>59.985844919786103</v>
      </c>
      <c r="AM10" s="94">
        <f t="shared" si="8"/>
        <v>74.904604278074871</v>
      </c>
      <c r="AN10" s="94">
        <f t="shared" si="8"/>
        <v>92.309823529411773</v>
      </c>
      <c r="AO10" s="94">
        <f t="shared" si="8"/>
        <v>107.85019786096258</v>
      </c>
      <c r="AP10" s="94">
        <f t="shared" si="8"/>
        <v>124.32299465240642</v>
      </c>
      <c r="AQ10" s="94">
        <f t="shared" si="8"/>
        <v>141.10659893048128</v>
      </c>
      <c r="AR10" s="94">
        <f t="shared" si="8"/>
        <v>159.13343315508021</v>
      </c>
      <c r="AS10" s="94">
        <f t="shared" si="8"/>
        <v>179.64672727272728</v>
      </c>
      <c r="AT10" s="94">
        <f t="shared" si="8"/>
        <v>207.61940106951872</v>
      </c>
      <c r="AU10" s="94">
        <f t="shared" si="8"/>
        <v>232.48400000000001</v>
      </c>
    </row>
    <row r="11" spans="2:47">
      <c r="B11" s="66" t="s">
        <v>160</v>
      </c>
      <c r="C11" s="67">
        <f>C10/C$7</f>
        <v>0.92</v>
      </c>
      <c r="D11" s="67">
        <f>D10/D$7</f>
        <v>0.92249999999999999</v>
      </c>
      <c r="E11" s="67">
        <f>E10/E$7</f>
        <v>0.92499999999999993</v>
      </c>
      <c r="J11" s="66" t="s">
        <v>160</v>
      </c>
      <c r="K11" s="67">
        <f>K10/K$7</f>
        <v>0.92</v>
      </c>
      <c r="L11" s="67">
        <f>L10/L$7</f>
        <v>0.92249999999999999</v>
      </c>
      <c r="M11" s="67">
        <f>M10/M$7</f>
        <v>0.92499999999999993</v>
      </c>
      <c r="S11" s="67" t="e">
        <f>S10/S$7</f>
        <v>#DIV/0!</v>
      </c>
      <c r="T11" s="67" t="e">
        <f t="shared" ref="T11:AF11" si="9">T10/T$7</f>
        <v>#DIV/0!</v>
      </c>
      <c r="U11" s="67">
        <f t="shared" si="9"/>
        <v>0.92000000000000015</v>
      </c>
      <c r="V11" s="67">
        <f t="shared" si="9"/>
        <v>0.92</v>
      </c>
      <c r="W11" s="67">
        <f t="shared" si="9"/>
        <v>0.91999999999999993</v>
      </c>
      <c r="X11" s="67">
        <f t="shared" si="9"/>
        <v>0.92000000000000015</v>
      </c>
      <c r="Y11" s="67">
        <f t="shared" si="9"/>
        <v>0.92</v>
      </c>
      <c r="Z11" s="67">
        <f t="shared" si="9"/>
        <v>0.92</v>
      </c>
      <c r="AA11" s="67">
        <f t="shared" si="9"/>
        <v>0.92</v>
      </c>
      <c r="AB11" s="67">
        <f t="shared" si="9"/>
        <v>0.91999999999999993</v>
      </c>
      <c r="AC11" s="67">
        <f t="shared" si="9"/>
        <v>0.92000000000000015</v>
      </c>
      <c r="AD11" s="67">
        <f t="shared" si="9"/>
        <v>0.92</v>
      </c>
      <c r="AE11" s="67">
        <f t="shared" si="9"/>
        <v>0.92</v>
      </c>
      <c r="AF11" s="67">
        <f t="shared" si="9"/>
        <v>0.92</v>
      </c>
      <c r="AH11" s="67" t="e">
        <f t="shared" ref="AH11:AU11" si="10">AH10/AH$7</f>
        <v>#DIV/0!</v>
      </c>
      <c r="AI11" s="67" t="e">
        <f t="shared" si="10"/>
        <v>#DIV/0!</v>
      </c>
      <c r="AJ11" s="67">
        <f t="shared" si="10"/>
        <v>0.92000000000000015</v>
      </c>
      <c r="AK11" s="67">
        <f t="shared" si="10"/>
        <v>0.92</v>
      </c>
      <c r="AL11" s="67">
        <f t="shared" si="10"/>
        <v>0.92000000000000015</v>
      </c>
      <c r="AM11" s="67">
        <f t="shared" si="10"/>
        <v>0.92</v>
      </c>
      <c r="AN11" s="67">
        <f t="shared" si="10"/>
        <v>0.92</v>
      </c>
      <c r="AO11" s="67">
        <f t="shared" si="10"/>
        <v>0.92</v>
      </c>
      <c r="AP11" s="67">
        <f t="shared" si="10"/>
        <v>0.92</v>
      </c>
      <c r="AQ11" s="67">
        <f t="shared" si="10"/>
        <v>0.92</v>
      </c>
      <c r="AR11" s="67">
        <f t="shared" si="10"/>
        <v>0.92</v>
      </c>
      <c r="AS11" s="67">
        <f t="shared" si="10"/>
        <v>0.92</v>
      </c>
      <c r="AT11" s="67">
        <f t="shared" si="10"/>
        <v>0.92</v>
      </c>
      <c r="AU11" s="67">
        <f t="shared" si="10"/>
        <v>0.92</v>
      </c>
    </row>
    <row r="12" spans="2:47">
      <c r="B12" s="49"/>
      <c r="C12" s="3"/>
      <c r="D12" s="3"/>
      <c r="E12" s="3"/>
      <c r="J12" s="49"/>
      <c r="K12" s="3"/>
      <c r="L12" s="3"/>
      <c r="M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47">
      <c r="B13" t="s">
        <v>162</v>
      </c>
      <c r="C13" s="91">
        <f>-C7*'Other COS'!$C$37</f>
        <v>-10.83</v>
      </c>
      <c r="D13" s="91">
        <f>-D7*'Other COS'!$C$37</f>
        <v>-15.454499999999999</v>
      </c>
      <c r="E13" s="91">
        <f>-E7*'Other COS'!$C$37</f>
        <v>-20.772674999999996</v>
      </c>
      <c r="J13" t="s">
        <v>162</v>
      </c>
      <c r="K13" s="91">
        <f t="shared" ref="K13:M14" si="11">C13*(1+$H$7)</f>
        <v>-7.5809999999999995</v>
      </c>
      <c r="L13" s="91">
        <f t="shared" si="11"/>
        <v>-10.818149999999999</v>
      </c>
      <c r="M13" s="91">
        <f t="shared" si="11"/>
        <v>-14.540872499999995</v>
      </c>
      <c r="S13" s="91"/>
      <c r="T13" s="91"/>
      <c r="U13" s="91">
        <f>U7*$K$13/$K$7</f>
        <v>-0.68918181818181812</v>
      </c>
      <c r="V13" s="91">
        <f t="shared" ref="V13:AF13" si="12">V7*$K$13/$K$7</f>
        <v>-0.64864171122994652</v>
      </c>
      <c r="W13" s="91">
        <f t="shared" si="12"/>
        <v>-0.61823663101604276</v>
      </c>
      <c r="X13" s="91">
        <f t="shared" si="12"/>
        <v>-0.48648128342245989</v>
      </c>
      <c r="Y13" s="91">
        <f t="shared" si="12"/>
        <v>-0.56756149732620309</v>
      </c>
      <c r="Z13" s="91">
        <f t="shared" si="12"/>
        <v>-0.50675133689839569</v>
      </c>
      <c r="AA13" s="91">
        <f t="shared" si="12"/>
        <v>-0.53715641711229933</v>
      </c>
      <c r="AB13" s="91">
        <f t="shared" si="12"/>
        <v>-0.5472914438502674</v>
      </c>
      <c r="AC13" s="91">
        <f t="shared" si="12"/>
        <v>-0.587831550802139</v>
      </c>
      <c r="AD13" s="91">
        <f t="shared" si="12"/>
        <v>-0.66891176470588232</v>
      </c>
      <c r="AE13" s="91">
        <f t="shared" si="12"/>
        <v>-0.91215240641711237</v>
      </c>
      <c r="AF13" s="91">
        <f t="shared" si="12"/>
        <v>-0.81080213903743314</v>
      </c>
      <c r="AH13">
        <f t="shared" si="5"/>
        <v>0</v>
      </c>
      <c r="AI13">
        <f t="shared" si="6"/>
        <v>0</v>
      </c>
      <c r="AJ13">
        <f t="shared" si="3"/>
        <v>-0.68918181818181812</v>
      </c>
      <c r="AK13">
        <f t="shared" si="3"/>
        <v>-1.3378235294117646</v>
      </c>
      <c r="AL13">
        <f t="shared" si="3"/>
        <v>-1.9560601604278074</v>
      </c>
      <c r="AM13">
        <f t="shared" si="3"/>
        <v>-2.4425414438502671</v>
      </c>
      <c r="AN13">
        <f t="shared" si="3"/>
        <v>-3.0101029411764699</v>
      </c>
      <c r="AO13">
        <f t="shared" si="3"/>
        <v>-3.5168542780748657</v>
      </c>
      <c r="AP13">
        <f t="shared" si="3"/>
        <v>-4.0540106951871646</v>
      </c>
      <c r="AQ13">
        <f t="shared" si="3"/>
        <v>-4.6013021390374318</v>
      </c>
      <c r="AR13">
        <f t="shared" si="3"/>
        <v>-5.1891336898395704</v>
      </c>
      <c r="AS13">
        <f t="shared" si="3"/>
        <v>-5.8580454545454526</v>
      </c>
      <c r="AT13">
        <f t="shared" si="3"/>
        <v>-6.7701978609625648</v>
      </c>
      <c r="AU13">
        <f t="shared" si="3"/>
        <v>-7.5809999999999977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f t="shared" si="11"/>
        <v>0</v>
      </c>
      <c r="L14" s="91">
        <f t="shared" si="11"/>
        <v>0</v>
      </c>
      <c r="M14" s="91">
        <f t="shared" si="11"/>
        <v>0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</row>
    <row r="15" spans="2:47">
      <c r="B15" s="49"/>
      <c r="C15" s="3"/>
      <c r="D15" s="3"/>
      <c r="E15" s="3"/>
      <c r="J15" s="49"/>
      <c r="K15" s="3"/>
      <c r="L15" s="3"/>
      <c r="M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2:47">
      <c r="B16" s="65" t="s">
        <v>166</v>
      </c>
      <c r="C16" s="94">
        <f>SUM(C10,C13:C14)</f>
        <v>321.29000000000002</v>
      </c>
      <c r="D16" s="94">
        <f>SUM(D10,D13:D14)</f>
        <v>459.77137499999998</v>
      </c>
      <c r="E16" s="94">
        <f>SUM(E10,E13:E14)</f>
        <v>619.71813749999978</v>
      </c>
      <c r="J16" s="65" t="s">
        <v>166</v>
      </c>
      <c r="K16" s="94">
        <f>SUM(K10,K13:K14)</f>
        <v>224.90300000000002</v>
      </c>
      <c r="L16" s="94">
        <f>SUM(L10,L13:L14)</f>
        <v>321.83996249999996</v>
      </c>
      <c r="M16" s="94">
        <f>SUM(M10,M13:M14)</f>
        <v>433.80269624999994</v>
      </c>
      <c r="S16" s="94">
        <f>SUM(S10,S13:S14)</f>
        <v>0</v>
      </c>
      <c r="T16" s="94">
        <f t="shared" ref="T16:AF16" si="13">SUM(T10,T13:T14)</f>
        <v>0</v>
      </c>
      <c r="U16" s="94">
        <f t="shared" si="13"/>
        <v>20.445727272727272</v>
      </c>
      <c r="V16" s="94">
        <f t="shared" si="13"/>
        <v>19.243037433155081</v>
      </c>
      <c r="W16" s="94">
        <f t="shared" si="13"/>
        <v>18.341020053475933</v>
      </c>
      <c r="X16" s="94">
        <f t="shared" si="13"/>
        <v>14.432278074866311</v>
      </c>
      <c r="Y16" s="94">
        <f t="shared" si="13"/>
        <v>16.837657754010696</v>
      </c>
      <c r="Z16" s="94">
        <f t="shared" si="13"/>
        <v>15.033622994652408</v>
      </c>
      <c r="AA16" s="94">
        <f t="shared" si="13"/>
        <v>15.935640374331548</v>
      </c>
      <c r="AB16" s="94">
        <f t="shared" si="13"/>
        <v>16.236312834224599</v>
      </c>
      <c r="AC16" s="94">
        <f t="shared" si="13"/>
        <v>17.439002673796793</v>
      </c>
      <c r="AD16" s="94">
        <f t="shared" si="13"/>
        <v>19.844382352941178</v>
      </c>
      <c r="AE16" s="94">
        <f t="shared" si="13"/>
        <v>27.060521390374333</v>
      </c>
      <c r="AF16" s="94">
        <f t="shared" si="13"/>
        <v>24.053796791443851</v>
      </c>
      <c r="AH16" s="94">
        <f t="shared" ref="AH16:AU16" si="14">SUM(AH10,AH13:AH14)</f>
        <v>0</v>
      </c>
      <c r="AI16" s="94">
        <f t="shared" si="14"/>
        <v>0</v>
      </c>
      <c r="AJ16" s="94">
        <f t="shared" si="14"/>
        <v>20.445727272727272</v>
      </c>
      <c r="AK16" s="94">
        <f t="shared" si="14"/>
        <v>39.688764705882356</v>
      </c>
      <c r="AL16" s="94">
        <f t="shared" si="14"/>
        <v>58.029784759358293</v>
      </c>
      <c r="AM16" s="94">
        <f t="shared" si="14"/>
        <v>72.462062834224611</v>
      </c>
      <c r="AN16" s="94">
        <f t="shared" si="14"/>
        <v>89.299720588235303</v>
      </c>
      <c r="AO16" s="94">
        <f t="shared" si="14"/>
        <v>104.33334358288772</v>
      </c>
      <c r="AP16" s="94">
        <f t="shared" si="14"/>
        <v>120.26898395721926</v>
      </c>
      <c r="AQ16" s="94">
        <f t="shared" si="14"/>
        <v>136.50529679144384</v>
      </c>
      <c r="AR16" s="94">
        <f t="shared" si="14"/>
        <v>153.94429946524065</v>
      </c>
      <c r="AS16" s="94">
        <f t="shared" si="14"/>
        <v>173.78868181818183</v>
      </c>
      <c r="AT16" s="94">
        <f t="shared" si="14"/>
        <v>200.84920320855616</v>
      </c>
      <c r="AU16" s="94">
        <f t="shared" si="14"/>
        <v>224.90300000000002</v>
      </c>
    </row>
    <row r="17" spans="2:47">
      <c r="B17" s="66" t="s">
        <v>167</v>
      </c>
      <c r="C17" s="67">
        <f>C16/C$7</f>
        <v>0.89</v>
      </c>
      <c r="D17" s="67">
        <f>D16/D$7</f>
        <v>0.89249999999999996</v>
      </c>
      <c r="E17" s="67">
        <f>E16/E$7</f>
        <v>0.8949999999999998</v>
      </c>
      <c r="J17" s="66" t="s">
        <v>167</v>
      </c>
      <c r="K17" s="67">
        <f>K16/K$7</f>
        <v>0.89000000000000012</v>
      </c>
      <c r="L17" s="67">
        <f>L16/L$7</f>
        <v>0.89249999999999996</v>
      </c>
      <c r="M17" s="67">
        <f>M16/M$7</f>
        <v>0.89500000000000002</v>
      </c>
      <c r="S17" s="67" t="e">
        <f>S16/S$7</f>
        <v>#DIV/0!</v>
      </c>
      <c r="T17" s="67" t="e">
        <f t="shared" ref="T17:AF17" si="15">T16/T$7</f>
        <v>#DIV/0!</v>
      </c>
      <c r="U17" s="67">
        <f t="shared" si="15"/>
        <v>0.89000000000000012</v>
      </c>
      <c r="V17" s="67">
        <f t="shared" si="15"/>
        <v>0.89</v>
      </c>
      <c r="W17" s="67">
        <f t="shared" si="15"/>
        <v>0.89</v>
      </c>
      <c r="X17" s="67">
        <f t="shared" si="15"/>
        <v>0.89000000000000012</v>
      </c>
      <c r="Y17" s="67">
        <f t="shared" si="15"/>
        <v>0.89</v>
      </c>
      <c r="Z17" s="67">
        <f t="shared" si="15"/>
        <v>0.89000000000000012</v>
      </c>
      <c r="AA17" s="67">
        <f t="shared" si="15"/>
        <v>0.89</v>
      </c>
      <c r="AB17" s="67">
        <f t="shared" si="15"/>
        <v>0.89</v>
      </c>
      <c r="AC17" s="67">
        <f t="shared" si="15"/>
        <v>0.89000000000000012</v>
      </c>
      <c r="AD17" s="67">
        <f t="shared" si="15"/>
        <v>0.89000000000000012</v>
      </c>
      <c r="AE17" s="67">
        <f t="shared" si="15"/>
        <v>0.89</v>
      </c>
      <c r="AF17" s="67">
        <f t="shared" si="15"/>
        <v>0.89</v>
      </c>
      <c r="AH17" s="67" t="e">
        <f t="shared" ref="AH17:AU17" si="16">AH16/AH$7</f>
        <v>#DIV/0!</v>
      </c>
      <c r="AI17" s="67" t="e">
        <f t="shared" si="16"/>
        <v>#DIV/0!</v>
      </c>
      <c r="AJ17" s="67">
        <f t="shared" si="16"/>
        <v>0.89000000000000012</v>
      </c>
      <c r="AK17" s="67">
        <f t="shared" si="16"/>
        <v>0.89000000000000012</v>
      </c>
      <c r="AL17" s="67">
        <f t="shared" si="16"/>
        <v>0.89</v>
      </c>
      <c r="AM17" s="67">
        <f t="shared" si="16"/>
        <v>0.89000000000000012</v>
      </c>
      <c r="AN17" s="67">
        <f t="shared" si="16"/>
        <v>0.89</v>
      </c>
      <c r="AO17" s="67">
        <f t="shared" si="16"/>
        <v>0.89000000000000012</v>
      </c>
      <c r="AP17" s="67">
        <f t="shared" si="16"/>
        <v>0.89000000000000012</v>
      </c>
      <c r="AQ17" s="67">
        <f t="shared" si="16"/>
        <v>0.8899999999999999</v>
      </c>
      <c r="AR17" s="67">
        <f t="shared" si="16"/>
        <v>0.89</v>
      </c>
      <c r="AS17" s="67">
        <f t="shared" si="16"/>
        <v>0.89000000000000012</v>
      </c>
      <c r="AT17" s="67">
        <f t="shared" si="16"/>
        <v>0.89000000000000012</v>
      </c>
      <c r="AU17" s="67">
        <f t="shared" si="16"/>
        <v>0.89000000000000012</v>
      </c>
    </row>
    <row r="18" spans="2:47">
      <c r="B18" s="49"/>
      <c r="C18" s="3"/>
      <c r="D18" s="3"/>
      <c r="E18" s="3"/>
      <c r="J18" s="49"/>
      <c r="K18" s="3"/>
      <c r="L18" s="3"/>
      <c r="M18" s="3"/>
      <c r="S18" s="3"/>
    </row>
    <row r="19" spans="2:47">
      <c r="B19" t="s">
        <v>168</v>
      </c>
      <c r="C19" s="91">
        <f>-Extra!H5/1000</f>
        <v>-271.19600000000003</v>
      </c>
      <c r="D19" s="91">
        <f>C19*1.05</f>
        <v>-284.75580000000002</v>
      </c>
      <c r="E19" s="91">
        <f>D19*1.05</f>
        <v>-298.99359000000004</v>
      </c>
      <c r="J19" t="s">
        <v>168</v>
      </c>
      <c r="K19" s="91">
        <f t="shared" ref="K19:M20" si="17">C19</f>
        <v>-271.19600000000003</v>
      </c>
      <c r="L19" s="91">
        <f t="shared" si="17"/>
        <v>-284.75580000000002</v>
      </c>
      <c r="M19" s="91">
        <f t="shared" si="17"/>
        <v>-298.99359000000004</v>
      </c>
      <c r="S19" s="91"/>
      <c r="U19" s="5">
        <f>$K19/12</f>
        <v>-22.599666666666668</v>
      </c>
      <c r="V19" s="5">
        <f t="shared" ref="V19:AF19" si="18">$K19/12</f>
        <v>-22.599666666666668</v>
      </c>
      <c r="W19" s="5">
        <f t="shared" si="18"/>
        <v>-22.599666666666668</v>
      </c>
      <c r="X19" s="5">
        <f t="shared" si="18"/>
        <v>-22.599666666666668</v>
      </c>
      <c r="Y19" s="5">
        <f t="shared" si="18"/>
        <v>-22.599666666666668</v>
      </c>
      <c r="Z19" s="5">
        <f t="shared" si="18"/>
        <v>-22.599666666666668</v>
      </c>
      <c r="AA19" s="5">
        <f t="shared" si="18"/>
        <v>-22.599666666666668</v>
      </c>
      <c r="AB19" s="5">
        <f t="shared" si="18"/>
        <v>-22.599666666666668</v>
      </c>
      <c r="AC19" s="5">
        <f t="shared" si="18"/>
        <v>-22.599666666666668</v>
      </c>
      <c r="AD19" s="5">
        <f t="shared" si="18"/>
        <v>-22.599666666666668</v>
      </c>
      <c r="AE19" s="5">
        <f t="shared" si="18"/>
        <v>-22.599666666666668</v>
      </c>
      <c r="AF19" s="5">
        <f t="shared" si="18"/>
        <v>-22.599666666666668</v>
      </c>
      <c r="AH19">
        <f t="shared" si="5"/>
        <v>0</v>
      </c>
      <c r="AI19">
        <f t="shared" si="6"/>
        <v>0</v>
      </c>
      <c r="AJ19">
        <f t="shared" si="3"/>
        <v>-22.599666666666668</v>
      </c>
      <c r="AK19">
        <f t="shared" si="3"/>
        <v>-45.199333333333335</v>
      </c>
      <c r="AL19">
        <f t="shared" si="3"/>
        <v>-67.799000000000007</v>
      </c>
      <c r="AM19">
        <f t="shared" si="3"/>
        <v>-90.398666666666671</v>
      </c>
      <c r="AN19">
        <f t="shared" si="3"/>
        <v>-112.99833333333333</v>
      </c>
      <c r="AO19">
        <f t="shared" si="3"/>
        <v>-135.59800000000001</v>
      </c>
      <c r="AP19">
        <f t="shared" si="3"/>
        <v>-158.19766666666669</v>
      </c>
      <c r="AQ19">
        <f t="shared" si="3"/>
        <v>-180.79733333333337</v>
      </c>
      <c r="AR19">
        <f t="shared" si="3"/>
        <v>-203.39700000000005</v>
      </c>
      <c r="AS19">
        <f t="shared" si="3"/>
        <v>-225.99666666666673</v>
      </c>
      <c r="AT19">
        <f t="shared" si="3"/>
        <v>-248.5963333333334</v>
      </c>
      <c r="AU19">
        <f t="shared" si="3"/>
        <v>-271.19600000000008</v>
      </c>
    </row>
    <row r="20" spans="2:47">
      <c r="B20" t="s">
        <v>169</v>
      </c>
      <c r="C20" s="91">
        <v>0</v>
      </c>
      <c r="D20" s="91">
        <v>0</v>
      </c>
      <c r="E20" s="91">
        <v>0</v>
      </c>
      <c r="J20" t="s">
        <v>169</v>
      </c>
      <c r="K20" s="91">
        <f t="shared" si="17"/>
        <v>0</v>
      </c>
      <c r="L20" s="91">
        <f t="shared" si="17"/>
        <v>0</v>
      </c>
      <c r="M20" s="91">
        <f t="shared" si="17"/>
        <v>0</v>
      </c>
      <c r="S20" s="91"/>
    </row>
    <row r="21" spans="2:47">
      <c r="B21" s="49"/>
      <c r="C21" s="3"/>
      <c r="D21" s="3"/>
      <c r="E21" s="3"/>
      <c r="J21" s="49"/>
      <c r="K21" s="3"/>
      <c r="L21" s="3"/>
      <c r="M21" s="3"/>
      <c r="S21" s="3"/>
    </row>
    <row r="22" spans="2:47">
      <c r="B22" s="65" t="s">
        <v>170</v>
      </c>
      <c r="C22" s="94">
        <f>SUM(C16,C19:C20)</f>
        <v>50.093999999999994</v>
      </c>
      <c r="D22" s="94">
        <f>SUM(D16,D19:D20)</f>
        <v>175.01557499999996</v>
      </c>
      <c r="E22" s="94">
        <f>SUM(E16,E19:E20)</f>
        <v>320.72454749999974</v>
      </c>
      <c r="J22" s="65" t="s">
        <v>170</v>
      </c>
      <c r="K22" s="94">
        <f>SUM(K16,K19:K20)</f>
        <v>-46.293000000000006</v>
      </c>
      <c r="L22" s="94">
        <f>SUM(L16,L19:L20)</f>
        <v>37.084162499999934</v>
      </c>
      <c r="M22" s="94">
        <f>SUM(M16,M19:M20)</f>
        <v>134.8091062499999</v>
      </c>
      <c r="S22" s="94">
        <f>SUM(S16,S19:S20)</f>
        <v>0</v>
      </c>
      <c r="T22" s="94">
        <f t="shared" ref="T22:AF22" si="19">SUM(T16,T19:T20)</f>
        <v>0</v>
      </c>
      <c r="U22" s="94">
        <f t="shared" si="19"/>
        <v>-2.153939393939396</v>
      </c>
      <c r="V22" s="94">
        <f t="shared" si="19"/>
        <v>-3.3566292335115868</v>
      </c>
      <c r="W22" s="94">
        <f t="shared" si="19"/>
        <v>-4.2586466131907343</v>
      </c>
      <c r="X22" s="94">
        <f t="shared" si="19"/>
        <v>-8.167388591800357</v>
      </c>
      <c r="Y22" s="94">
        <f t="shared" si="19"/>
        <v>-5.7620089126559719</v>
      </c>
      <c r="Z22" s="94">
        <f t="shared" si="19"/>
        <v>-7.5660436720142599</v>
      </c>
      <c r="AA22" s="94">
        <f t="shared" si="19"/>
        <v>-6.6640262923351195</v>
      </c>
      <c r="AB22" s="94">
        <f t="shared" si="19"/>
        <v>-6.3633538324420691</v>
      </c>
      <c r="AC22" s="94">
        <f t="shared" si="19"/>
        <v>-5.1606639928698748</v>
      </c>
      <c r="AD22" s="94">
        <f t="shared" si="19"/>
        <v>-2.7552843137254897</v>
      </c>
      <c r="AE22" s="94">
        <f t="shared" si="19"/>
        <v>4.4608547237076657</v>
      </c>
      <c r="AF22" s="94">
        <f t="shared" si="19"/>
        <v>1.4541301247771834</v>
      </c>
      <c r="AH22" s="94">
        <f t="shared" ref="AH22:AU22" si="20">SUM(AH16,AH19:AH20)</f>
        <v>0</v>
      </c>
      <c r="AI22" s="94">
        <f t="shared" si="20"/>
        <v>0</v>
      </c>
      <c r="AJ22" s="94">
        <f t="shared" si="20"/>
        <v>-2.153939393939396</v>
      </c>
      <c r="AK22" s="94">
        <f t="shared" si="20"/>
        <v>-5.5105686274509793</v>
      </c>
      <c r="AL22" s="94">
        <f t="shared" si="20"/>
        <v>-9.7692152406417136</v>
      </c>
      <c r="AM22" s="94">
        <f t="shared" si="20"/>
        <v>-17.93660383244206</v>
      </c>
      <c r="AN22" s="94">
        <f t="shared" si="20"/>
        <v>-23.698612745098032</v>
      </c>
      <c r="AO22" s="94">
        <f t="shared" si="20"/>
        <v>-31.264656417112292</v>
      </c>
      <c r="AP22" s="94">
        <f t="shared" si="20"/>
        <v>-37.928682709447429</v>
      </c>
      <c r="AQ22" s="94">
        <f t="shared" si="20"/>
        <v>-44.29203654188953</v>
      </c>
      <c r="AR22" s="94">
        <f t="shared" si="20"/>
        <v>-49.452700534759401</v>
      </c>
      <c r="AS22" s="94">
        <f t="shared" si="20"/>
        <v>-52.207984848484898</v>
      </c>
      <c r="AT22" s="94">
        <f t="shared" si="20"/>
        <v>-47.747130124777243</v>
      </c>
      <c r="AU22" s="94">
        <f t="shared" si="20"/>
        <v>-46.293000000000063</v>
      </c>
    </row>
    <row r="23" spans="2:47">
      <c r="B23" s="66" t="s">
        <v>171</v>
      </c>
      <c r="C23" s="67">
        <f>C22/C$7</f>
        <v>0.13876454293628807</v>
      </c>
      <c r="D23" s="67">
        <f>D22/D$7</f>
        <v>0.33973711540328055</v>
      </c>
      <c r="E23" s="67">
        <f>E22/E$7</f>
        <v>0.4631919781636209</v>
      </c>
      <c r="J23" s="66" t="s">
        <v>171</v>
      </c>
      <c r="K23" s="67">
        <f>K22/K$7</f>
        <v>-0.18319351009101706</v>
      </c>
      <c r="L23" s="67">
        <f>L22/L$7</f>
        <v>0.10283873629040068</v>
      </c>
      <c r="M23" s="67">
        <f>M22/M$7</f>
        <v>0.27813139737660153</v>
      </c>
      <c r="S23" s="67" t="e">
        <f>S22/S$7</f>
        <v>#DIV/0!</v>
      </c>
      <c r="T23" s="67" t="e">
        <f t="shared" ref="T23:AF23" si="21">T22/T$7</f>
        <v>#DIV/0!</v>
      </c>
      <c r="U23" s="67">
        <f t="shared" si="21"/>
        <v>-9.3760717583432365E-2</v>
      </c>
      <c r="V23" s="67">
        <f t="shared" si="21"/>
        <v>-0.15524576243239679</v>
      </c>
      <c r="W23" s="67">
        <f t="shared" si="21"/>
        <v>-0.20665129173235092</v>
      </c>
      <c r="X23" s="67">
        <f t="shared" si="21"/>
        <v>-0.50366101657652906</v>
      </c>
      <c r="Y23" s="67">
        <f t="shared" si="21"/>
        <v>-0.30456658563702493</v>
      </c>
      <c r="Z23" s="67">
        <f t="shared" si="21"/>
        <v>-0.44791457591346789</v>
      </c>
      <c r="AA23" s="67">
        <f t="shared" si="21"/>
        <v>-0.37218356218251714</v>
      </c>
      <c r="AB23" s="67">
        <f t="shared" si="21"/>
        <v>-0.34880979251247035</v>
      </c>
      <c r="AC23" s="67">
        <f t="shared" si="21"/>
        <v>-0.26337463440816195</v>
      </c>
      <c r="AD23" s="67">
        <f t="shared" si="21"/>
        <v>-0.12357164841929383</v>
      </c>
      <c r="AE23" s="67">
        <f t="shared" si="21"/>
        <v>0.14671412449251786</v>
      </c>
      <c r="AF23" s="67">
        <f t="shared" si="21"/>
        <v>5.3803390054082564E-2</v>
      </c>
      <c r="AH23" s="67" t="e">
        <f t="shared" ref="AH23:AU23" si="22">AH22/AH$7</f>
        <v>#DIV/0!</v>
      </c>
      <c r="AI23" s="67" t="e">
        <f t="shared" si="22"/>
        <v>#DIV/0!</v>
      </c>
      <c r="AJ23" s="67">
        <f t="shared" si="22"/>
        <v>-9.3760717583432365E-2</v>
      </c>
      <c r="AK23" s="67">
        <f t="shared" si="22"/>
        <v>-0.12357164841929383</v>
      </c>
      <c r="AL23" s="67">
        <f t="shared" si="22"/>
        <v>-0.14982998127989736</v>
      </c>
      <c r="AM23" s="67">
        <f t="shared" si="22"/>
        <v>-0.22030255262528445</v>
      </c>
      <c r="AN23" s="67">
        <f t="shared" si="22"/>
        <v>-0.23619072046588196</v>
      </c>
      <c r="AO23" s="67">
        <f t="shared" si="22"/>
        <v>-0.26669848061683094</v>
      </c>
      <c r="AP23" s="67">
        <f t="shared" si="22"/>
        <v>-0.2806752539242845</v>
      </c>
      <c r="AQ23" s="67">
        <f t="shared" si="22"/>
        <v>-0.28877936203829802</v>
      </c>
      <c r="AR23" s="67">
        <f t="shared" si="22"/>
        <v>-0.28590148273644661</v>
      </c>
      <c r="AS23" s="67">
        <f t="shared" si="22"/>
        <v>-0.26736555009815588</v>
      </c>
      <c r="AT23" s="67">
        <f t="shared" si="22"/>
        <v>-0.21157637238384358</v>
      </c>
      <c r="AU23" s="67">
        <f t="shared" si="22"/>
        <v>-0.18319351009101728</v>
      </c>
    </row>
    <row r="24" spans="2:47">
      <c r="B24" s="49"/>
      <c r="C24" s="3"/>
      <c r="D24" s="3"/>
      <c r="E24" s="3"/>
      <c r="J24" s="49"/>
      <c r="K24" s="3"/>
      <c r="L24" s="3"/>
      <c r="M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2:47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v>0</v>
      </c>
      <c r="L25" s="91">
        <v>0</v>
      </c>
      <c r="M25" s="91">
        <v>0</v>
      </c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</row>
    <row r="26" spans="2:47">
      <c r="B26" t="s">
        <v>173</v>
      </c>
      <c r="C26" s="91">
        <v>0</v>
      </c>
      <c r="D26" s="91">
        <v>0</v>
      </c>
      <c r="E26" s="91">
        <v>0</v>
      </c>
      <c r="J26" t="s">
        <v>173</v>
      </c>
      <c r="K26" s="91">
        <f t="shared" ref="K26:M26" si="23">C26</f>
        <v>0</v>
      </c>
      <c r="L26" s="91">
        <f t="shared" si="23"/>
        <v>0</v>
      </c>
      <c r="M26" s="91">
        <f t="shared" si="23"/>
        <v>0</v>
      </c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</row>
    <row r="27" spans="2:47">
      <c r="B27" s="49"/>
      <c r="C27" s="3"/>
      <c r="D27" s="3"/>
      <c r="E27" s="3"/>
      <c r="J27" s="49"/>
      <c r="K27" s="3"/>
      <c r="L27" s="3"/>
      <c r="M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2:47">
      <c r="B28" s="65" t="s">
        <v>174</v>
      </c>
      <c r="C28" s="94">
        <f>SUM(C22,C25:C26)</f>
        <v>50.093999999999994</v>
      </c>
      <c r="D28" s="94">
        <f>SUM(D22,D25:D26)</f>
        <v>175.01557499999996</v>
      </c>
      <c r="E28" s="94">
        <f>SUM(E22,E25:E26)</f>
        <v>320.72454749999974</v>
      </c>
      <c r="J28" s="65" t="s">
        <v>174</v>
      </c>
      <c r="K28" s="94">
        <f>SUM(K22,K25:K26)</f>
        <v>-46.293000000000006</v>
      </c>
      <c r="L28" s="94">
        <f>SUM(L22,L25:L26)</f>
        <v>37.084162499999934</v>
      </c>
      <c r="M28" s="94">
        <f>SUM(M22,M25:M26)</f>
        <v>134.8091062499999</v>
      </c>
      <c r="S28" s="94">
        <f>SUM(S22,S25:S26)</f>
        <v>0</v>
      </c>
      <c r="T28" s="94">
        <f t="shared" ref="T28:AF28" si="24">SUM(T22,T25:T26)</f>
        <v>0</v>
      </c>
      <c r="U28" s="94">
        <f t="shared" si="24"/>
        <v>-2.153939393939396</v>
      </c>
      <c r="V28" s="94">
        <f t="shared" si="24"/>
        <v>-3.3566292335115868</v>
      </c>
      <c r="W28" s="94">
        <f t="shared" si="24"/>
        <v>-4.2586466131907343</v>
      </c>
      <c r="X28" s="94">
        <f t="shared" si="24"/>
        <v>-8.167388591800357</v>
      </c>
      <c r="Y28" s="94">
        <f t="shared" si="24"/>
        <v>-5.7620089126559719</v>
      </c>
      <c r="Z28" s="94">
        <f t="shared" si="24"/>
        <v>-7.5660436720142599</v>
      </c>
      <c r="AA28" s="94">
        <f t="shared" si="24"/>
        <v>-6.6640262923351195</v>
      </c>
      <c r="AB28" s="94">
        <f t="shared" si="24"/>
        <v>-6.3633538324420691</v>
      </c>
      <c r="AC28" s="94">
        <f t="shared" si="24"/>
        <v>-5.1606639928698748</v>
      </c>
      <c r="AD28" s="94">
        <f t="shared" si="24"/>
        <v>-2.7552843137254897</v>
      </c>
      <c r="AE28" s="94">
        <f t="shared" si="24"/>
        <v>4.4608547237076657</v>
      </c>
      <c r="AF28" s="94">
        <f t="shared" si="24"/>
        <v>1.4541301247771834</v>
      </c>
      <c r="AH28" s="94">
        <f t="shared" ref="AH28:AU28" si="25">SUM(AH22,AH25:AH26)</f>
        <v>0</v>
      </c>
      <c r="AI28" s="94">
        <f t="shared" si="25"/>
        <v>0</v>
      </c>
      <c r="AJ28" s="94">
        <f t="shared" si="25"/>
        <v>-2.153939393939396</v>
      </c>
      <c r="AK28" s="94">
        <f t="shared" si="25"/>
        <v>-5.5105686274509793</v>
      </c>
      <c r="AL28" s="94">
        <f t="shared" si="25"/>
        <v>-9.7692152406417136</v>
      </c>
      <c r="AM28" s="94">
        <f t="shared" si="25"/>
        <v>-17.93660383244206</v>
      </c>
      <c r="AN28" s="94">
        <f t="shared" si="25"/>
        <v>-23.698612745098032</v>
      </c>
      <c r="AO28" s="94">
        <f t="shared" si="25"/>
        <v>-31.264656417112292</v>
      </c>
      <c r="AP28" s="94">
        <f t="shared" si="25"/>
        <v>-37.928682709447429</v>
      </c>
      <c r="AQ28" s="94">
        <f t="shared" si="25"/>
        <v>-44.29203654188953</v>
      </c>
      <c r="AR28" s="94">
        <f t="shared" si="25"/>
        <v>-49.452700534759401</v>
      </c>
      <c r="AS28" s="94">
        <f t="shared" si="25"/>
        <v>-52.207984848484898</v>
      </c>
      <c r="AT28" s="94">
        <f t="shared" si="25"/>
        <v>-47.747130124777243</v>
      </c>
      <c r="AU28" s="94">
        <f t="shared" si="25"/>
        <v>-46.293000000000063</v>
      </c>
    </row>
    <row r="29" spans="2:47">
      <c r="B29" s="66" t="s">
        <v>175</v>
      </c>
      <c r="C29" s="67">
        <f>C28/C$7</f>
        <v>0.13876454293628807</v>
      </c>
      <c r="D29" s="67">
        <f>D28/D$7</f>
        <v>0.33973711540328055</v>
      </c>
      <c r="E29" s="67">
        <f>E28/E$7</f>
        <v>0.4631919781636209</v>
      </c>
      <c r="J29" s="66" t="s">
        <v>175</v>
      </c>
      <c r="K29" s="67">
        <f>K28/K$7</f>
        <v>-0.18319351009101706</v>
      </c>
      <c r="L29" s="67">
        <f>L28/L$7</f>
        <v>0.10283873629040068</v>
      </c>
      <c r="M29" s="67">
        <f>M28/M$7</f>
        <v>0.27813139737660153</v>
      </c>
      <c r="S29" s="67" t="e">
        <f>S28/S$7</f>
        <v>#DIV/0!</v>
      </c>
      <c r="T29" s="67" t="e">
        <f t="shared" ref="T29:AF29" si="26">T28/T$7</f>
        <v>#DIV/0!</v>
      </c>
      <c r="U29" s="67">
        <f t="shared" si="26"/>
        <v>-9.3760717583432365E-2</v>
      </c>
      <c r="V29" s="67">
        <f t="shared" si="26"/>
        <v>-0.15524576243239679</v>
      </c>
      <c r="W29" s="67">
        <f t="shared" si="26"/>
        <v>-0.20665129173235092</v>
      </c>
      <c r="X29" s="67">
        <f t="shared" si="26"/>
        <v>-0.50366101657652906</v>
      </c>
      <c r="Y29" s="67">
        <f t="shared" si="26"/>
        <v>-0.30456658563702493</v>
      </c>
      <c r="Z29" s="67">
        <f t="shared" si="26"/>
        <v>-0.44791457591346789</v>
      </c>
      <c r="AA29" s="67">
        <f t="shared" si="26"/>
        <v>-0.37218356218251714</v>
      </c>
      <c r="AB29" s="67">
        <f t="shared" si="26"/>
        <v>-0.34880979251247035</v>
      </c>
      <c r="AC29" s="67">
        <f t="shared" si="26"/>
        <v>-0.26337463440816195</v>
      </c>
      <c r="AD29" s="67">
        <f t="shared" si="26"/>
        <v>-0.12357164841929383</v>
      </c>
      <c r="AE29" s="67">
        <f t="shared" si="26"/>
        <v>0.14671412449251786</v>
      </c>
      <c r="AF29" s="67">
        <f t="shared" si="26"/>
        <v>5.3803390054082564E-2</v>
      </c>
      <c r="AH29" s="67" t="e">
        <f t="shared" ref="AH29:AU29" si="27">AH28/AH$7</f>
        <v>#DIV/0!</v>
      </c>
      <c r="AI29" s="67" t="e">
        <f t="shared" si="27"/>
        <v>#DIV/0!</v>
      </c>
      <c r="AJ29" s="67">
        <f t="shared" si="27"/>
        <v>-9.3760717583432365E-2</v>
      </c>
      <c r="AK29" s="67">
        <f t="shared" si="27"/>
        <v>-0.12357164841929383</v>
      </c>
      <c r="AL29" s="67">
        <f t="shared" si="27"/>
        <v>-0.14982998127989736</v>
      </c>
      <c r="AM29" s="67">
        <f t="shared" si="27"/>
        <v>-0.22030255262528445</v>
      </c>
      <c r="AN29" s="67">
        <f t="shared" si="27"/>
        <v>-0.23619072046588196</v>
      </c>
      <c r="AO29" s="67">
        <f t="shared" si="27"/>
        <v>-0.26669848061683094</v>
      </c>
      <c r="AP29" s="67">
        <f t="shared" si="27"/>
        <v>-0.2806752539242845</v>
      </c>
      <c r="AQ29" s="67">
        <f t="shared" si="27"/>
        <v>-0.28877936203829802</v>
      </c>
      <c r="AR29" s="67">
        <f t="shared" si="27"/>
        <v>-0.28590148273644661</v>
      </c>
      <c r="AS29" s="67">
        <f t="shared" si="27"/>
        <v>-0.26736555009815588</v>
      </c>
      <c r="AT29" s="67">
        <f t="shared" si="27"/>
        <v>-0.21157637238384358</v>
      </c>
      <c r="AU29" s="67">
        <f t="shared" si="27"/>
        <v>-0.18319351009101728</v>
      </c>
    </row>
    <row r="30" spans="2:47">
      <c r="B30" s="49"/>
      <c r="C30" s="3"/>
      <c r="D30" s="3"/>
      <c r="E30" s="3"/>
      <c r="J30" s="49"/>
      <c r="K30" s="3"/>
      <c r="L30" s="3"/>
      <c r="M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2:47">
      <c r="B31" t="s">
        <v>176</v>
      </c>
      <c r="C31" s="91">
        <v>0</v>
      </c>
      <c r="D31" s="91">
        <v>0</v>
      </c>
      <c r="E31" s="91">
        <v>0</v>
      </c>
      <c r="J31" t="s">
        <v>176</v>
      </c>
      <c r="K31" s="91">
        <f>C31</f>
        <v>0</v>
      </c>
      <c r="L31" s="91">
        <f t="shared" ref="L31:M31" si="28">D31</f>
        <v>0</v>
      </c>
      <c r="M31" s="91">
        <f t="shared" si="28"/>
        <v>0</v>
      </c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</row>
    <row r="32" spans="2:47">
      <c r="B32" s="49"/>
      <c r="C32" s="3"/>
      <c r="D32" s="3"/>
      <c r="E32" s="3"/>
      <c r="J32" s="49"/>
      <c r="K32" s="3"/>
      <c r="L32" s="3"/>
      <c r="M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2:47">
      <c r="B33" s="65" t="s">
        <v>177</v>
      </c>
      <c r="C33" s="94">
        <f>SUM(C28,C31)</f>
        <v>50.093999999999994</v>
      </c>
      <c r="D33" s="94">
        <f>SUM(D28,D31)</f>
        <v>175.01557499999996</v>
      </c>
      <c r="E33" s="94">
        <f>SUM(E28,E31)</f>
        <v>320.72454749999974</v>
      </c>
      <c r="J33" s="65" t="s">
        <v>177</v>
      </c>
      <c r="K33" s="94">
        <f>SUM(K28,K31)</f>
        <v>-46.293000000000006</v>
      </c>
      <c r="L33" s="94">
        <f>SUM(L28,L31)</f>
        <v>37.084162499999934</v>
      </c>
      <c r="M33" s="94">
        <f>SUM(M28,M31)</f>
        <v>134.8091062499999</v>
      </c>
      <c r="S33" s="94">
        <f>SUM(S28,S31)</f>
        <v>0</v>
      </c>
      <c r="T33" s="94">
        <f t="shared" ref="T33:AF33" si="29">SUM(T28,T31)</f>
        <v>0</v>
      </c>
      <c r="U33" s="94">
        <f t="shared" si="29"/>
        <v>-2.153939393939396</v>
      </c>
      <c r="V33" s="94">
        <f t="shared" si="29"/>
        <v>-3.3566292335115868</v>
      </c>
      <c r="W33" s="94">
        <f t="shared" si="29"/>
        <v>-4.2586466131907343</v>
      </c>
      <c r="X33" s="94">
        <f t="shared" si="29"/>
        <v>-8.167388591800357</v>
      </c>
      <c r="Y33" s="94">
        <f t="shared" si="29"/>
        <v>-5.7620089126559719</v>
      </c>
      <c r="Z33" s="94">
        <f t="shared" si="29"/>
        <v>-7.5660436720142599</v>
      </c>
      <c r="AA33" s="94">
        <f t="shared" si="29"/>
        <v>-6.6640262923351195</v>
      </c>
      <c r="AB33" s="94">
        <f t="shared" si="29"/>
        <v>-6.3633538324420691</v>
      </c>
      <c r="AC33" s="94">
        <f t="shared" si="29"/>
        <v>-5.1606639928698748</v>
      </c>
      <c r="AD33" s="94">
        <f t="shared" si="29"/>
        <v>-2.7552843137254897</v>
      </c>
      <c r="AE33" s="94">
        <f t="shared" si="29"/>
        <v>4.4608547237076657</v>
      </c>
      <c r="AF33" s="94">
        <f t="shared" si="29"/>
        <v>1.4541301247771834</v>
      </c>
      <c r="AH33" s="94">
        <f t="shared" ref="AH33:AU33" si="30">SUM(AH28,AH31)</f>
        <v>0</v>
      </c>
      <c r="AI33" s="94">
        <f t="shared" si="30"/>
        <v>0</v>
      </c>
      <c r="AJ33" s="94">
        <f t="shared" si="30"/>
        <v>-2.153939393939396</v>
      </c>
      <c r="AK33" s="94">
        <f t="shared" si="30"/>
        <v>-5.5105686274509793</v>
      </c>
      <c r="AL33" s="94">
        <f t="shared" si="30"/>
        <v>-9.7692152406417136</v>
      </c>
      <c r="AM33" s="94">
        <f t="shared" si="30"/>
        <v>-17.93660383244206</v>
      </c>
      <c r="AN33" s="94">
        <f t="shared" si="30"/>
        <v>-23.698612745098032</v>
      </c>
      <c r="AO33" s="94">
        <f t="shared" si="30"/>
        <v>-31.264656417112292</v>
      </c>
      <c r="AP33" s="94">
        <f t="shared" si="30"/>
        <v>-37.928682709447429</v>
      </c>
      <c r="AQ33" s="94">
        <f t="shared" si="30"/>
        <v>-44.29203654188953</v>
      </c>
      <c r="AR33" s="94">
        <f t="shared" si="30"/>
        <v>-49.452700534759401</v>
      </c>
      <c r="AS33" s="94">
        <f t="shared" si="30"/>
        <v>-52.207984848484898</v>
      </c>
      <c r="AT33" s="94">
        <f t="shared" si="30"/>
        <v>-47.747130124777243</v>
      </c>
      <c r="AU33" s="94">
        <f t="shared" si="30"/>
        <v>-46.293000000000063</v>
      </c>
    </row>
    <row r="34" spans="2:47">
      <c r="B34" s="66" t="s">
        <v>178</v>
      </c>
      <c r="C34" s="67">
        <f>C33/C$7</f>
        <v>0.13876454293628807</v>
      </c>
      <c r="D34" s="67">
        <f>D33/D$7</f>
        <v>0.33973711540328055</v>
      </c>
      <c r="E34" s="67">
        <f>E33/E$7</f>
        <v>0.4631919781636209</v>
      </c>
      <c r="J34" s="66" t="s">
        <v>178</v>
      </c>
      <c r="K34" s="67">
        <f>K33/K$7</f>
        <v>-0.18319351009101706</v>
      </c>
      <c r="L34" s="67">
        <f>L33/L$7</f>
        <v>0.10283873629040068</v>
      </c>
      <c r="M34" s="67">
        <f>M33/M$7</f>
        <v>0.27813139737660153</v>
      </c>
      <c r="S34" s="67" t="e">
        <f>S33/S$7</f>
        <v>#DIV/0!</v>
      </c>
      <c r="T34" s="67" t="e">
        <f t="shared" ref="T34:AF34" si="31">T33/T$7</f>
        <v>#DIV/0!</v>
      </c>
      <c r="U34" s="67">
        <f t="shared" si="31"/>
        <v>-9.3760717583432365E-2</v>
      </c>
      <c r="V34" s="67">
        <f t="shared" si="31"/>
        <v>-0.15524576243239679</v>
      </c>
      <c r="W34" s="67">
        <f t="shared" si="31"/>
        <v>-0.20665129173235092</v>
      </c>
      <c r="X34" s="67">
        <f t="shared" si="31"/>
        <v>-0.50366101657652906</v>
      </c>
      <c r="Y34" s="67">
        <f t="shared" si="31"/>
        <v>-0.30456658563702493</v>
      </c>
      <c r="Z34" s="67">
        <f t="shared" si="31"/>
        <v>-0.44791457591346789</v>
      </c>
      <c r="AA34" s="67">
        <f t="shared" si="31"/>
        <v>-0.37218356218251714</v>
      </c>
      <c r="AB34" s="67">
        <f t="shared" si="31"/>
        <v>-0.34880979251247035</v>
      </c>
      <c r="AC34" s="67">
        <f t="shared" si="31"/>
        <v>-0.26337463440816195</v>
      </c>
      <c r="AD34" s="67">
        <f t="shared" si="31"/>
        <v>-0.12357164841929383</v>
      </c>
      <c r="AE34" s="67">
        <f t="shared" si="31"/>
        <v>0.14671412449251786</v>
      </c>
      <c r="AF34" s="67">
        <f t="shared" si="31"/>
        <v>5.3803390054082564E-2</v>
      </c>
      <c r="AH34" s="67" t="e">
        <f t="shared" ref="AH34:AU34" si="32">AH33/AH$7</f>
        <v>#DIV/0!</v>
      </c>
      <c r="AI34" s="67" t="e">
        <f t="shared" si="32"/>
        <v>#DIV/0!</v>
      </c>
      <c r="AJ34" s="67">
        <f t="shared" si="32"/>
        <v>-9.3760717583432365E-2</v>
      </c>
      <c r="AK34" s="67">
        <f t="shared" si="32"/>
        <v>-0.12357164841929383</v>
      </c>
      <c r="AL34" s="67">
        <f t="shared" si="32"/>
        <v>-0.14982998127989736</v>
      </c>
      <c r="AM34" s="67">
        <f t="shared" si="32"/>
        <v>-0.22030255262528445</v>
      </c>
      <c r="AN34" s="67">
        <f t="shared" si="32"/>
        <v>-0.23619072046588196</v>
      </c>
      <c r="AO34" s="67">
        <f t="shared" si="32"/>
        <v>-0.26669848061683094</v>
      </c>
      <c r="AP34" s="67">
        <f t="shared" si="32"/>
        <v>-0.2806752539242845</v>
      </c>
      <c r="AQ34" s="67">
        <f t="shared" si="32"/>
        <v>-0.28877936203829802</v>
      </c>
      <c r="AR34" s="67">
        <f t="shared" si="32"/>
        <v>-0.28590148273644661</v>
      </c>
      <c r="AS34" s="67">
        <f t="shared" si="32"/>
        <v>-0.26736555009815588</v>
      </c>
      <c r="AT34" s="67">
        <f t="shared" si="32"/>
        <v>-0.21157637238384358</v>
      </c>
      <c r="AU34" s="67">
        <f t="shared" si="32"/>
        <v>-0.18319351009101728</v>
      </c>
    </row>
    <row r="37" spans="2:47">
      <c r="B37" t="s">
        <v>179</v>
      </c>
      <c r="C37" s="91">
        <f>C19*1/12</f>
        <v>-22.599666666666668</v>
      </c>
      <c r="F37" t="s">
        <v>218</v>
      </c>
      <c r="J37" t="s">
        <v>179</v>
      </c>
      <c r="K37" s="91">
        <f>K19*1/12</f>
        <v>-22.599666666666668</v>
      </c>
      <c r="N37" t="s">
        <v>218</v>
      </c>
    </row>
    <row r="44" spans="2:47">
      <c r="B44" t="s">
        <v>181</v>
      </c>
    </row>
    <row r="47" spans="2:47">
      <c r="C47" s="9"/>
      <c r="D47" s="57"/>
      <c r="E47" s="9"/>
    </row>
  </sheetData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15BA-755F-4F31-939F-7A0F17B5FE1D}">
  <sheetPr>
    <tabColor rgb="FF92D050"/>
  </sheetPr>
  <dimension ref="B2:AU47"/>
  <sheetViews>
    <sheetView showGridLines="0" topLeftCell="A10" workbookViewId="0">
      <selection activeCell="U8" sqref="U8:U34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6"/>
    </row>
    <row r="3" spans="2:47">
      <c r="B3" s="136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142">
        <f>'Co. 3 eComm Sales'!T30-'Co. 3 eComm Sales'!T28+100</f>
        <v>171</v>
      </c>
      <c r="D7" s="142">
        <f>C7*1.15+100</f>
        <v>296.64999999999998</v>
      </c>
      <c r="E7" s="142">
        <f>D7*1.15+100</f>
        <v>441.14749999999992</v>
      </c>
      <c r="H7" s="9">
        <v>-0.3</v>
      </c>
      <c r="J7" s="64" t="s">
        <v>155</v>
      </c>
      <c r="K7" s="93">
        <f>C7*(1+$H$7)</f>
        <v>119.69999999999999</v>
      </c>
      <c r="L7" s="93">
        <f t="shared" ref="L7:M8" si="2">D7*(1+$H$7)</f>
        <v>207.65499999999997</v>
      </c>
      <c r="M7" s="93">
        <f t="shared" si="2"/>
        <v>308.80324999999993</v>
      </c>
      <c r="U7" s="5">
        <f>$K7*'2026B'!M39/'2026B'!$C39</f>
        <v>9.1396551724137929</v>
      </c>
      <c r="V7" s="5">
        <f>$K7*'2026B'!N39/'2026B'!$C39</f>
        <v>9.1396551724137929</v>
      </c>
      <c r="W7" s="5">
        <f>$K7*'2026B'!O39/'2026B'!$C39</f>
        <v>10.024137931034483</v>
      </c>
      <c r="X7" s="5">
        <f>$K7*'2026B'!P39/'2026B'!$C39</f>
        <v>9.434482758620689</v>
      </c>
      <c r="Y7" s="5">
        <f>$K7*'2026B'!Q39/'2026B'!$C39</f>
        <v>10.024137931034483</v>
      </c>
      <c r="Z7" s="5">
        <f>$K7*'2026B'!R39/'2026B'!$C39</f>
        <v>9.7293103448275851</v>
      </c>
      <c r="AA7" s="5">
        <f>$K7*'2026B'!S39/'2026B'!$C39</f>
        <v>10.024137931034483</v>
      </c>
      <c r="AB7" s="5">
        <f>$K7*'2026B'!T39/'2026B'!$C39</f>
        <v>9.1396551724137929</v>
      </c>
      <c r="AC7" s="5">
        <f>$K7*'2026B'!U39/'2026B'!$C39</f>
        <v>10.318965517241379</v>
      </c>
      <c r="AD7" s="5">
        <f>$K7*'2026B'!V39/'2026B'!$C39</f>
        <v>10.318965517241379</v>
      </c>
      <c r="AE7" s="5">
        <f>$K7*'2026B'!W39/'2026B'!$C39</f>
        <v>10.613793103448275</v>
      </c>
      <c r="AF7" s="5">
        <f>$K7*'2026B'!X39/'2026B'!$C39</f>
        <v>11.793103448275861</v>
      </c>
      <c r="AH7">
        <f>S7</f>
        <v>0</v>
      </c>
      <c r="AI7">
        <f>AH7+T7</f>
        <v>0</v>
      </c>
      <c r="AJ7">
        <f t="shared" ref="AJ7:AU19" si="3">AI7+U7</f>
        <v>9.1396551724137929</v>
      </c>
      <c r="AK7">
        <f t="shared" si="3"/>
        <v>18.279310344827586</v>
      </c>
      <c r="AL7">
        <f t="shared" si="3"/>
        <v>28.303448275862067</v>
      </c>
      <c r="AM7">
        <f t="shared" si="3"/>
        <v>37.737931034482756</v>
      </c>
      <c r="AN7">
        <f t="shared" si="3"/>
        <v>47.762068965517237</v>
      </c>
      <c r="AO7">
        <f t="shared" si="3"/>
        <v>57.491379310344826</v>
      </c>
      <c r="AP7">
        <f t="shared" si="3"/>
        <v>67.515517241379314</v>
      </c>
      <c r="AQ7">
        <f t="shared" si="3"/>
        <v>76.65517241379311</v>
      </c>
      <c r="AR7">
        <f t="shared" si="3"/>
        <v>86.974137931034491</v>
      </c>
      <c r="AS7">
        <f t="shared" si="3"/>
        <v>97.293103448275872</v>
      </c>
      <c r="AT7">
        <f t="shared" si="3"/>
        <v>107.90689655172415</v>
      </c>
      <c r="AU7">
        <f t="shared" si="3"/>
        <v>119.7</v>
      </c>
    </row>
    <row r="8" spans="2:47">
      <c r="B8" t="s">
        <v>157</v>
      </c>
      <c r="C8" s="91">
        <f>-C7*(1-COGS!C37)</f>
        <v>-13.679999999999993</v>
      </c>
      <c r="D8" s="91">
        <f>-D7*(1-COGS!D37)</f>
        <v>-22.990375000000004</v>
      </c>
      <c r="E8" s="91">
        <f>-E7*(1-COGS!E37)</f>
        <v>-33.086062500000025</v>
      </c>
      <c r="J8" t="s">
        <v>157</v>
      </c>
      <c r="K8" s="91">
        <f>C8*(1+$H$7)</f>
        <v>-9.5759999999999934</v>
      </c>
      <c r="L8" s="91">
        <f t="shared" si="2"/>
        <v>-16.093262500000002</v>
      </c>
      <c r="M8" s="91">
        <f t="shared" si="2"/>
        <v>-23.160243750000017</v>
      </c>
      <c r="U8" s="91">
        <f>U7*$K$8/$K$7</f>
        <v>-0.73117241379310305</v>
      </c>
      <c r="V8" s="91">
        <f t="shared" ref="V8:AF8" si="4">V7*$K$8/$K$7</f>
        <v>-0.73117241379310305</v>
      </c>
      <c r="W8" s="91">
        <f t="shared" si="4"/>
        <v>-0.80193103448275815</v>
      </c>
      <c r="X8" s="91">
        <f t="shared" si="4"/>
        <v>-0.7547586206896546</v>
      </c>
      <c r="Y8" s="91">
        <f t="shared" si="4"/>
        <v>-0.80193103448275815</v>
      </c>
      <c r="Z8" s="91">
        <f t="shared" si="4"/>
        <v>-0.77834482758620638</v>
      </c>
      <c r="AA8" s="91">
        <f t="shared" si="4"/>
        <v>-0.80193103448275815</v>
      </c>
      <c r="AB8" s="91">
        <f t="shared" si="4"/>
        <v>-0.73117241379310305</v>
      </c>
      <c r="AC8" s="91">
        <f t="shared" si="4"/>
        <v>-0.82551724137930993</v>
      </c>
      <c r="AD8" s="91">
        <f t="shared" si="4"/>
        <v>-0.82551724137930993</v>
      </c>
      <c r="AE8" s="91">
        <f t="shared" si="4"/>
        <v>-0.84910344827586148</v>
      </c>
      <c r="AF8" s="91">
        <f t="shared" si="4"/>
        <v>-0.94344827586206836</v>
      </c>
      <c r="AH8">
        <f t="shared" ref="AH8:AH19" si="5">S8</f>
        <v>0</v>
      </c>
      <c r="AI8">
        <f t="shared" ref="AI8:AI19" si="6">AH8+T8</f>
        <v>0</v>
      </c>
      <c r="AJ8">
        <f t="shared" si="3"/>
        <v>-0.73117241379310305</v>
      </c>
      <c r="AK8">
        <f t="shared" si="3"/>
        <v>-1.4623448275862061</v>
      </c>
      <c r="AL8">
        <f t="shared" si="3"/>
        <v>-2.2642758620689643</v>
      </c>
      <c r="AM8">
        <f t="shared" si="3"/>
        <v>-3.0190344827586189</v>
      </c>
      <c r="AN8">
        <f t="shared" si="3"/>
        <v>-3.820965517241377</v>
      </c>
      <c r="AO8">
        <f t="shared" si="3"/>
        <v>-4.5993103448275834</v>
      </c>
      <c r="AP8">
        <f t="shared" si="3"/>
        <v>-5.401241379310342</v>
      </c>
      <c r="AQ8">
        <f t="shared" si="3"/>
        <v>-6.1324137931034448</v>
      </c>
      <c r="AR8">
        <f t="shared" si="3"/>
        <v>-6.9579310344827547</v>
      </c>
      <c r="AS8">
        <f t="shared" si="3"/>
        <v>-7.7834482758620647</v>
      </c>
      <c r="AT8">
        <f t="shared" si="3"/>
        <v>-8.6325517241379259</v>
      </c>
      <c r="AU8">
        <f t="shared" si="3"/>
        <v>-9.5759999999999934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157.32</v>
      </c>
      <c r="D10" s="94">
        <f>SUM(D7:D8)</f>
        <v>273.65962499999995</v>
      </c>
      <c r="E10" s="94">
        <f>SUM(E7:E8)</f>
        <v>408.0614374999999</v>
      </c>
      <c r="J10" s="65" t="s">
        <v>158</v>
      </c>
      <c r="K10" s="94">
        <f>SUM(K7:K8)</f>
        <v>110.124</v>
      </c>
      <c r="L10" s="94">
        <f>SUM(L7:L8)</f>
        <v>191.56173749999996</v>
      </c>
      <c r="M10" s="94">
        <f>SUM(M7:M8)</f>
        <v>285.64300624999993</v>
      </c>
      <c r="S10" s="94">
        <f>SUM(S7:S8)</f>
        <v>0</v>
      </c>
      <c r="T10" s="94">
        <f t="shared" ref="T10:AF10" si="7">SUM(T7:T8)</f>
        <v>0</v>
      </c>
      <c r="U10" s="94">
        <f t="shared" si="7"/>
        <v>8.4084827586206892</v>
      </c>
      <c r="V10" s="94">
        <f t="shared" si="7"/>
        <v>8.4084827586206892</v>
      </c>
      <c r="W10" s="94">
        <f t="shared" si="7"/>
        <v>9.2222068965517252</v>
      </c>
      <c r="X10" s="94">
        <f t="shared" si="7"/>
        <v>8.6797241379310339</v>
      </c>
      <c r="Y10" s="94">
        <f t="shared" si="7"/>
        <v>9.2222068965517252</v>
      </c>
      <c r="Z10" s="94">
        <f t="shared" si="7"/>
        <v>8.9509655172413787</v>
      </c>
      <c r="AA10" s="94">
        <f t="shared" si="7"/>
        <v>9.2222068965517252</v>
      </c>
      <c r="AB10" s="94">
        <f t="shared" si="7"/>
        <v>8.4084827586206892</v>
      </c>
      <c r="AC10" s="94">
        <f t="shared" si="7"/>
        <v>9.4934482758620682</v>
      </c>
      <c r="AD10" s="94">
        <f t="shared" si="7"/>
        <v>9.4934482758620682</v>
      </c>
      <c r="AE10" s="94">
        <f t="shared" si="7"/>
        <v>9.7646896551724129</v>
      </c>
      <c r="AF10" s="94">
        <f t="shared" si="7"/>
        <v>10.849655172413794</v>
      </c>
      <c r="AH10" s="94">
        <f t="shared" ref="AH10:AU10" si="8">SUM(AH7:AH8)</f>
        <v>0</v>
      </c>
      <c r="AI10" s="94">
        <f t="shared" si="8"/>
        <v>0</v>
      </c>
      <c r="AJ10" s="94">
        <f t="shared" si="8"/>
        <v>8.4084827586206892</v>
      </c>
      <c r="AK10" s="94">
        <f t="shared" si="8"/>
        <v>16.816965517241378</v>
      </c>
      <c r="AL10" s="94">
        <f t="shared" si="8"/>
        <v>26.039172413793104</v>
      </c>
      <c r="AM10" s="94">
        <f t="shared" si="8"/>
        <v>34.718896551724136</v>
      </c>
      <c r="AN10" s="94">
        <f t="shared" si="8"/>
        <v>43.941103448275861</v>
      </c>
      <c r="AO10" s="94">
        <f t="shared" si="8"/>
        <v>52.89206896551724</v>
      </c>
      <c r="AP10" s="94">
        <f t="shared" si="8"/>
        <v>62.114275862068972</v>
      </c>
      <c r="AQ10" s="94">
        <f t="shared" si="8"/>
        <v>70.522758620689672</v>
      </c>
      <c r="AR10" s="94">
        <f t="shared" si="8"/>
        <v>80.016206896551736</v>
      </c>
      <c r="AS10" s="94">
        <f t="shared" si="8"/>
        <v>89.509655172413801</v>
      </c>
      <c r="AT10" s="94">
        <f t="shared" si="8"/>
        <v>99.274344827586219</v>
      </c>
      <c r="AU10" s="94">
        <f t="shared" si="8"/>
        <v>110.12400000000001</v>
      </c>
    </row>
    <row r="11" spans="2:47">
      <c r="B11" s="66" t="s">
        <v>160</v>
      </c>
      <c r="C11" s="67">
        <f>C10/C$7</f>
        <v>0.91999999999999993</v>
      </c>
      <c r="D11" s="67">
        <f>D10/D$7</f>
        <v>0.92249999999999988</v>
      </c>
      <c r="E11" s="67">
        <f>E10/E$7</f>
        <v>0.92499999999999993</v>
      </c>
      <c r="J11" s="66" t="s">
        <v>160</v>
      </c>
      <c r="K11" s="67">
        <f>K10/K$7</f>
        <v>0.92</v>
      </c>
      <c r="L11" s="67">
        <f>L10/L$7</f>
        <v>0.92249999999999999</v>
      </c>
      <c r="M11" s="67">
        <f>M10/M$7</f>
        <v>0.92499999999999993</v>
      </c>
      <c r="S11" s="67" t="e">
        <f>S10/S$7</f>
        <v>#DIV/0!</v>
      </c>
      <c r="T11" s="67" t="e">
        <f t="shared" ref="T11:AF11" si="9">T10/T$7</f>
        <v>#DIV/0!</v>
      </c>
      <c r="U11" s="67">
        <f t="shared" si="9"/>
        <v>0.91999999999999993</v>
      </c>
      <c r="V11" s="67">
        <f t="shared" si="9"/>
        <v>0.91999999999999993</v>
      </c>
      <c r="W11" s="67">
        <f t="shared" si="9"/>
        <v>0.92</v>
      </c>
      <c r="X11" s="67">
        <f t="shared" si="9"/>
        <v>0.92</v>
      </c>
      <c r="Y11" s="67">
        <f t="shared" si="9"/>
        <v>0.92</v>
      </c>
      <c r="Z11" s="67">
        <f t="shared" si="9"/>
        <v>0.92</v>
      </c>
      <c r="AA11" s="67">
        <f t="shared" si="9"/>
        <v>0.92</v>
      </c>
      <c r="AB11" s="67">
        <f t="shared" si="9"/>
        <v>0.91999999999999993</v>
      </c>
      <c r="AC11" s="67">
        <f t="shared" si="9"/>
        <v>0.91999999999999993</v>
      </c>
      <c r="AD11" s="67">
        <f t="shared" si="9"/>
        <v>0.91999999999999993</v>
      </c>
      <c r="AE11" s="67">
        <f t="shared" si="9"/>
        <v>0.92</v>
      </c>
      <c r="AF11" s="67">
        <f t="shared" si="9"/>
        <v>0.92000000000000015</v>
      </c>
      <c r="AH11" s="67" t="e">
        <f t="shared" ref="AH11:AU11" si="10">AH10/AH$7</f>
        <v>#DIV/0!</v>
      </c>
      <c r="AI11" s="67" t="e">
        <f t="shared" si="10"/>
        <v>#DIV/0!</v>
      </c>
      <c r="AJ11" s="67">
        <f t="shared" si="10"/>
        <v>0.91999999999999993</v>
      </c>
      <c r="AK11" s="67">
        <f t="shared" si="10"/>
        <v>0.91999999999999993</v>
      </c>
      <c r="AL11" s="67">
        <f t="shared" si="10"/>
        <v>0.92</v>
      </c>
      <c r="AM11" s="67">
        <f t="shared" si="10"/>
        <v>0.92</v>
      </c>
      <c r="AN11" s="67">
        <f t="shared" si="10"/>
        <v>0.92</v>
      </c>
      <c r="AO11" s="67">
        <f t="shared" si="10"/>
        <v>0.92</v>
      </c>
      <c r="AP11" s="67">
        <f t="shared" si="10"/>
        <v>0.92</v>
      </c>
      <c r="AQ11" s="67">
        <f t="shared" si="10"/>
        <v>0.92000000000000015</v>
      </c>
      <c r="AR11" s="67">
        <f t="shared" si="10"/>
        <v>0.92</v>
      </c>
      <c r="AS11" s="67">
        <f t="shared" si="10"/>
        <v>0.92</v>
      </c>
      <c r="AT11" s="67">
        <f t="shared" si="10"/>
        <v>0.92</v>
      </c>
      <c r="AU11" s="67">
        <f t="shared" si="10"/>
        <v>0.92</v>
      </c>
    </row>
    <row r="12" spans="2:47">
      <c r="B12" s="49"/>
      <c r="C12" s="3"/>
      <c r="D12" s="3"/>
      <c r="E12" s="3"/>
      <c r="J12" s="49"/>
      <c r="K12" s="3"/>
      <c r="L12" s="3"/>
      <c r="M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47">
      <c r="B13" t="s">
        <v>162</v>
      </c>
      <c r="C13" s="91">
        <f>-C7*'Other COS'!$C$38</f>
        <v>-6.84</v>
      </c>
      <c r="D13" s="91">
        <f>-D7*'Other COS'!$C$38</f>
        <v>-11.866</v>
      </c>
      <c r="E13" s="91">
        <f>-E7*'Other COS'!$C$38</f>
        <v>-17.645899999999997</v>
      </c>
      <c r="J13" t="s">
        <v>162</v>
      </c>
      <c r="K13" s="91">
        <f t="shared" ref="K13:M14" si="11">C13*(1+$H$7)</f>
        <v>-4.7879999999999994</v>
      </c>
      <c r="L13" s="91">
        <f t="shared" si="11"/>
        <v>-8.3061999999999987</v>
      </c>
      <c r="M13" s="91">
        <f t="shared" si="11"/>
        <v>-12.352129999999997</v>
      </c>
      <c r="S13" s="91"/>
      <c r="T13" s="91"/>
      <c r="U13" s="91">
        <f>U7*$K$13/$K$7</f>
        <v>-0.36558620689655169</v>
      </c>
      <c r="V13" s="91">
        <f t="shared" ref="V13:AF13" si="12">V7*$K$13/$K$7</f>
        <v>-0.36558620689655169</v>
      </c>
      <c r="W13" s="91">
        <f t="shared" si="12"/>
        <v>-0.4009655172413793</v>
      </c>
      <c r="X13" s="91">
        <f t="shared" si="12"/>
        <v>-0.37737931034482758</v>
      </c>
      <c r="Y13" s="91">
        <f t="shared" si="12"/>
        <v>-0.4009655172413793</v>
      </c>
      <c r="Z13" s="91">
        <f t="shared" si="12"/>
        <v>-0.38917241379310336</v>
      </c>
      <c r="AA13" s="91">
        <f t="shared" si="12"/>
        <v>-0.4009655172413793</v>
      </c>
      <c r="AB13" s="91">
        <f t="shared" si="12"/>
        <v>-0.36558620689655169</v>
      </c>
      <c r="AC13" s="91">
        <f t="shared" si="12"/>
        <v>-0.41275862068965513</v>
      </c>
      <c r="AD13" s="91">
        <f t="shared" si="12"/>
        <v>-0.41275862068965513</v>
      </c>
      <c r="AE13" s="91">
        <f t="shared" si="12"/>
        <v>-0.42455172413793102</v>
      </c>
      <c r="AF13" s="91">
        <f t="shared" si="12"/>
        <v>-0.4717241379310344</v>
      </c>
      <c r="AH13">
        <f t="shared" si="5"/>
        <v>0</v>
      </c>
      <c r="AI13">
        <f t="shared" si="6"/>
        <v>0</v>
      </c>
      <c r="AJ13">
        <f t="shared" si="3"/>
        <v>-0.36558620689655169</v>
      </c>
      <c r="AK13">
        <f t="shared" si="3"/>
        <v>-0.73117241379310338</v>
      </c>
      <c r="AL13">
        <f t="shared" si="3"/>
        <v>-1.1321379310344826</v>
      </c>
      <c r="AM13">
        <f t="shared" si="3"/>
        <v>-1.5095172413793101</v>
      </c>
      <c r="AN13">
        <f t="shared" si="3"/>
        <v>-1.9104827586206894</v>
      </c>
      <c r="AO13">
        <f t="shared" si="3"/>
        <v>-2.2996551724137926</v>
      </c>
      <c r="AP13">
        <f t="shared" si="3"/>
        <v>-2.7006206896551719</v>
      </c>
      <c r="AQ13">
        <f t="shared" si="3"/>
        <v>-3.0662068965517237</v>
      </c>
      <c r="AR13">
        <f t="shared" si="3"/>
        <v>-3.4789655172413787</v>
      </c>
      <c r="AS13">
        <f t="shared" si="3"/>
        <v>-3.8917241379310337</v>
      </c>
      <c r="AT13">
        <f t="shared" si="3"/>
        <v>-4.3162758620689647</v>
      </c>
      <c r="AU13">
        <f t="shared" si="3"/>
        <v>-4.7879999999999994</v>
      </c>
    </row>
    <row r="14" spans="2:47">
      <c r="B14" t="s">
        <v>163</v>
      </c>
      <c r="C14" s="91">
        <v>0</v>
      </c>
      <c r="D14" s="91">
        <v>0</v>
      </c>
      <c r="E14" s="91">
        <v>0</v>
      </c>
      <c r="J14" t="s">
        <v>163</v>
      </c>
      <c r="K14" s="91">
        <f t="shared" si="11"/>
        <v>0</v>
      </c>
      <c r="L14" s="91">
        <f t="shared" si="11"/>
        <v>0</v>
      </c>
      <c r="M14" s="91">
        <f t="shared" si="11"/>
        <v>0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</row>
    <row r="15" spans="2:47">
      <c r="B15" s="49"/>
      <c r="C15" s="3"/>
      <c r="D15" s="3"/>
      <c r="E15" s="3"/>
      <c r="J15" s="49"/>
      <c r="K15" s="3"/>
      <c r="L15" s="3"/>
      <c r="M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2:47">
      <c r="B16" s="65" t="s">
        <v>166</v>
      </c>
      <c r="C16" s="94">
        <f>SUM(C10,C13:C14)</f>
        <v>150.47999999999999</v>
      </c>
      <c r="D16" s="94">
        <f>SUM(D10,D13:D14)</f>
        <v>261.79362499999996</v>
      </c>
      <c r="E16" s="94">
        <f>SUM(E10,E13:E14)</f>
        <v>390.41553749999991</v>
      </c>
      <c r="J16" s="65" t="s">
        <v>166</v>
      </c>
      <c r="K16" s="94">
        <f>SUM(K10,K13:K14)</f>
        <v>105.336</v>
      </c>
      <c r="L16" s="94">
        <f>SUM(L10,L13:L14)</f>
        <v>183.25553749999997</v>
      </c>
      <c r="M16" s="94">
        <f>SUM(M10,M13:M14)</f>
        <v>273.29087624999994</v>
      </c>
      <c r="S16" s="94">
        <f>SUM(S10,S13:S14)</f>
        <v>0</v>
      </c>
      <c r="T16" s="94">
        <f t="shared" ref="T16:AF16" si="13">SUM(T10,T13:T14)</f>
        <v>0</v>
      </c>
      <c r="U16" s="94">
        <f t="shared" si="13"/>
        <v>8.0428965517241373</v>
      </c>
      <c r="V16" s="94">
        <f t="shared" si="13"/>
        <v>8.0428965517241373</v>
      </c>
      <c r="W16" s="94">
        <f t="shared" si="13"/>
        <v>8.8212413793103455</v>
      </c>
      <c r="X16" s="94">
        <f t="shared" si="13"/>
        <v>8.3023448275862055</v>
      </c>
      <c r="Y16" s="94">
        <f t="shared" si="13"/>
        <v>8.8212413793103455</v>
      </c>
      <c r="Z16" s="94">
        <f t="shared" si="13"/>
        <v>8.5617931034482755</v>
      </c>
      <c r="AA16" s="94">
        <f t="shared" si="13"/>
        <v>8.8212413793103455</v>
      </c>
      <c r="AB16" s="94">
        <f t="shared" si="13"/>
        <v>8.0428965517241373</v>
      </c>
      <c r="AC16" s="94">
        <f t="shared" si="13"/>
        <v>9.0806896551724137</v>
      </c>
      <c r="AD16" s="94">
        <f t="shared" si="13"/>
        <v>9.0806896551724137</v>
      </c>
      <c r="AE16" s="94">
        <f t="shared" si="13"/>
        <v>9.3401379310344819</v>
      </c>
      <c r="AF16" s="94">
        <f t="shared" si="13"/>
        <v>10.37793103448276</v>
      </c>
      <c r="AH16" s="94">
        <f t="shared" ref="AH16:AU16" si="14">SUM(AH10,AH13:AH14)</f>
        <v>0</v>
      </c>
      <c r="AI16" s="94">
        <f t="shared" si="14"/>
        <v>0</v>
      </c>
      <c r="AJ16" s="94">
        <f t="shared" si="14"/>
        <v>8.0428965517241373</v>
      </c>
      <c r="AK16" s="94">
        <f t="shared" si="14"/>
        <v>16.085793103448275</v>
      </c>
      <c r="AL16" s="94">
        <f t="shared" si="14"/>
        <v>24.907034482758622</v>
      </c>
      <c r="AM16" s="94">
        <f t="shared" si="14"/>
        <v>33.209379310344829</v>
      </c>
      <c r="AN16" s="94">
        <f t="shared" si="14"/>
        <v>42.030620689655173</v>
      </c>
      <c r="AO16" s="94">
        <f t="shared" si="14"/>
        <v>50.592413793103447</v>
      </c>
      <c r="AP16" s="94">
        <f t="shared" si="14"/>
        <v>59.413655172413797</v>
      </c>
      <c r="AQ16" s="94">
        <f t="shared" si="14"/>
        <v>67.456551724137952</v>
      </c>
      <c r="AR16" s="94">
        <f t="shared" si="14"/>
        <v>76.537241379310359</v>
      </c>
      <c r="AS16" s="94">
        <f t="shared" si="14"/>
        <v>85.617931034482766</v>
      </c>
      <c r="AT16" s="94">
        <f t="shared" si="14"/>
        <v>94.958068965517256</v>
      </c>
      <c r="AU16" s="94">
        <f t="shared" si="14"/>
        <v>105.33600000000001</v>
      </c>
    </row>
    <row r="17" spans="2:47">
      <c r="B17" s="66" t="s">
        <v>167</v>
      </c>
      <c r="C17" s="67">
        <f>C16/C$7</f>
        <v>0.87999999999999989</v>
      </c>
      <c r="D17" s="67">
        <f>D16/D$7</f>
        <v>0.88249999999999995</v>
      </c>
      <c r="E17" s="67">
        <f>E16/E$7</f>
        <v>0.88500000000000001</v>
      </c>
      <c r="J17" s="66" t="s">
        <v>167</v>
      </c>
      <c r="K17" s="67">
        <f>K16/K$7</f>
        <v>0.88000000000000012</v>
      </c>
      <c r="L17" s="67">
        <f>L16/L$7</f>
        <v>0.88249999999999995</v>
      </c>
      <c r="M17" s="67">
        <f>M16/M$7</f>
        <v>0.88500000000000001</v>
      </c>
      <c r="S17" s="67" t="e">
        <f>S16/S$7</f>
        <v>#DIV/0!</v>
      </c>
      <c r="T17" s="67" t="e">
        <f t="shared" ref="T17:AF17" si="15">T16/T$7</f>
        <v>#DIV/0!</v>
      </c>
      <c r="U17" s="67">
        <f t="shared" si="15"/>
        <v>0.88</v>
      </c>
      <c r="V17" s="67">
        <f t="shared" si="15"/>
        <v>0.88</v>
      </c>
      <c r="W17" s="67">
        <f t="shared" si="15"/>
        <v>0.88</v>
      </c>
      <c r="X17" s="67">
        <f t="shared" si="15"/>
        <v>0.87999999999999989</v>
      </c>
      <c r="Y17" s="67">
        <f t="shared" si="15"/>
        <v>0.88</v>
      </c>
      <c r="Z17" s="67">
        <f t="shared" si="15"/>
        <v>0.88000000000000012</v>
      </c>
      <c r="AA17" s="67">
        <f t="shared" si="15"/>
        <v>0.88</v>
      </c>
      <c r="AB17" s="67">
        <f t="shared" si="15"/>
        <v>0.88</v>
      </c>
      <c r="AC17" s="67">
        <f t="shared" si="15"/>
        <v>0.88</v>
      </c>
      <c r="AD17" s="67">
        <f t="shared" si="15"/>
        <v>0.88</v>
      </c>
      <c r="AE17" s="67">
        <f t="shared" si="15"/>
        <v>0.88</v>
      </c>
      <c r="AF17" s="67">
        <f t="shared" si="15"/>
        <v>0.88000000000000023</v>
      </c>
      <c r="AH17" s="67" t="e">
        <f t="shared" ref="AH17:AU17" si="16">AH16/AH$7</f>
        <v>#DIV/0!</v>
      </c>
      <c r="AI17" s="67" t="e">
        <f t="shared" si="16"/>
        <v>#DIV/0!</v>
      </c>
      <c r="AJ17" s="67">
        <f t="shared" si="16"/>
        <v>0.88</v>
      </c>
      <c r="AK17" s="67">
        <f t="shared" si="16"/>
        <v>0.88</v>
      </c>
      <c r="AL17" s="67">
        <f t="shared" si="16"/>
        <v>0.88000000000000012</v>
      </c>
      <c r="AM17" s="67">
        <f t="shared" si="16"/>
        <v>0.88000000000000012</v>
      </c>
      <c r="AN17" s="67">
        <f t="shared" si="16"/>
        <v>0.88000000000000012</v>
      </c>
      <c r="AO17" s="67">
        <f t="shared" si="16"/>
        <v>0.88</v>
      </c>
      <c r="AP17" s="67">
        <f t="shared" si="16"/>
        <v>0.88</v>
      </c>
      <c r="AQ17" s="67">
        <f t="shared" si="16"/>
        <v>0.88000000000000023</v>
      </c>
      <c r="AR17" s="67">
        <f t="shared" si="16"/>
        <v>0.88000000000000012</v>
      </c>
      <c r="AS17" s="67">
        <f t="shared" si="16"/>
        <v>0.88</v>
      </c>
      <c r="AT17" s="67">
        <f t="shared" si="16"/>
        <v>0.88000000000000012</v>
      </c>
      <c r="AU17" s="67">
        <f t="shared" si="16"/>
        <v>0.88000000000000012</v>
      </c>
    </row>
    <row r="18" spans="2:47">
      <c r="B18" s="49"/>
      <c r="C18" s="3"/>
      <c r="D18" s="3"/>
      <c r="E18" s="3"/>
      <c r="J18" s="49"/>
      <c r="K18" s="3"/>
      <c r="L18" s="3"/>
      <c r="M18" s="3"/>
      <c r="S18" s="3"/>
    </row>
    <row r="19" spans="2:47">
      <c r="B19" t="s">
        <v>168</v>
      </c>
      <c r="C19" s="91">
        <f>-Extra!L5/1000</f>
        <v>-113.28</v>
      </c>
      <c r="D19" s="91">
        <f>C19*1.05</f>
        <v>-118.944</v>
      </c>
      <c r="E19" s="91">
        <f>D19*1.05</f>
        <v>-124.89120000000001</v>
      </c>
      <c r="J19" t="s">
        <v>168</v>
      </c>
      <c r="K19" s="91">
        <f t="shared" ref="K19:M20" si="17">C19</f>
        <v>-113.28</v>
      </c>
      <c r="L19" s="91">
        <f t="shared" si="17"/>
        <v>-118.944</v>
      </c>
      <c r="M19" s="91">
        <f t="shared" si="17"/>
        <v>-124.89120000000001</v>
      </c>
      <c r="S19" s="91"/>
      <c r="U19" s="5">
        <f>$K19/12</f>
        <v>-9.44</v>
      </c>
      <c r="V19" s="5">
        <f t="shared" ref="V19:AF19" si="18">$K19/12</f>
        <v>-9.44</v>
      </c>
      <c r="W19" s="5">
        <f t="shared" si="18"/>
        <v>-9.44</v>
      </c>
      <c r="X19" s="5">
        <f t="shared" si="18"/>
        <v>-9.44</v>
      </c>
      <c r="Y19" s="5">
        <f t="shared" si="18"/>
        <v>-9.44</v>
      </c>
      <c r="Z19" s="5">
        <f t="shared" si="18"/>
        <v>-9.44</v>
      </c>
      <c r="AA19" s="5">
        <f t="shared" si="18"/>
        <v>-9.44</v>
      </c>
      <c r="AB19" s="5">
        <f t="shared" si="18"/>
        <v>-9.44</v>
      </c>
      <c r="AC19" s="5">
        <f t="shared" si="18"/>
        <v>-9.44</v>
      </c>
      <c r="AD19" s="5">
        <f t="shared" si="18"/>
        <v>-9.44</v>
      </c>
      <c r="AE19" s="5">
        <f t="shared" si="18"/>
        <v>-9.44</v>
      </c>
      <c r="AF19" s="5">
        <f t="shared" si="18"/>
        <v>-9.44</v>
      </c>
      <c r="AH19">
        <f t="shared" si="5"/>
        <v>0</v>
      </c>
      <c r="AI19">
        <f t="shared" si="6"/>
        <v>0</v>
      </c>
      <c r="AJ19">
        <f t="shared" si="3"/>
        <v>-9.44</v>
      </c>
      <c r="AK19">
        <f t="shared" si="3"/>
        <v>-18.88</v>
      </c>
      <c r="AL19">
        <f t="shared" si="3"/>
        <v>-28.32</v>
      </c>
      <c r="AM19">
        <f t="shared" si="3"/>
        <v>-37.76</v>
      </c>
      <c r="AN19">
        <f t="shared" si="3"/>
        <v>-47.199999999999996</v>
      </c>
      <c r="AO19">
        <f t="shared" si="3"/>
        <v>-56.639999999999993</v>
      </c>
      <c r="AP19">
        <f t="shared" si="3"/>
        <v>-66.08</v>
      </c>
      <c r="AQ19">
        <f t="shared" si="3"/>
        <v>-75.52</v>
      </c>
      <c r="AR19">
        <f t="shared" si="3"/>
        <v>-84.96</v>
      </c>
      <c r="AS19">
        <f t="shared" si="3"/>
        <v>-94.399999999999991</v>
      </c>
      <c r="AT19">
        <f t="shared" si="3"/>
        <v>-103.83999999999999</v>
      </c>
      <c r="AU19">
        <f t="shared" si="3"/>
        <v>-113.27999999999999</v>
      </c>
    </row>
    <row r="20" spans="2:47">
      <c r="B20" t="s">
        <v>169</v>
      </c>
      <c r="C20" s="91">
        <v>0</v>
      </c>
      <c r="D20" s="91">
        <v>0</v>
      </c>
      <c r="E20" s="91">
        <v>0</v>
      </c>
      <c r="J20" t="s">
        <v>169</v>
      </c>
      <c r="K20" s="91">
        <f t="shared" si="17"/>
        <v>0</v>
      </c>
      <c r="L20" s="91">
        <f t="shared" si="17"/>
        <v>0</v>
      </c>
      <c r="M20" s="91">
        <f t="shared" si="17"/>
        <v>0</v>
      </c>
      <c r="S20" s="91"/>
    </row>
    <row r="21" spans="2:47">
      <c r="B21" s="49"/>
      <c r="C21" s="3"/>
      <c r="D21" s="3"/>
      <c r="E21" s="3"/>
      <c r="J21" s="49"/>
      <c r="K21" s="3"/>
      <c r="L21" s="3"/>
      <c r="M21" s="3"/>
      <c r="S21" s="3"/>
    </row>
    <row r="22" spans="2:47">
      <c r="B22" s="65" t="s">
        <v>170</v>
      </c>
      <c r="C22" s="94">
        <f>SUM(C16,C19:C20)</f>
        <v>37.199999999999989</v>
      </c>
      <c r="D22" s="94">
        <f>SUM(D16,D19:D20)</f>
        <v>142.84962499999995</v>
      </c>
      <c r="E22" s="94">
        <f>SUM(E16,E19:E20)</f>
        <v>265.52433749999989</v>
      </c>
      <c r="J22" s="65" t="s">
        <v>170</v>
      </c>
      <c r="K22" s="94">
        <f>SUM(K16,K19:K20)</f>
        <v>-7.9440000000000026</v>
      </c>
      <c r="L22" s="94">
        <f>SUM(L16,L19:L20)</f>
        <v>64.311537499999972</v>
      </c>
      <c r="M22" s="94">
        <f>SUM(M16,M19:M20)</f>
        <v>148.39967624999991</v>
      </c>
      <c r="S22" s="94">
        <f>SUM(S16,S19:S20)</f>
        <v>0</v>
      </c>
      <c r="T22" s="94">
        <f t="shared" ref="T22:AF22" si="19">SUM(T16,T19:T20)</f>
        <v>0</v>
      </c>
      <c r="U22" s="94">
        <f t="shared" si="19"/>
        <v>-1.3971034482758622</v>
      </c>
      <c r="V22" s="94">
        <f t="shared" si="19"/>
        <v>-1.3971034482758622</v>
      </c>
      <c r="W22" s="94">
        <f t="shared" si="19"/>
        <v>-0.61875862068965404</v>
      </c>
      <c r="X22" s="94">
        <f t="shared" si="19"/>
        <v>-1.137655172413794</v>
      </c>
      <c r="Y22" s="94">
        <f t="shared" si="19"/>
        <v>-0.61875862068965404</v>
      </c>
      <c r="Z22" s="94">
        <f t="shared" si="19"/>
        <v>-0.87820689655172401</v>
      </c>
      <c r="AA22" s="94">
        <f t="shared" si="19"/>
        <v>-0.61875862068965404</v>
      </c>
      <c r="AB22" s="94">
        <f t="shared" si="19"/>
        <v>-1.3971034482758622</v>
      </c>
      <c r="AC22" s="94">
        <f t="shared" si="19"/>
        <v>-0.35931034482758584</v>
      </c>
      <c r="AD22" s="94">
        <f t="shared" si="19"/>
        <v>-0.35931034482758584</v>
      </c>
      <c r="AE22" s="94">
        <f t="shared" si="19"/>
        <v>-9.9862068965517636E-2</v>
      </c>
      <c r="AF22" s="94">
        <f t="shared" si="19"/>
        <v>0.9379310344827605</v>
      </c>
      <c r="AH22" s="94">
        <f t="shared" ref="AH22:AU22" si="20">SUM(AH16,AH19:AH20)</f>
        <v>0</v>
      </c>
      <c r="AI22" s="94">
        <f t="shared" si="20"/>
        <v>0</v>
      </c>
      <c r="AJ22" s="94">
        <f t="shared" si="20"/>
        <v>-1.3971034482758622</v>
      </c>
      <c r="AK22" s="94">
        <f t="shared" si="20"/>
        <v>-2.7942068965517244</v>
      </c>
      <c r="AL22" s="94">
        <f t="shared" si="20"/>
        <v>-3.4129655172413784</v>
      </c>
      <c r="AM22" s="94">
        <f t="shared" si="20"/>
        <v>-4.5506206896551689</v>
      </c>
      <c r="AN22" s="94">
        <f t="shared" si="20"/>
        <v>-5.1693793103448229</v>
      </c>
      <c r="AO22" s="94">
        <f t="shared" si="20"/>
        <v>-6.0475862068965469</v>
      </c>
      <c r="AP22" s="94">
        <f t="shared" si="20"/>
        <v>-6.6663448275862009</v>
      </c>
      <c r="AQ22" s="94">
        <f t="shared" si="20"/>
        <v>-8.0634482758620436</v>
      </c>
      <c r="AR22" s="94">
        <f t="shared" si="20"/>
        <v>-8.4227586206896348</v>
      </c>
      <c r="AS22" s="94">
        <f t="shared" si="20"/>
        <v>-8.7820689655172259</v>
      </c>
      <c r="AT22" s="94">
        <f t="shared" si="20"/>
        <v>-8.8819310344827329</v>
      </c>
      <c r="AU22" s="94">
        <f t="shared" si="20"/>
        <v>-7.9439999999999742</v>
      </c>
    </row>
    <row r="23" spans="2:47">
      <c r="B23" s="66" t="s">
        <v>171</v>
      </c>
      <c r="C23" s="67">
        <f>C22/C$7</f>
        <v>0.21754385964912273</v>
      </c>
      <c r="D23" s="67">
        <f>D22/D$7</f>
        <v>0.48154264284510351</v>
      </c>
      <c r="E23" s="67">
        <f>E22/E$7</f>
        <v>0.60189468941793833</v>
      </c>
      <c r="J23" s="66" t="s">
        <v>171</v>
      </c>
      <c r="K23" s="67">
        <f>K22/K$7</f>
        <v>-6.6365914786967448E-2</v>
      </c>
      <c r="L23" s="67">
        <f>L22/L$7</f>
        <v>0.30970377549300515</v>
      </c>
      <c r="M23" s="67">
        <f>M22/M$7</f>
        <v>0.48056384202562619</v>
      </c>
      <c r="S23" s="67" t="e">
        <f>S22/S$7</f>
        <v>#DIV/0!</v>
      </c>
      <c r="T23" s="67" t="e">
        <f t="shared" ref="T23:AF23" si="21">T22/T$7</f>
        <v>#DIV/0!</v>
      </c>
      <c r="U23" s="67">
        <f t="shared" si="21"/>
        <v>-0.15286172420298058</v>
      </c>
      <c r="V23" s="67">
        <f t="shared" si="21"/>
        <v>-0.15286172420298058</v>
      </c>
      <c r="W23" s="67">
        <f t="shared" si="21"/>
        <v>-6.1726866185070409E-2</v>
      </c>
      <c r="X23" s="67">
        <f t="shared" si="21"/>
        <v>-0.12058479532163753</v>
      </c>
      <c r="Y23" s="67">
        <f t="shared" si="21"/>
        <v>-6.1726866185070409E-2</v>
      </c>
      <c r="Z23" s="67">
        <f t="shared" si="21"/>
        <v>-9.0264043948254477E-2</v>
      </c>
      <c r="AA23" s="67">
        <f t="shared" si="21"/>
        <v>-6.1726866185070409E-2</v>
      </c>
      <c r="AB23" s="67">
        <f t="shared" si="21"/>
        <v>-0.15286172420298058</v>
      </c>
      <c r="AC23" s="67">
        <f t="shared" si="21"/>
        <v>-3.4820384294068467E-2</v>
      </c>
      <c r="AD23" s="67">
        <f t="shared" si="21"/>
        <v>-3.4820384294068467E-2</v>
      </c>
      <c r="AE23" s="67">
        <f t="shared" si="21"/>
        <v>-9.4087069525666395E-3</v>
      </c>
      <c r="AF23" s="67">
        <f t="shared" si="21"/>
        <v>7.9532163742690218E-2</v>
      </c>
      <c r="AH23" s="67" t="e">
        <f t="shared" ref="AH23:AU23" si="22">AH22/AH$7</f>
        <v>#DIV/0!</v>
      </c>
      <c r="AI23" s="67" t="e">
        <f t="shared" si="22"/>
        <v>#DIV/0!</v>
      </c>
      <c r="AJ23" s="67">
        <f t="shared" si="22"/>
        <v>-0.15286172420298058</v>
      </c>
      <c r="AK23" s="67">
        <f t="shared" si="22"/>
        <v>-0.15286172420298058</v>
      </c>
      <c r="AL23" s="67">
        <f t="shared" si="22"/>
        <v>-0.12058479532163741</v>
      </c>
      <c r="AM23" s="67">
        <f t="shared" si="22"/>
        <v>-0.12058479532163734</v>
      </c>
      <c r="AN23" s="67">
        <f t="shared" si="22"/>
        <v>-0.10823189661396281</v>
      </c>
      <c r="AO23" s="67">
        <f t="shared" si="22"/>
        <v>-0.10519118308591985</v>
      </c>
      <c r="AP23" s="67">
        <f t="shared" si="22"/>
        <v>-9.8737965729461849E-2</v>
      </c>
      <c r="AQ23" s="67">
        <f t="shared" si="22"/>
        <v>-0.10519118308591958</v>
      </c>
      <c r="AR23" s="67">
        <f t="shared" si="22"/>
        <v>-9.6842105263157646E-2</v>
      </c>
      <c r="AS23" s="67">
        <f t="shared" si="22"/>
        <v>-9.0264043948254311E-2</v>
      </c>
      <c r="AT23" s="67">
        <f t="shared" si="22"/>
        <v>-8.2311059981465262E-2</v>
      </c>
      <c r="AU23" s="67">
        <f t="shared" si="22"/>
        <v>-6.6365914786967198E-2</v>
      </c>
    </row>
    <row r="24" spans="2:47">
      <c r="B24" s="49"/>
      <c r="C24" s="3"/>
      <c r="D24" s="3"/>
      <c r="E24" s="3"/>
      <c r="J24" s="49"/>
      <c r="K24" s="3"/>
      <c r="L24" s="3"/>
      <c r="M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2:47">
      <c r="B25" t="s">
        <v>172</v>
      </c>
      <c r="C25" s="91">
        <v>0</v>
      </c>
      <c r="D25" s="91">
        <v>0</v>
      </c>
      <c r="E25" s="91">
        <v>0</v>
      </c>
      <c r="J25" t="s">
        <v>172</v>
      </c>
      <c r="K25" s="91">
        <v>0</v>
      </c>
      <c r="L25" s="91">
        <v>0</v>
      </c>
      <c r="M25" s="91">
        <v>0</v>
      </c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</row>
    <row r="26" spans="2:47">
      <c r="B26" t="s">
        <v>173</v>
      </c>
      <c r="C26" s="91">
        <v>0</v>
      </c>
      <c r="D26" s="91">
        <v>0</v>
      </c>
      <c r="E26" s="91">
        <v>0</v>
      </c>
      <c r="J26" t="s">
        <v>173</v>
      </c>
      <c r="K26" s="91">
        <f t="shared" ref="K26:M26" si="23">C26</f>
        <v>0</v>
      </c>
      <c r="L26" s="91">
        <f t="shared" si="23"/>
        <v>0</v>
      </c>
      <c r="M26" s="91">
        <f t="shared" si="23"/>
        <v>0</v>
      </c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</row>
    <row r="27" spans="2:47">
      <c r="B27" s="49"/>
      <c r="C27" s="3"/>
      <c r="D27" s="3"/>
      <c r="E27" s="3"/>
      <c r="J27" s="49"/>
      <c r="K27" s="3"/>
      <c r="L27" s="3"/>
      <c r="M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2:47">
      <c r="B28" s="65" t="s">
        <v>174</v>
      </c>
      <c r="C28" s="94">
        <f>SUM(C22,C25:C26)</f>
        <v>37.199999999999989</v>
      </c>
      <c r="D28" s="94">
        <f>SUM(D22,D25:D26)</f>
        <v>142.84962499999995</v>
      </c>
      <c r="E28" s="94">
        <f>SUM(E22,E25:E26)</f>
        <v>265.52433749999989</v>
      </c>
      <c r="J28" s="65" t="s">
        <v>174</v>
      </c>
      <c r="K28" s="94">
        <f>SUM(K22,K25:K26)</f>
        <v>-7.9440000000000026</v>
      </c>
      <c r="L28" s="94">
        <f>SUM(L22,L25:L26)</f>
        <v>64.311537499999972</v>
      </c>
      <c r="M28" s="94">
        <f>SUM(M22,M25:M26)</f>
        <v>148.39967624999991</v>
      </c>
      <c r="S28" s="94">
        <f>SUM(S22,S25:S26)</f>
        <v>0</v>
      </c>
      <c r="T28" s="94">
        <f t="shared" ref="T28:AF28" si="24">SUM(T22,T25:T26)</f>
        <v>0</v>
      </c>
      <c r="U28" s="94">
        <f t="shared" si="24"/>
        <v>-1.3971034482758622</v>
      </c>
      <c r="V28" s="94">
        <f t="shared" si="24"/>
        <v>-1.3971034482758622</v>
      </c>
      <c r="W28" s="94">
        <f t="shared" si="24"/>
        <v>-0.61875862068965404</v>
      </c>
      <c r="X28" s="94">
        <f t="shared" si="24"/>
        <v>-1.137655172413794</v>
      </c>
      <c r="Y28" s="94">
        <f t="shared" si="24"/>
        <v>-0.61875862068965404</v>
      </c>
      <c r="Z28" s="94">
        <f t="shared" si="24"/>
        <v>-0.87820689655172401</v>
      </c>
      <c r="AA28" s="94">
        <f t="shared" si="24"/>
        <v>-0.61875862068965404</v>
      </c>
      <c r="AB28" s="94">
        <f t="shared" si="24"/>
        <v>-1.3971034482758622</v>
      </c>
      <c r="AC28" s="94">
        <f t="shared" si="24"/>
        <v>-0.35931034482758584</v>
      </c>
      <c r="AD28" s="94">
        <f t="shared" si="24"/>
        <v>-0.35931034482758584</v>
      </c>
      <c r="AE28" s="94">
        <f t="shared" si="24"/>
        <v>-9.9862068965517636E-2</v>
      </c>
      <c r="AF28" s="94">
        <f t="shared" si="24"/>
        <v>0.9379310344827605</v>
      </c>
      <c r="AH28" s="94">
        <f t="shared" ref="AH28:AU28" si="25">SUM(AH22,AH25:AH26)</f>
        <v>0</v>
      </c>
      <c r="AI28" s="94">
        <f t="shared" si="25"/>
        <v>0</v>
      </c>
      <c r="AJ28" s="94">
        <f t="shared" si="25"/>
        <v>-1.3971034482758622</v>
      </c>
      <c r="AK28" s="94">
        <f t="shared" si="25"/>
        <v>-2.7942068965517244</v>
      </c>
      <c r="AL28" s="94">
        <f t="shared" si="25"/>
        <v>-3.4129655172413784</v>
      </c>
      <c r="AM28" s="94">
        <f t="shared" si="25"/>
        <v>-4.5506206896551689</v>
      </c>
      <c r="AN28" s="94">
        <f t="shared" si="25"/>
        <v>-5.1693793103448229</v>
      </c>
      <c r="AO28" s="94">
        <f t="shared" si="25"/>
        <v>-6.0475862068965469</v>
      </c>
      <c r="AP28" s="94">
        <f t="shared" si="25"/>
        <v>-6.6663448275862009</v>
      </c>
      <c r="AQ28" s="94">
        <f t="shared" si="25"/>
        <v>-8.0634482758620436</v>
      </c>
      <c r="AR28" s="94">
        <f t="shared" si="25"/>
        <v>-8.4227586206896348</v>
      </c>
      <c r="AS28" s="94">
        <f t="shared" si="25"/>
        <v>-8.7820689655172259</v>
      </c>
      <c r="AT28" s="94">
        <f t="shared" si="25"/>
        <v>-8.8819310344827329</v>
      </c>
      <c r="AU28" s="94">
        <f t="shared" si="25"/>
        <v>-7.9439999999999742</v>
      </c>
    </row>
    <row r="29" spans="2:47">
      <c r="B29" s="66" t="s">
        <v>175</v>
      </c>
      <c r="C29" s="67">
        <f>C28/C$7</f>
        <v>0.21754385964912273</v>
      </c>
      <c r="D29" s="67">
        <f>D28/D$7</f>
        <v>0.48154264284510351</v>
      </c>
      <c r="E29" s="67">
        <f>E28/E$7</f>
        <v>0.60189468941793833</v>
      </c>
      <c r="J29" s="66" t="s">
        <v>175</v>
      </c>
      <c r="K29" s="67">
        <f>K28/K$7</f>
        <v>-6.6365914786967448E-2</v>
      </c>
      <c r="L29" s="67">
        <f>L28/L$7</f>
        <v>0.30970377549300515</v>
      </c>
      <c r="M29" s="67">
        <f>M28/M$7</f>
        <v>0.48056384202562619</v>
      </c>
      <c r="S29" s="67" t="e">
        <f>S28/S$7</f>
        <v>#DIV/0!</v>
      </c>
      <c r="T29" s="67" t="e">
        <f t="shared" ref="T29:AF29" si="26">T28/T$7</f>
        <v>#DIV/0!</v>
      </c>
      <c r="U29" s="67">
        <f t="shared" si="26"/>
        <v>-0.15286172420298058</v>
      </c>
      <c r="V29" s="67">
        <f t="shared" si="26"/>
        <v>-0.15286172420298058</v>
      </c>
      <c r="W29" s="67">
        <f t="shared" si="26"/>
        <v>-6.1726866185070409E-2</v>
      </c>
      <c r="X29" s="67">
        <f t="shared" si="26"/>
        <v>-0.12058479532163753</v>
      </c>
      <c r="Y29" s="67">
        <f t="shared" si="26"/>
        <v>-6.1726866185070409E-2</v>
      </c>
      <c r="Z29" s="67">
        <f t="shared" si="26"/>
        <v>-9.0264043948254477E-2</v>
      </c>
      <c r="AA29" s="67">
        <f t="shared" si="26"/>
        <v>-6.1726866185070409E-2</v>
      </c>
      <c r="AB29" s="67">
        <f t="shared" si="26"/>
        <v>-0.15286172420298058</v>
      </c>
      <c r="AC29" s="67">
        <f t="shared" si="26"/>
        <v>-3.4820384294068467E-2</v>
      </c>
      <c r="AD29" s="67">
        <f t="shared" si="26"/>
        <v>-3.4820384294068467E-2</v>
      </c>
      <c r="AE29" s="67">
        <f t="shared" si="26"/>
        <v>-9.4087069525666395E-3</v>
      </c>
      <c r="AF29" s="67">
        <f t="shared" si="26"/>
        <v>7.9532163742690218E-2</v>
      </c>
      <c r="AH29" s="67" t="e">
        <f t="shared" ref="AH29:AU29" si="27">AH28/AH$7</f>
        <v>#DIV/0!</v>
      </c>
      <c r="AI29" s="67" t="e">
        <f t="shared" si="27"/>
        <v>#DIV/0!</v>
      </c>
      <c r="AJ29" s="67">
        <f t="shared" si="27"/>
        <v>-0.15286172420298058</v>
      </c>
      <c r="AK29" s="67">
        <f t="shared" si="27"/>
        <v>-0.15286172420298058</v>
      </c>
      <c r="AL29" s="67">
        <f t="shared" si="27"/>
        <v>-0.12058479532163741</v>
      </c>
      <c r="AM29" s="67">
        <f t="shared" si="27"/>
        <v>-0.12058479532163734</v>
      </c>
      <c r="AN29" s="67">
        <f t="shared" si="27"/>
        <v>-0.10823189661396281</v>
      </c>
      <c r="AO29" s="67">
        <f t="shared" si="27"/>
        <v>-0.10519118308591985</v>
      </c>
      <c r="AP29" s="67">
        <f t="shared" si="27"/>
        <v>-9.8737965729461849E-2</v>
      </c>
      <c r="AQ29" s="67">
        <f t="shared" si="27"/>
        <v>-0.10519118308591958</v>
      </c>
      <c r="AR29" s="67">
        <f t="shared" si="27"/>
        <v>-9.6842105263157646E-2</v>
      </c>
      <c r="AS29" s="67">
        <f t="shared" si="27"/>
        <v>-9.0264043948254311E-2</v>
      </c>
      <c r="AT29" s="67">
        <f t="shared" si="27"/>
        <v>-8.2311059981465262E-2</v>
      </c>
      <c r="AU29" s="67">
        <f t="shared" si="27"/>
        <v>-6.6365914786967198E-2</v>
      </c>
    </row>
    <row r="30" spans="2:47">
      <c r="B30" s="49"/>
      <c r="C30" s="3"/>
      <c r="D30" s="3"/>
      <c r="E30" s="3"/>
      <c r="J30" s="49"/>
      <c r="K30" s="3"/>
      <c r="L30" s="3"/>
      <c r="M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2:47">
      <c r="B31" t="s">
        <v>176</v>
      </c>
      <c r="C31" s="91">
        <v>0</v>
      </c>
      <c r="D31" s="91">
        <v>0</v>
      </c>
      <c r="E31" s="91">
        <v>0</v>
      </c>
      <c r="J31" t="s">
        <v>176</v>
      </c>
      <c r="K31" s="91">
        <f>C31</f>
        <v>0</v>
      </c>
      <c r="L31" s="91">
        <f t="shared" ref="L31:M31" si="28">D31</f>
        <v>0</v>
      </c>
      <c r="M31" s="91">
        <f t="shared" si="28"/>
        <v>0</v>
      </c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</row>
    <row r="32" spans="2:47">
      <c r="B32" s="49"/>
      <c r="C32" s="3"/>
      <c r="D32" s="3"/>
      <c r="E32" s="3"/>
      <c r="J32" s="49"/>
      <c r="K32" s="3"/>
      <c r="L32" s="3"/>
      <c r="M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2:47">
      <c r="B33" s="65" t="s">
        <v>177</v>
      </c>
      <c r="C33" s="94">
        <f>SUM(C28,C31)</f>
        <v>37.199999999999989</v>
      </c>
      <c r="D33" s="94">
        <f>SUM(D28,D31)</f>
        <v>142.84962499999995</v>
      </c>
      <c r="E33" s="94">
        <f>SUM(E28,E31)</f>
        <v>265.52433749999989</v>
      </c>
      <c r="J33" s="65" t="s">
        <v>177</v>
      </c>
      <c r="K33" s="94">
        <f>SUM(K28,K31)</f>
        <v>-7.9440000000000026</v>
      </c>
      <c r="L33" s="94">
        <f>SUM(L28,L31)</f>
        <v>64.311537499999972</v>
      </c>
      <c r="M33" s="94">
        <f>SUM(M28,M31)</f>
        <v>148.39967624999991</v>
      </c>
      <c r="S33" s="94">
        <f>SUM(S28,S31)</f>
        <v>0</v>
      </c>
      <c r="T33" s="94">
        <f t="shared" ref="T33:AF33" si="29">SUM(T28,T31)</f>
        <v>0</v>
      </c>
      <c r="U33" s="94">
        <f t="shared" si="29"/>
        <v>-1.3971034482758622</v>
      </c>
      <c r="V33" s="94">
        <f t="shared" si="29"/>
        <v>-1.3971034482758622</v>
      </c>
      <c r="W33" s="94">
        <f t="shared" si="29"/>
        <v>-0.61875862068965404</v>
      </c>
      <c r="X33" s="94">
        <f t="shared" si="29"/>
        <v>-1.137655172413794</v>
      </c>
      <c r="Y33" s="94">
        <f t="shared" si="29"/>
        <v>-0.61875862068965404</v>
      </c>
      <c r="Z33" s="94">
        <f t="shared" si="29"/>
        <v>-0.87820689655172401</v>
      </c>
      <c r="AA33" s="94">
        <f t="shared" si="29"/>
        <v>-0.61875862068965404</v>
      </c>
      <c r="AB33" s="94">
        <f t="shared" si="29"/>
        <v>-1.3971034482758622</v>
      </c>
      <c r="AC33" s="94">
        <f t="shared" si="29"/>
        <v>-0.35931034482758584</v>
      </c>
      <c r="AD33" s="94">
        <f t="shared" si="29"/>
        <v>-0.35931034482758584</v>
      </c>
      <c r="AE33" s="94">
        <f t="shared" si="29"/>
        <v>-9.9862068965517636E-2</v>
      </c>
      <c r="AF33" s="94">
        <f t="shared" si="29"/>
        <v>0.9379310344827605</v>
      </c>
      <c r="AH33" s="94">
        <f t="shared" ref="AH33:AU33" si="30">SUM(AH28,AH31)</f>
        <v>0</v>
      </c>
      <c r="AI33" s="94">
        <f t="shared" si="30"/>
        <v>0</v>
      </c>
      <c r="AJ33" s="94">
        <f t="shared" si="30"/>
        <v>-1.3971034482758622</v>
      </c>
      <c r="AK33" s="94">
        <f t="shared" si="30"/>
        <v>-2.7942068965517244</v>
      </c>
      <c r="AL33" s="94">
        <f t="shared" si="30"/>
        <v>-3.4129655172413784</v>
      </c>
      <c r="AM33" s="94">
        <f t="shared" si="30"/>
        <v>-4.5506206896551689</v>
      </c>
      <c r="AN33" s="94">
        <f t="shared" si="30"/>
        <v>-5.1693793103448229</v>
      </c>
      <c r="AO33" s="94">
        <f t="shared" si="30"/>
        <v>-6.0475862068965469</v>
      </c>
      <c r="AP33" s="94">
        <f t="shared" si="30"/>
        <v>-6.6663448275862009</v>
      </c>
      <c r="AQ33" s="94">
        <f t="shared" si="30"/>
        <v>-8.0634482758620436</v>
      </c>
      <c r="AR33" s="94">
        <f t="shared" si="30"/>
        <v>-8.4227586206896348</v>
      </c>
      <c r="AS33" s="94">
        <f t="shared" si="30"/>
        <v>-8.7820689655172259</v>
      </c>
      <c r="AT33" s="94">
        <f t="shared" si="30"/>
        <v>-8.8819310344827329</v>
      </c>
      <c r="AU33" s="94">
        <f t="shared" si="30"/>
        <v>-7.9439999999999742</v>
      </c>
    </row>
    <row r="34" spans="2:47">
      <c r="B34" s="66" t="s">
        <v>178</v>
      </c>
      <c r="C34" s="67">
        <f>C33/C$7</f>
        <v>0.21754385964912273</v>
      </c>
      <c r="D34" s="67">
        <f>D33/D$7</f>
        <v>0.48154264284510351</v>
      </c>
      <c r="E34" s="67">
        <f>E33/E$7</f>
        <v>0.60189468941793833</v>
      </c>
      <c r="J34" s="66" t="s">
        <v>178</v>
      </c>
      <c r="K34" s="67">
        <f>K33/K$7</f>
        <v>-6.6365914786967448E-2</v>
      </c>
      <c r="L34" s="67">
        <f>L33/L$7</f>
        <v>0.30970377549300515</v>
      </c>
      <c r="M34" s="67">
        <f>M33/M$7</f>
        <v>0.48056384202562619</v>
      </c>
      <c r="S34" s="67" t="e">
        <f>S33/S$7</f>
        <v>#DIV/0!</v>
      </c>
      <c r="T34" s="67" t="e">
        <f t="shared" ref="T34:AF34" si="31">T33/T$7</f>
        <v>#DIV/0!</v>
      </c>
      <c r="U34" s="67">
        <f t="shared" si="31"/>
        <v>-0.15286172420298058</v>
      </c>
      <c r="V34" s="67">
        <f t="shared" si="31"/>
        <v>-0.15286172420298058</v>
      </c>
      <c r="W34" s="67">
        <f t="shared" si="31"/>
        <v>-6.1726866185070409E-2</v>
      </c>
      <c r="X34" s="67">
        <f t="shared" si="31"/>
        <v>-0.12058479532163753</v>
      </c>
      <c r="Y34" s="67">
        <f t="shared" si="31"/>
        <v>-6.1726866185070409E-2</v>
      </c>
      <c r="Z34" s="67">
        <f t="shared" si="31"/>
        <v>-9.0264043948254477E-2</v>
      </c>
      <c r="AA34" s="67">
        <f t="shared" si="31"/>
        <v>-6.1726866185070409E-2</v>
      </c>
      <c r="AB34" s="67">
        <f t="shared" si="31"/>
        <v>-0.15286172420298058</v>
      </c>
      <c r="AC34" s="67">
        <f t="shared" si="31"/>
        <v>-3.4820384294068467E-2</v>
      </c>
      <c r="AD34" s="67">
        <f t="shared" si="31"/>
        <v>-3.4820384294068467E-2</v>
      </c>
      <c r="AE34" s="67">
        <f t="shared" si="31"/>
        <v>-9.4087069525666395E-3</v>
      </c>
      <c r="AF34" s="67">
        <f t="shared" si="31"/>
        <v>7.9532163742690218E-2</v>
      </c>
      <c r="AH34" s="67" t="e">
        <f t="shared" ref="AH34:AU34" si="32">AH33/AH$7</f>
        <v>#DIV/0!</v>
      </c>
      <c r="AI34" s="67" t="e">
        <f t="shared" si="32"/>
        <v>#DIV/0!</v>
      </c>
      <c r="AJ34" s="67">
        <f t="shared" si="32"/>
        <v>-0.15286172420298058</v>
      </c>
      <c r="AK34" s="67">
        <f t="shared" si="32"/>
        <v>-0.15286172420298058</v>
      </c>
      <c r="AL34" s="67">
        <f t="shared" si="32"/>
        <v>-0.12058479532163741</v>
      </c>
      <c r="AM34" s="67">
        <f t="shared" si="32"/>
        <v>-0.12058479532163734</v>
      </c>
      <c r="AN34" s="67">
        <f t="shared" si="32"/>
        <v>-0.10823189661396281</v>
      </c>
      <c r="AO34" s="67">
        <f t="shared" si="32"/>
        <v>-0.10519118308591985</v>
      </c>
      <c r="AP34" s="67">
        <f t="shared" si="32"/>
        <v>-9.8737965729461849E-2</v>
      </c>
      <c r="AQ34" s="67">
        <f t="shared" si="32"/>
        <v>-0.10519118308591958</v>
      </c>
      <c r="AR34" s="67">
        <f t="shared" si="32"/>
        <v>-9.6842105263157646E-2</v>
      </c>
      <c r="AS34" s="67">
        <f t="shared" si="32"/>
        <v>-9.0264043948254311E-2</v>
      </c>
      <c r="AT34" s="67">
        <f t="shared" si="32"/>
        <v>-8.2311059981465262E-2</v>
      </c>
      <c r="AU34" s="67">
        <f t="shared" si="32"/>
        <v>-6.6365914786967198E-2</v>
      </c>
    </row>
    <row r="37" spans="2:47">
      <c r="B37" t="s">
        <v>179</v>
      </c>
      <c r="C37" s="91">
        <f>C19*1/12</f>
        <v>-9.44</v>
      </c>
      <c r="F37" t="s">
        <v>218</v>
      </c>
      <c r="J37" t="s">
        <v>179</v>
      </c>
      <c r="K37" s="91">
        <f>K19*1/12</f>
        <v>-9.44</v>
      </c>
      <c r="N37" t="s">
        <v>218</v>
      </c>
    </row>
    <row r="44" spans="2:47">
      <c r="B44" t="s">
        <v>181</v>
      </c>
    </row>
    <row r="47" spans="2:47">
      <c r="C47" s="9"/>
      <c r="D47" s="57"/>
      <c r="E47" s="9"/>
    </row>
  </sheetData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81A3-9D1D-48F3-878F-8925E39A32BD}">
  <sheetPr>
    <tabColor rgb="FF92D050"/>
  </sheetPr>
  <dimension ref="B2:AU54"/>
  <sheetViews>
    <sheetView showGridLines="0" topLeftCell="N1" workbookViewId="0">
      <selection activeCell="R9" sqref="R9:R41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/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C46+'3YP'!E45*C47</f>
        <v>205.88997157200001</v>
      </c>
      <c r="D7" s="93">
        <f>D46+'3YP'!F45*D47</f>
        <v>786.88666023999997</v>
      </c>
      <c r="E7" s="93">
        <f>E46+'3YP'!G45*E47</f>
        <v>1080.174787488</v>
      </c>
      <c r="H7" s="9">
        <v>-0.25</v>
      </c>
      <c r="J7" s="64" t="s">
        <v>155</v>
      </c>
      <c r="K7" s="93">
        <f>C7*(1+$H$7)</f>
        <v>154.417478679</v>
      </c>
      <c r="L7" s="93">
        <f t="shared" ref="L7:M8" si="2">D7*(1+$H$7)</f>
        <v>590.16499518000001</v>
      </c>
      <c r="M7" s="93">
        <f t="shared" si="2"/>
        <v>810.13109061599994</v>
      </c>
      <c r="AD7" s="5">
        <f>$K7*50%</f>
        <v>77.208739339499999</v>
      </c>
      <c r="AE7" s="5">
        <f>$K7*30%</f>
        <v>46.325243603699995</v>
      </c>
      <c r="AF7" s="5">
        <f>$K7*20%</f>
        <v>30.8834957358</v>
      </c>
      <c r="AH7">
        <f>S7</f>
        <v>0</v>
      </c>
      <c r="AI7">
        <f>AH7+T7</f>
        <v>0</v>
      </c>
      <c r="AJ7">
        <f t="shared" ref="AJ7:AU19" si="3">AI7+U7</f>
        <v>0</v>
      </c>
      <c r="AK7">
        <f t="shared" si="3"/>
        <v>0</v>
      </c>
      <c r="AL7">
        <f t="shared" si="3"/>
        <v>0</v>
      </c>
      <c r="AM7">
        <f t="shared" si="3"/>
        <v>0</v>
      </c>
      <c r="AN7">
        <f t="shared" si="3"/>
        <v>0</v>
      </c>
      <c r="AO7">
        <f t="shared" si="3"/>
        <v>0</v>
      </c>
      <c r="AP7">
        <f t="shared" si="3"/>
        <v>0</v>
      </c>
      <c r="AQ7">
        <f t="shared" si="3"/>
        <v>0</v>
      </c>
      <c r="AR7">
        <f t="shared" si="3"/>
        <v>0</v>
      </c>
      <c r="AS7">
        <f t="shared" si="3"/>
        <v>77.208739339499999</v>
      </c>
      <c r="AT7">
        <f t="shared" si="3"/>
        <v>123.53398294319999</v>
      </c>
      <c r="AU7">
        <f t="shared" si="3"/>
        <v>154.417478679</v>
      </c>
    </row>
    <row r="8" spans="2:47">
      <c r="B8" t="s">
        <v>157</v>
      </c>
      <c r="C8" s="91">
        <f>-C7*(1-'3YP'!E51)</f>
        <v>-38.86654239300001</v>
      </c>
      <c r="D8" s="91">
        <f>-D7*(1-'3YP'!F51)</f>
        <v>-146.50066290940003</v>
      </c>
      <c r="E8" s="91">
        <f>-E7*(1-'3YP'!G51)</f>
        <v>-206.11108641456011</v>
      </c>
      <c r="J8" t="s">
        <v>157</v>
      </c>
      <c r="K8" s="91">
        <f>C8*(1+$H$7)</f>
        <v>-29.149906794750009</v>
      </c>
      <c r="L8" s="91">
        <f t="shared" si="2"/>
        <v>-109.87549718205003</v>
      </c>
      <c r="M8" s="91">
        <f t="shared" si="2"/>
        <v>-154.58331481092009</v>
      </c>
      <c r="AD8" s="91">
        <f>AD7*$K$8/$K$7</f>
        <v>-14.574953397375005</v>
      </c>
      <c r="AE8" s="91">
        <f t="shared" ref="AE8:AF8" si="4">AE7*$K$8/$K$7</f>
        <v>-8.7449720384250007</v>
      </c>
      <c r="AF8" s="91">
        <f t="shared" si="4"/>
        <v>-5.8299813589500022</v>
      </c>
      <c r="AH8">
        <f t="shared" ref="AH8:AH19" si="5">S8</f>
        <v>0</v>
      </c>
      <c r="AI8">
        <f t="shared" ref="AI8:AI19" si="6">AH8+T8</f>
        <v>0</v>
      </c>
      <c r="AJ8">
        <f t="shared" si="3"/>
        <v>0</v>
      </c>
      <c r="AK8">
        <f t="shared" si="3"/>
        <v>0</v>
      </c>
      <c r="AL8">
        <f t="shared" si="3"/>
        <v>0</v>
      </c>
      <c r="AM8">
        <f t="shared" si="3"/>
        <v>0</v>
      </c>
      <c r="AN8">
        <f t="shared" si="3"/>
        <v>0</v>
      </c>
      <c r="AO8">
        <f t="shared" si="3"/>
        <v>0</v>
      </c>
      <c r="AP8">
        <f t="shared" si="3"/>
        <v>0</v>
      </c>
      <c r="AQ8">
        <f t="shared" si="3"/>
        <v>0</v>
      </c>
      <c r="AR8">
        <f t="shared" si="3"/>
        <v>0</v>
      </c>
      <c r="AS8">
        <f t="shared" si="3"/>
        <v>-14.574953397375005</v>
      </c>
      <c r="AT8">
        <f t="shared" si="3"/>
        <v>-23.319925435800005</v>
      </c>
      <c r="AU8">
        <f t="shared" si="3"/>
        <v>-29.149906794750009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167.023429179</v>
      </c>
      <c r="D10" s="94">
        <f>SUM(D7:D8)</f>
        <v>640.38599733059993</v>
      </c>
      <c r="E10" s="94">
        <f>SUM(E7:E8)</f>
        <v>874.06370107343992</v>
      </c>
      <c r="J10" s="65" t="s">
        <v>158</v>
      </c>
      <c r="K10" s="94">
        <f>SUM(K7:K8)</f>
        <v>125.26757188424999</v>
      </c>
      <c r="L10" s="94">
        <f>SUM(L7:L8)</f>
        <v>480.28949799794998</v>
      </c>
      <c r="M10" s="94">
        <f>SUM(M7:M8)</f>
        <v>655.54777580507982</v>
      </c>
      <c r="S10" s="94">
        <f t="shared" ref="S10:AC10" si="7">SUM(S7:S8)</f>
        <v>0</v>
      </c>
      <c r="T10" s="94">
        <f t="shared" si="7"/>
        <v>0</v>
      </c>
      <c r="U10" s="94">
        <f t="shared" si="7"/>
        <v>0</v>
      </c>
      <c r="V10" s="94">
        <f t="shared" si="7"/>
        <v>0</v>
      </c>
      <c r="W10" s="94">
        <f t="shared" si="7"/>
        <v>0</v>
      </c>
      <c r="X10" s="94">
        <f t="shared" si="7"/>
        <v>0</v>
      </c>
      <c r="Y10" s="94">
        <f t="shared" si="7"/>
        <v>0</v>
      </c>
      <c r="Z10" s="94">
        <f t="shared" si="7"/>
        <v>0</v>
      </c>
      <c r="AA10" s="94">
        <f t="shared" si="7"/>
        <v>0</v>
      </c>
      <c r="AB10" s="94">
        <f t="shared" si="7"/>
        <v>0</v>
      </c>
      <c r="AC10" s="94">
        <f t="shared" si="7"/>
        <v>0</v>
      </c>
      <c r="AD10" s="94">
        <f t="shared" ref="AD10:AF10" si="8">SUM(AD7:AD8)</f>
        <v>62.633785942124995</v>
      </c>
      <c r="AE10" s="94">
        <f t="shared" si="8"/>
        <v>37.580271565274998</v>
      </c>
      <c r="AF10" s="94">
        <f t="shared" si="8"/>
        <v>25.053514376849996</v>
      </c>
      <c r="AH10" s="94">
        <f t="shared" ref="AH10:AU10" si="9">SUM(AH7:AH8)</f>
        <v>0</v>
      </c>
      <c r="AI10" s="94">
        <f t="shared" si="9"/>
        <v>0</v>
      </c>
      <c r="AJ10" s="94">
        <f t="shared" si="9"/>
        <v>0</v>
      </c>
      <c r="AK10" s="94">
        <f t="shared" si="9"/>
        <v>0</v>
      </c>
      <c r="AL10" s="94">
        <f t="shared" si="9"/>
        <v>0</v>
      </c>
      <c r="AM10" s="94">
        <f t="shared" si="9"/>
        <v>0</v>
      </c>
      <c r="AN10" s="94">
        <f t="shared" si="9"/>
        <v>0</v>
      </c>
      <c r="AO10" s="94">
        <f t="shared" si="9"/>
        <v>0</v>
      </c>
      <c r="AP10" s="94">
        <f t="shared" si="9"/>
        <v>0</v>
      </c>
      <c r="AQ10" s="94">
        <f t="shared" si="9"/>
        <v>0</v>
      </c>
      <c r="AR10" s="94">
        <f t="shared" si="9"/>
        <v>0</v>
      </c>
      <c r="AS10" s="94">
        <f t="shared" si="9"/>
        <v>62.633785942124995</v>
      </c>
      <c r="AT10" s="94">
        <f t="shared" si="9"/>
        <v>100.21405750739999</v>
      </c>
      <c r="AU10" s="94">
        <f t="shared" si="9"/>
        <v>125.26757188424999</v>
      </c>
    </row>
    <row r="11" spans="2:47">
      <c r="B11" s="66" t="s">
        <v>160</v>
      </c>
      <c r="C11" s="67">
        <f>C10/C$7</f>
        <v>0.81122663675045326</v>
      </c>
      <c r="D11" s="67">
        <f>D10/D$7</f>
        <v>0.81382240885273438</v>
      </c>
      <c r="E11" s="67">
        <f>E10/E$7</f>
        <v>0.80918728264905937</v>
      </c>
      <c r="J11" s="66" t="s">
        <v>160</v>
      </c>
      <c r="K11" s="67">
        <f>K10/K$7</f>
        <v>0.81122663675045326</v>
      </c>
      <c r="L11" s="67">
        <f>L10/L$7</f>
        <v>0.81382240885273438</v>
      </c>
      <c r="M11" s="67">
        <f>M10/M$7</f>
        <v>0.80918728264905926</v>
      </c>
      <c r="S11" s="67" t="e">
        <f t="shared" ref="S11" si="10">S10/S$7</f>
        <v>#DIV/0!</v>
      </c>
      <c r="T11" s="67" t="e">
        <f t="shared" ref="T11" si="11">T10/T$7</f>
        <v>#DIV/0!</v>
      </c>
      <c r="U11" s="67" t="e">
        <f t="shared" ref="U11" si="12">U10/U$7</f>
        <v>#DIV/0!</v>
      </c>
      <c r="V11" s="67" t="e">
        <f t="shared" ref="V11" si="13">V10/V$7</f>
        <v>#DIV/0!</v>
      </c>
      <c r="W11" s="67" t="e">
        <f t="shared" ref="W11" si="14">W10/W$7</f>
        <v>#DIV/0!</v>
      </c>
      <c r="X11" s="67" t="e">
        <f t="shared" ref="X11" si="15">X10/X$7</f>
        <v>#DIV/0!</v>
      </c>
      <c r="Y11" s="67" t="e">
        <f t="shared" ref="Y11" si="16">Y10/Y$7</f>
        <v>#DIV/0!</v>
      </c>
      <c r="Z11" s="67" t="e">
        <f t="shared" ref="Z11" si="17">Z10/Z$7</f>
        <v>#DIV/0!</v>
      </c>
      <c r="AA11" s="67" t="e">
        <f t="shared" ref="AA11" si="18">AA10/AA$7</f>
        <v>#DIV/0!</v>
      </c>
      <c r="AB11" s="67" t="e">
        <f t="shared" ref="AB11" si="19">AB10/AB$7</f>
        <v>#DIV/0!</v>
      </c>
      <c r="AC11" s="67" t="e">
        <f t="shared" ref="AC11" si="20">AC10/AC$7</f>
        <v>#DIV/0!</v>
      </c>
      <c r="AD11" s="67">
        <f t="shared" ref="AD11" si="21">AD10/AD$7</f>
        <v>0.81122663675045326</v>
      </c>
      <c r="AE11" s="67">
        <f t="shared" ref="AE11" si="22">AE10/AE$7</f>
        <v>0.81122663675045337</v>
      </c>
      <c r="AF11" s="67">
        <f t="shared" ref="AF11" si="23">AF10/AF$7</f>
        <v>0.81122663675045315</v>
      </c>
      <c r="AH11" s="67" t="e">
        <f t="shared" ref="AH11:AU11" si="24">AH10/AH$7</f>
        <v>#DIV/0!</v>
      </c>
      <c r="AI11" s="67" t="e">
        <f t="shared" si="24"/>
        <v>#DIV/0!</v>
      </c>
      <c r="AJ11" s="67" t="e">
        <f t="shared" si="24"/>
        <v>#DIV/0!</v>
      </c>
      <c r="AK11" s="67" t="e">
        <f t="shared" si="24"/>
        <v>#DIV/0!</v>
      </c>
      <c r="AL11" s="67" t="e">
        <f t="shared" si="24"/>
        <v>#DIV/0!</v>
      </c>
      <c r="AM11" s="67" t="e">
        <f t="shared" si="24"/>
        <v>#DIV/0!</v>
      </c>
      <c r="AN11" s="67" t="e">
        <f t="shared" si="24"/>
        <v>#DIV/0!</v>
      </c>
      <c r="AO11" s="67" t="e">
        <f t="shared" si="24"/>
        <v>#DIV/0!</v>
      </c>
      <c r="AP11" s="67" t="e">
        <f t="shared" si="24"/>
        <v>#DIV/0!</v>
      </c>
      <c r="AQ11" s="67" t="e">
        <f t="shared" si="24"/>
        <v>#DIV/0!</v>
      </c>
      <c r="AR11" s="67" t="e">
        <f t="shared" si="24"/>
        <v>#DIV/0!</v>
      </c>
      <c r="AS11" s="67">
        <f t="shared" si="24"/>
        <v>0.81122663675045326</v>
      </c>
      <c r="AT11" s="67">
        <f t="shared" si="24"/>
        <v>0.81122663675045326</v>
      </c>
      <c r="AU11" s="67">
        <f t="shared" si="24"/>
        <v>0.81122663675045326</v>
      </c>
    </row>
    <row r="12" spans="2:47">
      <c r="B12" s="49"/>
      <c r="C12" s="3"/>
      <c r="D12" s="3"/>
      <c r="E12" s="3"/>
      <c r="J12" s="49"/>
      <c r="K12" s="3"/>
      <c r="L12" s="3"/>
      <c r="M12" s="3"/>
      <c r="AD12" s="3"/>
      <c r="AE12" s="3"/>
      <c r="AF12" s="3"/>
    </row>
    <row r="13" spans="2:47">
      <c r="B13" t="s">
        <v>162</v>
      </c>
      <c r="C13" s="91">
        <f>C7*'3YP'!E53/'3YP'!E$47</f>
        <v>-4.0492246814399993</v>
      </c>
      <c r="D13" s="91">
        <f>D7*'3YP'!F53/'3YP'!F$47</f>
        <v>-16.199875954800003</v>
      </c>
      <c r="E13" s="91">
        <f>E7*'3YP'!G53/'3YP'!G$47</f>
        <v>-21.870408809759997</v>
      </c>
      <c r="J13" t="s">
        <v>162</v>
      </c>
      <c r="K13" s="91">
        <f t="shared" ref="K13:K14" si="25">C13*(1+$H$7)</f>
        <v>-3.0369185110799997</v>
      </c>
      <c r="L13" s="91">
        <f t="shared" ref="L13:L14" si="26">D13*(1+$H$7)</f>
        <v>-12.149906966100001</v>
      </c>
      <c r="M13" s="91">
        <f t="shared" ref="M13:M14" si="27">E13*(1+$H$7)</f>
        <v>-16.402806607319999</v>
      </c>
      <c r="AD13" s="91">
        <f>AD7*$K$13/$K$7</f>
        <v>-1.5184592555399998</v>
      </c>
      <c r="AE13" s="91">
        <f t="shared" ref="AE13:AF13" si="28">AE7*$K$13/$K$7</f>
        <v>-0.91107555332399992</v>
      </c>
      <c r="AF13" s="91">
        <f t="shared" si="28"/>
        <v>-0.60738370221599991</v>
      </c>
      <c r="AH13">
        <f t="shared" si="5"/>
        <v>0</v>
      </c>
      <c r="AI13">
        <f t="shared" si="6"/>
        <v>0</v>
      </c>
      <c r="AJ13">
        <f t="shared" si="3"/>
        <v>0</v>
      </c>
      <c r="AK13">
        <f t="shared" si="3"/>
        <v>0</v>
      </c>
      <c r="AL13">
        <f t="shared" si="3"/>
        <v>0</v>
      </c>
      <c r="AM13">
        <f t="shared" si="3"/>
        <v>0</v>
      </c>
      <c r="AN13">
        <f t="shared" si="3"/>
        <v>0</v>
      </c>
      <c r="AO13">
        <f t="shared" si="3"/>
        <v>0</v>
      </c>
      <c r="AP13">
        <f t="shared" si="3"/>
        <v>0</v>
      </c>
      <c r="AQ13">
        <f t="shared" si="3"/>
        <v>0</v>
      </c>
      <c r="AR13">
        <f t="shared" si="3"/>
        <v>0</v>
      </c>
      <c r="AS13">
        <f t="shared" si="3"/>
        <v>-1.5184592555399998</v>
      </c>
      <c r="AT13">
        <f t="shared" si="3"/>
        <v>-2.4295348088639996</v>
      </c>
      <c r="AU13">
        <f t="shared" si="3"/>
        <v>-3.0369185110799997</v>
      </c>
    </row>
    <row r="14" spans="2:47">
      <c r="B14" t="s">
        <v>163</v>
      </c>
      <c r="C14" s="91">
        <f>C7*'3YP'!E54/'3YP'!E$47</f>
        <v>-2.7140906249999999</v>
      </c>
      <c r="D14" s="91">
        <f>D7*'3YP'!F54/'3YP'!F$47</f>
        <v>-10.644484375000001</v>
      </c>
      <c r="E14" s="91">
        <f>E7*'3YP'!G54/'3YP'!G$47</f>
        <v>-13.84030875</v>
      </c>
      <c r="J14" t="s">
        <v>163</v>
      </c>
      <c r="K14" s="91">
        <f t="shared" si="25"/>
        <v>-2.0355679687499997</v>
      </c>
      <c r="L14" s="91">
        <f t="shared" si="26"/>
        <v>-7.9833632812500008</v>
      </c>
      <c r="M14" s="91">
        <f t="shared" si="27"/>
        <v>-10.380231562500001</v>
      </c>
      <c r="AD14" s="91"/>
      <c r="AE14" s="91"/>
      <c r="AF14" s="91"/>
    </row>
    <row r="15" spans="2:47">
      <c r="B15" s="49"/>
      <c r="C15" s="3"/>
      <c r="D15" s="3"/>
      <c r="E15" s="3"/>
      <c r="J15" s="49"/>
      <c r="K15" s="3"/>
      <c r="L15" s="3"/>
      <c r="M15" s="3"/>
      <c r="AD15" s="3"/>
      <c r="AE15" s="3"/>
      <c r="AF15" s="3"/>
    </row>
    <row r="16" spans="2:47">
      <c r="B16" s="65" t="s">
        <v>166</v>
      </c>
      <c r="C16" s="94">
        <f>SUM(C10,C13:C14)</f>
        <v>160.26011387256</v>
      </c>
      <c r="D16" s="94">
        <f>SUM(D10,D13:D14)</f>
        <v>613.54163700079994</v>
      </c>
      <c r="E16" s="94">
        <f>SUM(E10,E13:E14)</f>
        <v>838.35298351367999</v>
      </c>
      <c r="J16" s="65" t="s">
        <v>166</v>
      </c>
      <c r="K16" s="94">
        <f>SUM(K10,K13:K14)</f>
        <v>120.19508540441998</v>
      </c>
      <c r="L16" s="94">
        <f>SUM(L10,L13:L14)</f>
        <v>460.15622775060001</v>
      </c>
      <c r="M16" s="94">
        <f>SUM(M10,M13:M14)</f>
        <v>628.76473763525973</v>
      </c>
      <c r="S16" s="94">
        <f t="shared" ref="S16:AC16" si="29">SUM(S10,S13:S14)</f>
        <v>0</v>
      </c>
      <c r="T16" s="94">
        <f t="shared" si="29"/>
        <v>0</v>
      </c>
      <c r="U16" s="94">
        <f t="shared" si="29"/>
        <v>0</v>
      </c>
      <c r="V16" s="94">
        <f t="shared" si="29"/>
        <v>0</v>
      </c>
      <c r="W16" s="94">
        <f t="shared" si="29"/>
        <v>0</v>
      </c>
      <c r="X16" s="94">
        <f t="shared" si="29"/>
        <v>0</v>
      </c>
      <c r="Y16" s="94">
        <f t="shared" si="29"/>
        <v>0</v>
      </c>
      <c r="Z16" s="94">
        <f t="shared" si="29"/>
        <v>0</v>
      </c>
      <c r="AA16" s="94">
        <f t="shared" si="29"/>
        <v>0</v>
      </c>
      <c r="AB16" s="94">
        <f t="shared" si="29"/>
        <v>0</v>
      </c>
      <c r="AC16" s="94">
        <f t="shared" si="29"/>
        <v>0</v>
      </c>
      <c r="AD16" s="94">
        <f t="shared" ref="AD16:AF16" si="30">SUM(AD10,AD13:AD14)</f>
        <v>61.115326686584993</v>
      </c>
      <c r="AE16" s="94">
        <f t="shared" si="30"/>
        <v>36.669196011951001</v>
      </c>
      <c r="AF16" s="94">
        <f t="shared" si="30"/>
        <v>24.446130674633995</v>
      </c>
      <c r="AH16" s="94">
        <f t="shared" ref="AH16:AU16" si="31">SUM(AH10,AH13:AH14)</f>
        <v>0</v>
      </c>
      <c r="AI16" s="94">
        <f t="shared" si="31"/>
        <v>0</v>
      </c>
      <c r="AJ16" s="94">
        <f t="shared" si="31"/>
        <v>0</v>
      </c>
      <c r="AK16" s="94">
        <f t="shared" si="31"/>
        <v>0</v>
      </c>
      <c r="AL16" s="94">
        <f t="shared" si="31"/>
        <v>0</v>
      </c>
      <c r="AM16" s="94">
        <f t="shared" si="31"/>
        <v>0</v>
      </c>
      <c r="AN16" s="94">
        <f t="shared" si="31"/>
        <v>0</v>
      </c>
      <c r="AO16" s="94">
        <f t="shared" si="31"/>
        <v>0</v>
      </c>
      <c r="AP16" s="94">
        <f t="shared" si="31"/>
        <v>0</v>
      </c>
      <c r="AQ16" s="94">
        <f t="shared" si="31"/>
        <v>0</v>
      </c>
      <c r="AR16" s="94">
        <f t="shared" si="31"/>
        <v>0</v>
      </c>
      <c r="AS16" s="94">
        <f t="shared" si="31"/>
        <v>61.115326686584993</v>
      </c>
      <c r="AT16" s="94">
        <f t="shared" si="31"/>
        <v>97.78452269853598</v>
      </c>
      <c r="AU16" s="94">
        <f t="shared" si="31"/>
        <v>122.23065337316999</v>
      </c>
    </row>
    <row r="17" spans="2:47">
      <c r="B17" s="66" t="s">
        <v>167</v>
      </c>
      <c r="C17" s="67">
        <f>C16/C$7</f>
        <v>0.77837746369553906</v>
      </c>
      <c r="D17" s="67">
        <f>D16/D$7</f>
        <v>0.77970776225088134</v>
      </c>
      <c r="E17" s="67">
        <f>E16/E$7</f>
        <v>0.77612715388711428</v>
      </c>
      <c r="J17" s="66" t="s">
        <v>167</v>
      </c>
      <c r="K17" s="67">
        <f>K16/K$7</f>
        <v>0.77837746369553895</v>
      </c>
      <c r="L17" s="67">
        <f>L16/L$7</f>
        <v>0.77970776225088134</v>
      </c>
      <c r="M17" s="67">
        <f>M16/M$7</f>
        <v>0.77612715388711406</v>
      </c>
      <c r="S17" s="67" t="e">
        <f t="shared" ref="S17" si="32">S16/S$7</f>
        <v>#DIV/0!</v>
      </c>
      <c r="T17" s="67" t="e">
        <f t="shared" ref="T17" si="33">T16/T$7</f>
        <v>#DIV/0!</v>
      </c>
      <c r="U17" s="67" t="e">
        <f t="shared" ref="U17" si="34">U16/U$7</f>
        <v>#DIV/0!</v>
      </c>
      <c r="V17" s="67" t="e">
        <f t="shared" ref="V17" si="35">V16/V$7</f>
        <v>#DIV/0!</v>
      </c>
      <c r="W17" s="67" t="e">
        <f t="shared" ref="W17" si="36">W16/W$7</f>
        <v>#DIV/0!</v>
      </c>
      <c r="X17" s="67" t="e">
        <f t="shared" ref="X17" si="37">X16/X$7</f>
        <v>#DIV/0!</v>
      </c>
      <c r="Y17" s="67" t="e">
        <f t="shared" ref="Y17" si="38">Y16/Y$7</f>
        <v>#DIV/0!</v>
      </c>
      <c r="Z17" s="67" t="e">
        <f t="shared" ref="Z17" si="39">Z16/Z$7</f>
        <v>#DIV/0!</v>
      </c>
      <c r="AA17" s="67" t="e">
        <f t="shared" ref="AA17" si="40">AA16/AA$7</f>
        <v>#DIV/0!</v>
      </c>
      <c r="AB17" s="67" t="e">
        <f t="shared" ref="AB17" si="41">AB16/AB$7</f>
        <v>#DIV/0!</v>
      </c>
      <c r="AC17" s="67" t="e">
        <f t="shared" ref="AC17" si="42">AC16/AC$7</f>
        <v>#DIV/0!</v>
      </c>
      <c r="AD17" s="67">
        <f t="shared" ref="AD17" si="43">AD16/AD$7</f>
        <v>0.79155970178259838</v>
      </c>
      <c r="AE17" s="67">
        <f t="shared" ref="AE17" si="44">AE16/AE$7</f>
        <v>0.7915597017825986</v>
      </c>
      <c r="AF17" s="67">
        <f t="shared" ref="AF17" si="45">AF16/AF$7</f>
        <v>0.79155970178259827</v>
      </c>
      <c r="AH17" s="67" t="e">
        <f t="shared" ref="AH17:AU17" si="46">AH16/AH$7</f>
        <v>#DIV/0!</v>
      </c>
      <c r="AI17" s="67" t="e">
        <f t="shared" si="46"/>
        <v>#DIV/0!</v>
      </c>
      <c r="AJ17" s="67" t="e">
        <f t="shared" si="46"/>
        <v>#DIV/0!</v>
      </c>
      <c r="AK17" s="67" t="e">
        <f t="shared" si="46"/>
        <v>#DIV/0!</v>
      </c>
      <c r="AL17" s="67" t="e">
        <f t="shared" si="46"/>
        <v>#DIV/0!</v>
      </c>
      <c r="AM17" s="67" t="e">
        <f t="shared" si="46"/>
        <v>#DIV/0!</v>
      </c>
      <c r="AN17" s="67" t="e">
        <f t="shared" si="46"/>
        <v>#DIV/0!</v>
      </c>
      <c r="AO17" s="67" t="e">
        <f t="shared" si="46"/>
        <v>#DIV/0!</v>
      </c>
      <c r="AP17" s="67" t="e">
        <f t="shared" si="46"/>
        <v>#DIV/0!</v>
      </c>
      <c r="AQ17" s="67" t="e">
        <f t="shared" si="46"/>
        <v>#DIV/0!</v>
      </c>
      <c r="AR17" s="67" t="e">
        <f t="shared" si="46"/>
        <v>#DIV/0!</v>
      </c>
      <c r="AS17" s="67">
        <f t="shared" si="46"/>
        <v>0.79155970178259838</v>
      </c>
      <c r="AT17" s="67">
        <f t="shared" si="46"/>
        <v>0.79155970178259838</v>
      </c>
      <c r="AU17" s="67">
        <f t="shared" si="46"/>
        <v>0.79155970178259838</v>
      </c>
    </row>
    <row r="18" spans="2:47">
      <c r="B18" s="49"/>
      <c r="C18" s="3"/>
      <c r="D18" s="3"/>
      <c r="E18" s="3"/>
      <c r="J18" s="49"/>
      <c r="K18" s="3"/>
      <c r="L18" s="3"/>
      <c r="M18" s="3"/>
    </row>
    <row r="19" spans="2:47">
      <c r="B19" t="s">
        <v>168</v>
      </c>
      <c r="C19" s="91">
        <v>-50</v>
      </c>
      <c r="D19" s="91">
        <v>-300</v>
      </c>
      <c r="E19" s="91">
        <f t="shared" ref="E19" si="47">E49</f>
        <v>0</v>
      </c>
      <c r="J19" t="s">
        <v>168</v>
      </c>
      <c r="K19" s="91">
        <f t="shared" ref="K19:M20" si="48">C19</f>
        <v>-50</v>
      </c>
      <c r="L19" s="91">
        <f>D19*0.8</f>
        <v>-240</v>
      </c>
      <c r="M19" s="91">
        <f t="shared" si="48"/>
        <v>0</v>
      </c>
      <c r="AD19" s="5">
        <f>K19</f>
        <v>-50</v>
      </c>
      <c r="AE19" s="5"/>
      <c r="AF19" s="5"/>
      <c r="AH19">
        <f t="shared" si="5"/>
        <v>0</v>
      </c>
      <c r="AI19">
        <f t="shared" si="6"/>
        <v>0</v>
      </c>
      <c r="AJ19">
        <f t="shared" si="3"/>
        <v>0</v>
      </c>
      <c r="AK19">
        <f t="shared" si="3"/>
        <v>0</v>
      </c>
      <c r="AL19">
        <f t="shared" si="3"/>
        <v>0</v>
      </c>
      <c r="AM19">
        <f t="shared" si="3"/>
        <v>0</v>
      </c>
      <c r="AN19">
        <f t="shared" si="3"/>
        <v>0</v>
      </c>
      <c r="AO19">
        <f t="shared" si="3"/>
        <v>0</v>
      </c>
      <c r="AP19">
        <f t="shared" si="3"/>
        <v>0</v>
      </c>
      <c r="AQ19">
        <f t="shared" si="3"/>
        <v>0</v>
      </c>
      <c r="AR19">
        <f t="shared" si="3"/>
        <v>0</v>
      </c>
      <c r="AS19">
        <f t="shared" si="3"/>
        <v>-50</v>
      </c>
      <c r="AT19">
        <f t="shared" si="3"/>
        <v>-50</v>
      </c>
      <c r="AU19">
        <f t="shared" si="3"/>
        <v>-50</v>
      </c>
    </row>
    <row r="20" spans="2:47">
      <c r="B20" t="s">
        <v>169</v>
      </c>
      <c r="C20" s="91">
        <v>-30</v>
      </c>
      <c r="D20" s="91">
        <v>-200</v>
      </c>
      <c r="E20" s="91">
        <v>0</v>
      </c>
      <c r="J20" t="s">
        <v>169</v>
      </c>
      <c r="K20" s="91">
        <f t="shared" si="48"/>
        <v>-30</v>
      </c>
      <c r="L20" s="91">
        <f>D20*0.8</f>
        <v>-160</v>
      </c>
      <c r="M20" s="91">
        <f t="shared" si="48"/>
        <v>0</v>
      </c>
      <c r="AD20" s="91">
        <f>K20</f>
        <v>-30</v>
      </c>
    </row>
    <row r="21" spans="2:47">
      <c r="B21" s="49"/>
      <c r="C21" s="3"/>
      <c r="D21" s="3"/>
      <c r="E21" s="3"/>
      <c r="J21" s="49"/>
      <c r="K21" s="3"/>
      <c r="L21" s="3"/>
      <c r="M21" s="3"/>
    </row>
    <row r="22" spans="2:47">
      <c r="B22" s="65" t="s">
        <v>170</v>
      </c>
      <c r="C22" s="94">
        <f>SUM(C16,C19:C20)</f>
        <v>80.260113872559998</v>
      </c>
      <c r="D22" s="94">
        <f>SUM(D16,D19:D20)</f>
        <v>113.54163700079994</v>
      </c>
      <c r="E22" s="94">
        <f>SUM(E16,E19:E20)</f>
        <v>838.35298351367999</v>
      </c>
      <c r="J22" s="65" t="s">
        <v>170</v>
      </c>
      <c r="K22" s="94">
        <f>SUM(K16,K19:K20)</f>
        <v>40.195085404419984</v>
      </c>
      <c r="L22" s="94">
        <f>SUM(L16,L19:L20)</f>
        <v>60.15622775060001</v>
      </c>
      <c r="M22" s="94">
        <f>SUM(M16,M19:M20)</f>
        <v>628.76473763525973</v>
      </c>
      <c r="S22" s="94">
        <f t="shared" ref="S22:AC22" si="49">SUM(S16,S19:S20)</f>
        <v>0</v>
      </c>
      <c r="T22" s="94">
        <f t="shared" si="49"/>
        <v>0</v>
      </c>
      <c r="U22" s="94">
        <f t="shared" si="49"/>
        <v>0</v>
      </c>
      <c r="V22" s="94">
        <f t="shared" si="49"/>
        <v>0</v>
      </c>
      <c r="W22" s="94">
        <f t="shared" si="49"/>
        <v>0</v>
      </c>
      <c r="X22" s="94">
        <f t="shared" si="49"/>
        <v>0</v>
      </c>
      <c r="Y22" s="94">
        <f t="shared" si="49"/>
        <v>0</v>
      </c>
      <c r="Z22" s="94">
        <f t="shared" si="49"/>
        <v>0</v>
      </c>
      <c r="AA22" s="94">
        <f t="shared" si="49"/>
        <v>0</v>
      </c>
      <c r="AB22" s="94">
        <f t="shared" si="49"/>
        <v>0</v>
      </c>
      <c r="AC22" s="94">
        <f t="shared" si="49"/>
        <v>0</v>
      </c>
      <c r="AD22" s="94">
        <f t="shared" ref="AD22:AF22" si="50">SUM(AD16,AD19:AD20)</f>
        <v>-18.884673313415007</v>
      </c>
      <c r="AE22" s="94">
        <f t="shared" si="50"/>
        <v>36.669196011951001</v>
      </c>
      <c r="AF22" s="94">
        <f t="shared" si="50"/>
        <v>24.446130674633995</v>
      </c>
      <c r="AH22" s="94">
        <f t="shared" ref="AH22:AU22" si="51">SUM(AH16,AH19:AH20)</f>
        <v>0</v>
      </c>
      <c r="AI22" s="94">
        <f t="shared" si="51"/>
        <v>0</v>
      </c>
      <c r="AJ22" s="94">
        <f t="shared" si="51"/>
        <v>0</v>
      </c>
      <c r="AK22" s="94">
        <f t="shared" si="51"/>
        <v>0</v>
      </c>
      <c r="AL22" s="94">
        <f t="shared" si="51"/>
        <v>0</v>
      </c>
      <c r="AM22" s="94">
        <f t="shared" si="51"/>
        <v>0</v>
      </c>
      <c r="AN22" s="94">
        <f t="shared" si="51"/>
        <v>0</v>
      </c>
      <c r="AO22" s="94">
        <f t="shared" si="51"/>
        <v>0</v>
      </c>
      <c r="AP22" s="94">
        <f t="shared" si="51"/>
        <v>0</v>
      </c>
      <c r="AQ22" s="94">
        <f t="shared" si="51"/>
        <v>0</v>
      </c>
      <c r="AR22" s="94">
        <f t="shared" si="51"/>
        <v>0</v>
      </c>
      <c r="AS22" s="94">
        <f t="shared" si="51"/>
        <v>11.115326686584993</v>
      </c>
      <c r="AT22" s="94">
        <f t="shared" si="51"/>
        <v>47.78452269853598</v>
      </c>
      <c r="AU22" s="94">
        <f t="shared" si="51"/>
        <v>72.230653373169986</v>
      </c>
    </row>
    <row r="23" spans="2:47">
      <c r="B23" s="66" t="s">
        <v>171</v>
      </c>
      <c r="C23" s="67">
        <f>C22/C$7</f>
        <v>0.38982041359160091</v>
      </c>
      <c r="D23" s="67">
        <f>D22/D$7</f>
        <v>0.14429223767266533</v>
      </c>
      <c r="E23" s="67">
        <f>E22/E$7</f>
        <v>0.77612715388711428</v>
      </c>
      <c r="J23" s="66" t="s">
        <v>171</v>
      </c>
      <c r="K23" s="67">
        <f>K22/K$7</f>
        <v>0.26030139689028814</v>
      </c>
      <c r="L23" s="67">
        <f>L22/L$7</f>
        <v>0.10193120270078437</v>
      </c>
      <c r="M23" s="67">
        <f>M22/M$7</f>
        <v>0.77612715388711406</v>
      </c>
      <c r="S23" s="67" t="e">
        <f t="shared" ref="S23" si="52">S22/S$7</f>
        <v>#DIV/0!</v>
      </c>
      <c r="T23" s="67" t="e">
        <f t="shared" ref="T23" si="53">T22/T$7</f>
        <v>#DIV/0!</v>
      </c>
      <c r="U23" s="67" t="e">
        <f t="shared" ref="U23" si="54">U22/U$7</f>
        <v>#DIV/0!</v>
      </c>
      <c r="V23" s="67" t="e">
        <f t="shared" ref="V23" si="55">V22/V$7</f>
        <v>#DIV/0!</v>
      </c>
      <c r="W23" s="67" t="e">
        <f t="shared" ref="W23" si="56">W22/W$7</f>
        <v>#DIV/0!</v>
      </c>
      <c r="X23" s="67" t="e">
        <f t="shared" ref="X23" si="57">X22/X$7</f>
        <v>#DIV/0!</v>
      </c>
      <c r="Y23" s="67" t="e">
        <f t="shared" ref="Y23" si="58">Y22/Y$7</f>
        <v>#DIV/0!</v>
      </c>
      <c r="Z23" s="67" t="e">
        <f t="shared" ref="Z23" si="59">Z22/Z$7</f>
        <v>#DIV/0!</v>
      </c>
      <c r="AA23" s="67" t="e">
        <f t="shared" ref="AA23" si="60">AA22/AA$7</f>
        <v>#DIV/0!</v>
      </c>
      <c r="AB23" s="67" t="e">
        <f t="shared" ref="AB23" si="61">AB22/AB$7</f>
        <v>#DIV/0!</v>
      </c>
      <c r="AC23" s="67" t="e">
        <f t="shared" ref="AC23" si="62">AC22/AC$7</f>
        <v>#DIV/0!</v>
      </c>
      <c r="AD23" s="67">
        <f t="shared" ref="AD23" si="63">AD22/AD$7</f>
        <v>-0.24459243182790327</v>
      </c>
      <c r="AE23" s="67">
        <f t="shared" ref="AE23" si="64">AE22/AE$7</f>
        <v>0.7915597017825986</v>
      </c>
      <c r="AF23" s="67">
        <f t="shared" ref="AF23" si="65">AF22/AF$7</f>
        <v>0.79155970178259827</v>
      </c>
      <c r="AH23" s="67" t="e">
        <f t="shared" ref="AH23:AU23" si="66">AH22/AH$7</f>
        <v>#DIV/0!</v>
      </c>
      <c r="AI23" s="67" t="e">
        <f t="shared" si="66"/>
        <v>#DIV/0!</v>
      </c>
      <c r="AJ23" s="67" t="e">
        <f t="shared" si="66"/>
        <v>#DIV/0!</v>
      </c>
      <c r="AK23" s="67" t="e">
        <f t="shared" si="66"/>
        <v>#DIV/0!</v>
      </c>
      <c r="AL23" s="67" t="e">
        <f t="shared" si="66"/>
        <v>#DIV/0!</v>
      </c>
      <c r="AM23" s="67" t="e">
        <f t="shared" si="66"/>
        <v>#DIV/0!</v>
      </c>
      <c r="AN23" s="67" t="e">
        <f t="shared" si="66"/>
        <v>#DIV/0!</v>
      </c>
      <c r="AO23" s="67" t="e">
        <f t="shared" si="66"/>
        <v>#DIV/0!</v>
      </c>
      <c r="AP23" s="67" t="e">
        <f t="shared" si="66"/>
        <v>#DIV/0!</v>
      </c>
      <c r="AQ23" s="67" t="e">
        <f t="shared" si="66"/>
        <v>#DIV/0!</v>
      </c>
      <c r="AR23" s="67" t="e">
        <f t="shared" si="66"/>
        <v>#DIV/0!</v>
      </c>
      <c r="AS23" s="67">
        <f t="shared" si="66"/>
        <v>0.14396461827603485</v>
      </c>
      <c r="AT23" s="67">
        <f t="shared" si="66"/>
        <v>0.38681277459099617</v>
      </c>
      <c r="AU23" s="67">
        <f t="shared" si="66"/>
        <v>0.46776216002931664</v>
      </c>
    </row>
    <row r="24" spans="2:47">
      <c r="B24" s="49"/>
      <c r="C24" s="3"/>
      <c r="D24" s="3"/>
      <c r="E24" s="3"/>
      <c r="J24" s="49"/>
      <c r="K24" s="3"/>
      <c r="L24" s="3"/>
      <c r="M24" s="3"/>
      <c r="AD24" s="3"/>
      <c r="AE24" s="3"/>
      <c r="AF24" s="3"/>
    </row>
    <row r="25" spans="2:47">
      <c r="B25" t="s">
        <v>172</v>
      </c>
      <c r="C25" s="91">
        <f>-C7*5%</f>
        <v>-10.294498578600001</v>
      </c>
      <c r="D25" s="91">
        <f t="shared" ref="D25:E25" si="67">-D7*5%</f>
        <v>-39.344333012</v>
      </c>
      <c r="E25" s="91">
        <f t="shared" si="67"/>
        <v>-54.008739374400001</v>
      </c>
      <c r="J25" t="s">
        <v>172</v>
      </c>
      <c r="K25" s="91">
        <f>-K7*5%</f>
        <v>-7.7208739339500001</v>
      </c>
      <c r="L25" s="91">
        <f t="shared" ref="L25:M25" si="68">-L7*5%</f>
        <v>-29.508249759000002</v>
      </c>
      <c r="M25" s="91">
        <f t="shared" si="68"/>
        <v>-40.506554530800003</v>
      </c>
      <c r="AD25" s="91">
        <f>AD7*$K$25/$K$7</f>
        <v>-3.8604369669750005</v>
      </c>
      <c r="AE25" s="91">
        <f t="shared" ref="AE25:AF25" si="69">AE7*$K$25/$K$7</f>
        <v>-2.3162621801849999</v>
      </c>
      <c r="AF25" s="91">
        <f t="shared" si="69"/>
        <v>-1.5441747867900002</v>
      </c>
    </row>
    <row r="26" spans="2:47">
      <c r="B26" t="s">
        <v>173</v>
      </c>
      <c r="C26" s="91">
        <v>-10</v>
      </c>
      <c r="D26" s="91">
        <v>-12</v>
      </c>
      <c r="E26" s="91">
        <v>-15</v>
      </c>
      <c r="J26" t="s">
        <v>173</v>
      </c>
      <c r="K26" s="91">
        <f>C26</f>
        <v>-10</v>
      </c>
      <c r="L26" s="91">
        <f t="shared" ref="L26:M26" si="70">D26</f>
        <v>-12</v>
      </c>
      <c r="M26" s="91">
        <f t="shared" si="70"/>
        <v>-15</v>
      </c>
      <c r="AD26" s="91">
        <f>AD7*$K$26/$K$7</f>
        <v>-5</v>
      </c>
      <c r="AE26" s="91">
        <f t="shared" ref="AE26:AF26" si="71">AE7*$K$26/$K$7</f>
        <v>-2.9999999999999996</v>
      </c>
      <c r="AF26" s="91">
        <f t="shared" si="71"/>
        <v>-2</v>
      </c>
    </row>
    <row r="27" spans="2:47">
      <c r="B27" s="49"/>
      <c r="C27" s="3"/>
      <c r="D27" s="3"/>
      <c r="E27" s="3"/>
      <c r="J27" s="49"/>
      <c r="K27" s="3"/>
      <c r="L27" s="3"/>
      <c r="M27" s="3"/>
      <c r="AD27" s="3"/>
      <c r="AE27" s="3"/>
      <c r="AF27" s="3"/>
    </row>
    <row r="28" spans="2:47">
      <c r="B28" s="65" t="s">
        <v>174</v>
      </c>
      <c r="C28" s="94">
        <f>SUM(C22,C25:C26)</f>
        <v>59.965615293959999</v>
      </c>
      <c r="D28" s="94">
        <f>SUM(D22,D25:D26)</f>
        <v>62.197303988799945</v>
      </c>
      <c r="E28" s="94">
        <f>SUM(E22,E25:E26)</f>
        <v>769.34424413928002</v>
      </c>
      <c r="J28" s="65" t="s">
        <v>174</v>
      </c>
      <c r="K28" s="94">
        <f>SUM(K22,K25:K26)</f>
        <v>22.474211470469982</v>
      </c>
      <c r="L28" s="94">
        <f>SUM(L22,L25:L26)</f>
        <v>18.647977991600008</v>
      </c>
      <c r="M28" s="94">
        <f>SUM(M22,M25:M26)</f>
        <v>573.2581831044597</v>
      </c>
      <c r="S28" s="94">
        <f t="shared" ref="S28:AC28" si="72">SUM(S22,S25:S26)</f>
        <v>0</v>
      </c>
      <c r="T28" s="94">
        <f t="shared" si="72"/>
        <v>0</v>
      </c>
      <c r="U28" s="94">
        <f t="shared" si="72"/>
        <v>0</v>
      </c>
      <c r="V28" s="94">
        <f t="shared" si="72"/>
        <v>0</v>
      </c>
      <c r="W28" s="94">
        <f t="shared" si="72"/>
        <v>0</v>
      </c>
      <c r="X28" s="94">
        <f t="shared" si="72"/>
        <v>0</v>
      </c>
      <c r="Y28" s="94">
        <f t="shared" si="72"/>
        <v>0</v>
      </c>
      <c r="Z28" s="94">
        <f t="shared" si="72"/>
        <v>0</v>
      </c>
      <c r="AA28" s="94">
        <f t="shared" si="72"/>
        <v>0</v>
      </c>
      <c r="AB28" s="94">
        <f t="shared" si="72"/>
        <v>0</v>
      </c>
      <c r="AC28" s="94">
        <f t="shared" si="72"/>
        <v>0</v>
      </c>
      <c r="AD28" s="94">
        <f t="shared" ref="AD28:AF28" si="73">SUM(AD22,AD25:AD26)</f>
        <v>-27.745110280390008</v>
      </c>
      <c r="AE28" s="94">
        <f t="shared" si="73"/>
        <v>31.352933831766002</v>
      </c>
      <c r="AF28" s="94">
        <f t="shared" si="73"/>
        <v>20.901955887843997</v>
      </c>
      <c r="AH28" s="94">
        <f t="shared" ref="AH28:AU28" si="74">SUM(AH22,AH25:AH26)</f>
        <v>0</v>
      </c>
      <c r="AI28" s="94">
        <f t="shared" si="74"/>
        <v>0</v>
      </c>
      <c r="AJ28" s="94">
        <f t="shared" si="74"/>
        <v>0</v>
      </c>
      <c r="AK28" s="94">
        <f t="shared" si="74"/>
        <v>0</v>
      </c>
      <c r="AL28" s="94">
        <f t="shared" si="74"/>
        <v>0</v>
      </c>
      <c r="AM28" s="94">
        <f t="shared" si="74"/>
        <v>0</v>
      </c>
      <c r="AN28" s="94">
        <f t="shared" si="74"/>
        <v>0</v>
      </c>
      <c r="AO28" s="94">
        <f t="shared" si="74"/>
        <v>0</v>
      </c>
      <c r="AP28" s="94">
        <f t="shared" si="74"/>
        <v>0</v>
      </c>
      <c r="AQ28" s="94">
        <f t="shared" si="74"/>
        <v>0</v>
      </c>
      <c r="AR28" s="94">
        <f t="shared" si="74"/>
        <v>0</v>
      </c>
      <c r="AS28" s="94">
        <f t="shared" si="74"/>
        <v>11.115326686584993</v>
      </c>
      <c r="AT28" s="94">
        <f t="shared" si="74"/>
        <v>47.78452269853598</v>
      </c>
      <c r="AU28" s="94">
        <f t="shared" si="74"/>
        <v>72.230653373169986</v>
      </c>
    </row>
    <row r="29" spans="2:47">
      <c r="B29" s="66" t="s">
        <v>175</v>
      </c>
      <c r="C29" s="67">
        <f>C28/C$7</f>
        <v>0.29125078232860868</v>
      </c>
      <c r="D29" s="67">
        <f>D28/D$7</f>
        <v>7.9042265082788166E-2</v>
      </c>
      <c r="E29" s="67">
        <f>E28/E$7</f>
        <v>0.71224051241598429</v>
      </c>
      <c r="J29" s="66" t="s">
        <v>175</v>
      </c>
      <c r="K29" s="67">
        <f>K28/K$7</f>
        <v>0.14554188853963176</v>
      </c>
      <c r="L29" s="67">
        <f>L28/L$7</f>
        <v>3.1597905914281452E-2</v>
      </c>
      <c r="M29" s="67">
        <f>M28/M$7</f>
        <v>0.70761163192560728</v>
      </c>
      <c r="S29" s="67" t="e">
        <f t="shared" ref="S29" si="75">S28/S$7</f>
        <v>#DIV/0!</v>
      </c>
      <c r="T29" s="67" t="e">
        <f t="shared" ref="T29" si="76">T28/T$7</f>
        <v>#DIV/0!</v>
      </c>
      <c r="U29" s="67" t="e">
        <f t="shared" ref="U29" si="77">U28/U$7</f>
        <v>#DIV/0!</v>
      </c>
      <c r="V29" s="67" t="e">
        <f t="shared" ref="V29" si="78">V28/V$7</f>
        <v>#DIV/0!</v>
      </c>
      <c r="W29" s="67" t="e">
        <f t="shared" ref="W29" si="79">W28/W$7</f>
        <v>#DIV/0!</v>
      </c>
      <c r="X29" s="67" t="e">
        <f t="shared" ref="X29" si="80">X28/X$7</f>
        <v>#DIV/0!</v>
      </c>
      <c r="Y29" s="67" t="e">
        <f t="shared" ref="Y29" si="81">Y28/Y$7</f>
        <v>#DIV/0!</v>
      </c>
      <c r="Z29" s="67" t="e">
        <f t="shared" ref="Z29" si="82">Z28/Z$7</f>
        <v>#DIV/0!</v>
      </c>
      <c r="AA29" s="67" t="e">
        <f t="shared" ref="AA29" si="83">AA28/AA$7</f>
        <v>#DIV/0!</v>
      </c>
      <c r="AB29" s="67" t="e">
        <f t="shared" ref="AB29" si="84">AB28/AB$7</f>
        <v>#DIV/0!</v>
      </c>
      <c r="AC29" s="67" t="e">
        <f t="shared" ref="AC29" si="85">AC28/AC$7</f>
        <v>#DIV/0!</v>
      </c>
      <c r="AD29" s="67">
        <f t="shared" ref="AD29" si="86">AD28/AD$7</f>
        <v>-0.35935194017855965</v>
      </c>
      <c r="AE29" s="67">
        <f t="shared" ref="AE29" si="87">AE28/AE$7</f>
        <v>0.6768001934319422</v>
      </c>
      <c r="AF29" s="67">
        <f t="shared" ref="AF29" si="88">AF28/AF$7</f>
        <v>0.67680019343194198</v>
      </c>
      <c r="AH29" s="67" t="e">
        <f t="shared" ref="AH29:AU29" si="89">AH28/AH$7</f>
        <v>#DIV/0!</v>
      </c>
      <c r="AI29" s="67" t="e">
        <f t="shared" si="89"/>
        <v>#DIV/0!</v>
      </c>
      <c r="AJ29" s="67" t="e">
        <f t="shared" si="89"/>
        <v>#DIV/0!</v>
      </c>
      <c r="AK29" s="67" t="e">
        <f t="shared" si="89"/>
        <v>#DIV/0!</v>
      </c>
      <c r="AL29" s="67" t="e">
        <f t="shared" si="89"/>
        <v>#DIV/0!</v>
      </c>
      <c r="AM29" s="67" t="e">
        <f t="shared" si="89"/>
        <v>#DIV/0!</v>
      </c>
      <c r="AN29" s="67" t="e">
        <f t="shared" si="89"/>
        <v>#DIV/0!</v>
      </c>
      <c r="AO29" s="67" t="e">
        <f t="shared" si="89"/>
        <v>#DIV/0!</v>
      </c>
      <c r="AP29" s="67" t="e">
        <f t="shared" si="89"/>
        <v>#DIV/0!</v>
      </c>
      <c r="AQ29" s="67" t="e">
        <f t="shared" si="89"/>
        <v>#DIV/0!</v>
      </c>
      <c r="AR29" s="67" t="e">
        <f t="shared" si="89"/>
        <v>#DIV/0!</v>
      </c>
      <c r="AS29" s="67">
        <f t="shared" si="89"/>
        <v>0.14396461827603485</v>
      </c>
      <c r="AT29" s="67">
        <f t="shared" si="89"/>
        <v>0.38681277459099617</v>
      </c>
      <c r="AU29" s="67">
        <f t="shared" si="89"/>
        <v>0.46776216002931664</v>
      </c>
    </row>
    <row r="30" spans="2:47">
      <c r="B30" s="49"/>
      <c r="C30" s="3"/>
      <c r="D30" s="3"/>
      <c r="E30" s="3"/>
      <c r="J30" s="49"/>
      <c r="K30" s="3"/>
      <c r="L30" s="3"/>
      <c r="M30" s="3"/>
      <c r="AD30" s="3"/>
    </row>
    <row r="31" spans="2:47">
      <c r="B31" t="s">
        <v>176</v>
      </c>
      <c r="C31" s="91">
        <v>-300</v>
      </c>
      <c r="D31" s="91">
        <v>-150</v>
      </c>
      <c r="E31" s="91">
        <v>0</v>
      </c>
      <c r="J31" t="s">
        <v>176</v>
      </c>
      <c r="K31" s="91">
        <f>C31</f>
        <v>-300</v>
      </c>
      <c r="L31" s="91">
        <f t="shared" ref="L31:M31" si="90">D31</f>
        <v>-150</v>
      </c>
      <c r="M31" s="91">
        <f t="shared" si="90"/>
        <v>0</v>
      </c>
      <c r="U31">
        <v>-200</v>
      </c>
      <c r="Z31">
        <v>-50</v>
      </c>
      <c r="AD31" s="91"/>
      <c r="AE31">
        <v>-50</v>
      </c>
    </row>
    <row r="32" spans="2:47">
      <c r="B32" s="49"/>
      <c r="C32" s="3"/>
      <c r="D32" s="3"/>
      <c r="E32" s="3"/>
      <c r="J32" s="49"/>
      <c r="K32" s="3"/>
      <c r="L32" s="3"/>
      <c r="M32" s="3"/>
      <c r="AD32" s="3"/>
    </row>
    <row r="33" spans="2:47">
      <c r="B33" s="65" t="s">
        <v>177</v>
      </c>
      <c r="C33" s="94">
        <f>SUM(C28,C31)</f>
        <v>-240.03438470603999</v>
      </c>
      <c r="D33" s="94">
        <f>SUM(D28,D31)</f>
        <v>-87.802696011200055</v>
      </c>
      <c r="E33" s="94">
        <f>SUM(E28,E31)</f>
        <v>769.34424413928002</v>
      </c>
      <c r="J33" s="65" t="s">
        <v>177</v>
      </c>
      <c r="K33" s="94">
        <f>SUM(K28,K31)</f>
        <v>-277.52578852953002</v>
      </c>
      <c r="L33" s="94">
        <f>SUM(L28,L31)</f>
        <v>-131.35202200839998</v>
      </c>
      <c r="M33" s="94">
        <f>SUM(M28,M31)</f>
        <v>573.2581831044597</v>
      </c>
      <c r="S33" s="94">
        <f t="shared" ref="S33:AC33" si="91">SUM(S28,S31)</f>
        <v>0</v>
      </c>
      <c r="T33" s="94">
        <f t="shared" si="91"/>
        <v>0</v>
      </c>
      <c r="U33" s="94">
        <f t="shared" si="91"/>
        <v>-200</v>
      </c>
      <c r="V33" s="94">
        <f t="shared" si="91"/>
        <v>0</v>
      </c>
      <c r="W33" s="94">
        <f t="shared" si="91"/>
        <v>0</v>
      </c>
      <c r="X33" s="94">
        <f t="shared" si="91"/>
        <v>0</v>
      </c>
      <c r="Y33" s="94">
        <f t="shared" si="91"/>
        <v>0</v>
      </c>
      <c r="Z33" s="94">
        <f t="shared" si="91"/>
        <v>-50</v>
      </c>
      <c r="AA33" s="94">
        <f t="shared" si="91"/>
        <v>0</v>
      </c>
      <c r="AB33" s="94">
        <f t="shared" si="91"/>
        <v>0</v>
      </c>
      <c r="AC33" s="94">
        <f t="shared" si="91"/>
        <v>0</v>
      </c>
      <c r="AD33" s="94">
        <f t="shared" ref="AD33:AF33" si="92">SUM(AD28,AD31)</f>
        <v>-27.745110280390008</v>
      </c>
      <c r="AE33" s="94">
        <f t="shared" si="92"/>
        <v>-18.647066168233998</v>
      </c>
      <c r="AF33" s="94">
        <f t="shared" si="92"/>
        <v>20.901955887843997</v>
      </c>
      <c r="AH33" s="94">
        <f t="shared" ref="AH33:AU33" si="93">SUM(AH28,AH31)</f>
        <v>0</v>
      </c>
      <c r="AI33" s="94">
        <f t="shared" si="93"/>
        <v>0</v>
      </c>
      <c r="AJ33" s="94">
        <f t="shared" si="93"/>
        <v>0</v>
      </c>
      <c r="AK33" s="94">
        <f t="shared" si="93"/>
        <v>0</v>
      </c>
      <c r="AL33" s="94">
        <f t="shared" si="93"/>
        <v>0</v>
      </c>
      <c r="AM33" s="94">
        <f t="shared" si="93"/>
        <v>0</v>
      </c>
      <c r="AN33" s="94">
        <f t="shared" si="93"/>
        <v>0</v>
      </c>
      <c r="AO33" s="94">
        <f t="shared" si="93"/>
        <v>0</v>
      </c>
      <c r="AP33" s="94">
        <f t="shared" si="93"/>
        <v>0</v>
      </c>
      <c r="AQ33" s="94">
        <f t="shared" si="93"/>
        <v>0</v>
      </c>
      <c r="AR33" s="94">
        <f t="shared" si="93"/>
        <v>0</v>
      </c>
      <c r="AS33" s="94">
        <f t="shared" si="93"/>
        <v>11.115326686584993</v>
      </c>
      <c r="AT33" s="94">
        <f t="shared" si="93"/>
        <v>47.78452269853598</v>
      </c>
      <c r="AU33" s="94">
        <f t="shared" si="93"/>
        <v>72.230653373169986</v>
      </c>
    </row>
    <row r="34" spans="2:47">
      <c r="B34" s="66" t="s">
        <v>178</v>
      </c>
      <c r="C34" s="67">
        <f>C33/C$7</f>
        <v>-1.1658381555611592</v>
      </c>
      <c r="D34" s="67">
        <f>D33/D$7</f>
        <v>-0.11158239229067664</v>
      </c>
      <c r="E34" s="67">
        <f>E33/E$7</f>
        <v>0.71224051241598429</v>
      </c>
      <c r="J34" s="66" t="s">
        <v>178</v>
      </c>
      <c r="K34" s="67">
        <f>K33/K$7</f>
        <v>-1.797243361980059</v>
      </c>
      <c r="L34" s="67">
        <f>L33/L$7</f>
        <v>-0.22256830391700491</v>
      </c>
      <c r="M34" s="67">
        <f>M33/M$7</f>
        <v>0.70761163192560728</v>
      </c>
      <c r="S34" s="67" t="e">
        <f t="shared" ref="S34" si="94">S33/S$7</f>
        <v>#DIV/0!</v>
      </c>
      <c r="T34" s="67" t="e">
        <f t="shared" ref="T34" si="95">T33/T$7</f>
        <v>#DIV/0!</v>
      </c>
      <c r="U34" s="67" t="e">
        <f t="shared" ref="U34" si="96">U33/U$7</f>
        <v>#DIV/0!</v>
      </c>
      <c r="V34" s="67" t="e">
        <f t="shared" ref="V34" si="97">V33/V$7</f>
        <v>#DIV/0!</v>
      </c>
      <c r="W34" s="67" t="e">
        <f t="shared" ref="W34" si="98">W33/W$7</f>
        <v>#DIV/0!</v>
      </c>
      <c r="X34" s="67" t="e">
        <f t="shared" ref="X34" si="99">X33/X$7</f>
        <v>#DIV/0!</v>
      </c>
      <c r="Y34" s="67" t="e">
        <f t="shared" ref="Y34" si="100">Y33/Y$7</f>
        <v>#DIV/0!</v>
      </c>
      <c r="Z34" s="67" t="e">
        <f t="shared" ref="Z34" si="101">Z33/Z$7</f>
        <v>#DIV/0!</v>
      </c>
      <c r="AA34" s="67" t="e">
        <f t="shared" ref="AA34" si="102">AA33/AA$7</f>
        <v>#DIV/0!</v>
      </c>
      <c r="AB34" s="67" t="e">
        <f t="shared" ref="AB34" si="103">AB33/AB$7</f>
        <v>#DIV/0!</v>
      </c>
      <c r="AC34" s="67" t="e">
        <f t="shared" ref="AC34" si="104">AC33/AC$7</f>
        <v>#DIV/0!</v>
      </c>
      <c r="AD34" s="67">
        <f t="shared" ref="AD34" si="105">AD33/AD$7</f>
        <v>-0.35935194017855965</v>
      </c>
      <c r="AE34" s="67">
        <f t="shared" ref="AE34" si="106">AE33/AE$7</f>
        <v>-0.40252494574566378</v>
      </c>
      <c r="AF34" s="67">
        <f t="shared" ref="AF34" si="107">AF33/AF$7</f>
        <v>0.67680019343194198</v>
      </c>
      <c r="AH34" s="67" t="e">
        <f t="shared" ref="AH34:AU34" si="108">AH33/AH$7</f>
        <v>#DIV/0!</v>
      </c>
      <c r="AI34" s="67" t="e">
        <f t="shared" si="108"/>
        <v>#DIV/0!</v>
      </c>
      <c r="AJ34" s="67" t="e">
        <f t="shared" si="108"/>
        <v>#DIV/0!</v>
      </c>
      <c r="AK34" s="67" t="e">
        <f t="shared" si="108"/>
        <v>#DIV/0!</v>
      </c>
      <c r="AL34" s="67" t="e">
        <f t="shared" si="108"/>
        <v>#DIV/0!</v>
      </c>
      <c r="AM34" s="67" t="e">
        <f t="shared" si="108"/>
        <v>#DIV/0!</v>
      </c>
      <c r="AN34" s="67" t="e">
        <f t="shared" si="108"/>
        <v>#DIV/0!</v>
      </c>
      <c r="AO34" s="67" t="e">
        <f t="shared" si="108"/>
        <v>#DIV/0!</v>
      </c>
      <c r="AP34" s="67" t="e">
        <f t="shared" si="108"/>
        <v>#DIV/0!</v>
      </c>
      <c r="AQ34" s="67" t="e">
        <f t="shared" si="108"/>
        <v>#DIV/0!</v>
      </c>
      <c r="AR34" s="67" t="e">
        <f t="shared" si="108"/>
        <v>#DIV/0!</v>
      </c>
      <c r="AS34" s="67">
        <f t="shared" si="108"/>
        <v>0.14396461827603485</v>
      </c>
      <c r="AT34" s="67">
        <f t="shared" si="108"/>
        <v>0.38681277459099617</v>
      </c>
      <c r="AU34" s="67">
        <f t="shared" si="108"/>
        <v>0.46776216002931664</v>
      </c>
    </row>
    <row r="37" spans="2:47">
      <c r="B37" t="s">
        <v>179</v>
      </c>
      <c r="C37" s="137">
        <f>C31</f>
        <v>-300</v>
      </c>
      <c r="F37" s="138" t="s">
        <v>219</v>
      </c>
      <c r="J37" t="s">
        <v>179</v>
      </c>
      <c r="K37" s="137">
        <f>K31</f>
        <v>-300</v>
      </c>
      <c r="N37" s="138" t="s">
        <v>216</v>
      </c>
    </row>
    <row r="44" spans="2:47">
      <c r="B44" t="s">
        <v>181</v>
      </c>
    </row>
    <row r="46" spans="2:47">
      <c r="B46" t="s">
        <v>206</v>
      </c>
      <c r="C46" s="138"/>
      <c r="D46" s="138"/>
      <c r="E46" s="138"/>
    </row>
    <row r="47" spans="2:47">
      <c r="B47" t="s">
        <v>207</v>
      </c>
      <c r="C47" s="139">
        <v>1.4999999999999999E-2</v>
      </c>
      <c r="D47" s="139">
        <v>0.05</v>
      </c>
      <c r="E47" s="139">
        <v>0.06</v>
      </c>
    </row>
    <row r="49" spans="2:5">
      <c r="B49" t="s">
        <v>168</v>
      </c>
      <c r="C49" s="138"/>
      <c r="D49" s="138"/>
      <c r="E49" s="138"/>
    </row>
    <row r="50" spans="2:5">
      <c r="B50" t="s">
        <v>169</v>
      </c>
      <c r="C50" s="138"/>
      <c r="D50" s="138"/>
      <c r="E50" s="138"/>
    </row>
    <row r="52" spans="2:5">
      <c r="B52" t="s">
        <v>173</v>
      </c>
      <c r="C52" s="138"/>
      <c r="D52" s="138"/>
      <c r="E52" s="138"/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F938-4779-42EC-992A-62CD10ABA829}">
  <sheetPr>
    <tabColor rgb="FF92D050"/>
  </sheetPr>
  <dimension ref="B2:AU54"/>
  <sheetViews>
    <sheetView showGridLines="0" topLeftCell="K13" workbookViewId="0">
      <selection activeCell="AH7" sqref="AH7:AU34"/>
    </sheetView>
  </sheetViews>
  <sheetFormatPr defaultColWidth="8.85546875" defaultRowHeight="15"/>
  <cols>
    <col min="2" max="2" width="29" bestFit="1" customWidth="1"/>
    <col min="10" max="10" width="29" bestFit="1" customWidth="1"/>
  </cols>
  <sheetData>
    <row r="2" spans="2:47">
      <c r="B2" s="138"/>
    </row>
    <row r="3" spans="2:47">
      <c r="B3" s="138"/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H3" t="s">
        <v>152</v>
      </c>
      <c r="AI3" t="s">
        <v>152</v>
      </c>
      <c r="AJ3" t="s">
        <v>152</v>
      </c>
      <c r="AK3" t="s">
        <v>152</v>
      </c>
      <c r="AL3" t="s">
        <v>152</v>
      </c>
      <c r="AM3" t="s">
        <v>152</v>
      </c>
      <c r="AN3" t="s">
        <v>152</v>
      </c>
      <c r="AO3" t="s">
        <v>152</v>
      </c>
      <c r="AP3" t="s">
        <v>152</v>
      </c>
      <c r="AQ3" t="s">
        <v>152</v>
      </c>
      <c r="AR3" t="s">
        <v>152</v>
      </c>
      <c r="AS3" t="s">
        <v>152</v>
      </c>
      <c r="AT3" t="s">
        <v>152</v>
      </c>
      <c r="AU3" t="s">
        <v>152</v>
      </c>
    </row>
    <row r="4" spans="2:47">
      <c r="S4" s="184" t="str">
        <f>MONTH(S5)&amp;RIGHT(YEAR(S5), 2)</f>
        <v>1125</v>
      </c>
      <c r="T4" s="184" t="str">
        <f t="shared" ref="T4:AF4" si="0">MONTH(T5)&amp;RIGHT(YEAR(T5), 2)</f>
        <v>1225</v>
      </c>
      <c r="U4" s="184" t="str">
        <f t="shared" si="0"/>
        <v>126</v>
      </c>
      <c r="V4" s="184" t="str">
        <f t="shared" si="0"/>
        <v>226</v>
      </c>
      <c r="W4" s="184" t="str">
        <f t="shared" si="0"/>
        <v>326</v>
      </c>
      <c r="X4" s="184" t="str">
        <f t="shared" si="0"/>
        <v>426</v>
      </c>
      <c r="Y4" s="184" t="str">
        <f t="shared" si="0"/>
        <v>526</v>
      </c>
      <c r="Z4" s="184" t="str">
        <f t="shared" si="0"/>
        <v>626</v>
      </c>
      <c r="AA4" s="184" t="str">
        <f t="shared" si="0"/>
        <v>726</v>
      </c>
      <c r="AB4" s="184" t="str">
        <f t="shared" si="0"/>
        <v>826</v>
      </c>
      <c r="AC4" s="184" t="str">
        <f t="shared" si="0"/>
        <v>926</v>
      </c>
      <c r="AD4" s="184" t="str">
        <f t="shared" si="0"/>
        <v>1026</v>
      </c>
      <c r="AE4" s="184" t="str">
        <f t="shared" si="0"/>
        <v>1126</v>
      </c>
      <c r="AF4" s="184" t="str">
        <f t="shared" si="0"/>
        <v>1226</v>
      </c>
      <c r="AH4" s="184" t="str">
        <f>MONTH(AH5)&amp;RIGHT(YEAR(AH5), 2)</f>
        <v>1125</v>
      </c>
      <c r="AI4" s="184" t="str">
        <f t="shared" ref="AI4:AU4" si="1">MONTH(AI5)&amp;RIGHT(YEAR(AI5), 2)</f>
        <v>1225</v>
      </c>
      <c r="AJ4" s="184" t="str">
        <f t="shared" si="1"/>
        <v>126</v>
      </c>
      <c r="AK4" s="184" t="str">
        <f t="shared" si="1"/>
        <v>226</v>
      </c>
      <c r="AL4" s="184" t="str">
        <f t="shared" si="1"/>
        <v>326</v>
      </c>
      <c r="AM4" s="184" t="str">
        <f t="shared" si="1"/>
        <v>426</v>
      </c>
      <c r="AN4" s="184" t="str">
        <f t="shared" si="1"/>
        <v>526</v>
      </c>
      <c r="AO4" s="184" t="str">
        <f t="shared" si="1"/>
        <v>626</v>
      </c>
      <c r="AP4" s="184" t="str">
        <f t="shared" si="1"/>
        <v>726</v>
      </c>
      <c r="AQ4" s="184" t="str">
        <f t="shared" si="1"/>
        <v>826</v>
      </c>
      <c r="AR4" s="184" t="str">
        <f t="shared" si="1"/>
        <v>926</v>
      </c>
      <c r="AS4" s="184" t="str">
        <f t="shared" si="1"/>
        <v>1026</v>
      </c>
      <c r="AT4" s="184" t="str">
        <f t="shared" si="1"/>
        <v>1126</v>
      </c>
      <c r="AU4" s="184" t="str">
        <f t="shared" si="1"/>
        <v>1226</v>
      </c>
    </row>
    <row r="5" spans="2:47">
      <c r="B5" s="74"/>
      <c r="C5" s="74">
        <v>2026</v>
      </c>
      <c r="D5" s="74">
        <v>2027</v>
      </c>
      <c r="E5" s="74">
        <v>2028</v>
      </c>
      <c r="H5" t="s">
        <v>153</v>
      </c>
      <c r="J5" s="74"/>
      <c r="K5" s="74">
        <v>2026</v>
      </c>
      <c r="L5" s="74">
        <v>2027</v>
      </c>
      <c r="M5" s="74">
        <v>2028</v>
      </c>
      <c r="S5" s="185">
        <v>45962</v>
      </c>
      <c r="T5" s="185">
        <v>45992</v>
      </c>
      <c r="U5" s="185">
        <v>46023</v>
      </c>
      <c r="V5" s="185">
        <v>46054</v>
      </c>
      <c r="W5" s="185">
        <v>46082</v>
      </c>
      <c r="X5" s="185">
        <v>46113</v>
      </c>
      <c r="Y5" s="185">
        <v>46143</v>
      </c>
      <c r="Z5" s="185">
        <v>46174</v>
      </c>
      <c r="AA5" s="185">
        <v>46204</v>
      </c>
      <c r="AB5" s="185">
        <v>46235</v>
      </c>
      <c r="AC5" s="185">
        <v>46266</v>
      </c>
      <c r="AD5" s="185">
        <v>46296</v>
      </c>
      <c r="AE5" s="185">
        <v>46327</v>
      </c>
      <c r="AF5" s="185">
        <v>46357</v>
      </c>
      <c r="AH5" s="185">
        <v>45962</v>
      </c>
      <c r="AI5" s="185">
        <v>45992</v>
      </c>
      <c r="AJ5" s="185">
        <v>46023</v>
      </c>
      <c r="AK5" s="185">
        <v>46054</v>
      </c>
      <c r="AL5" s="185">
        <v>46082</v>
      </c>
      <c r="AM5" s="185">
        <v>46113</v>
      </c>
      <c r="AN5" s="185">
        <v>46143</v>
      </c>
      <c r="AO5" s="185">
        <v>46174</v>
      </c>
      <c r="AP5" s="185">
        <v>46204</v>
      </c>
      <c r="AQ5" s="185">
        <v>46235</v>
      </c>
      <c r="AR5" s="185">
        <v>46266</v>
      </c>
      <c r="AS5" s="185">
        <v>46296</v>
      </c>
      <c r="AT5" s="185">
        <v>46327</v>
      </c>
      <c r="AU5" s="185">
        <v>46357</v>
      </c>
    </row>
    <row r="7" spans="2:47">
      <c r="B7" s="64" t="s">
        <v>155</v>
      </c>
      <c r="C7" s="93">
        <f>C46+'3YP'!E45*C47</f>
        <v>274.51996209600003</v>
      </c>
      <c r="D7" s="93">
        <f>D46+'3YP'!F45*D47</f>
        <v>393.44333011999998</v>
      </c>
      <c r="E7" s="93">
        <f>E46+'3YP'!G45*E47</f>
        <v>540.087393744</v>
      </c>
      <c r="H7" s="9">
        <v>-0.25</v>
      </c>
      <c r="J7" s="64" t="s">
        <v>155</v>
      </c>
      <c r="K7" s="93">
        <f>C7*(1+$H$7)</f>
        <v>205.88997157200004</v>
      </c>
      <c r="L7" s="93">
        <f t="shared" ref="L7:M8" si="2">D7*(1+$H$7)</f>
        <v>295.08249759</v>
      </c>
      <c r="M7" s="93">
        <f t="shared" si="2"/>
        <v>405.06554530799997</v>
      </c>
      <c r="X7" s="5">
        <f>$K7*'2026B'!P45/SUM('2026B'!$P$45:$X$45)</f>
        <v>19.250439853029782</v>
      </c>
      <c r="Y7" s="5">
        <f>$K7*'2026B'!Q45/SUM('2026B'!$P$45:$X$45)</f>
        <v>23.621873113676966</v>
      </c>
      <c r="Z7" s="5">
        <f>$K7*'2026B'!R45/SUM('2026B'!$P$45:$X$45)</f>
        <v>21.422265166698502</v>
      </c>
      <c r="AA7" s="5">
        <f>$K7*'2026B'!S45/SUM('2026B'!$P$45:$X$45)</f>
        <v>19.302929908185224</v>
      </c>
      <c r="AB7" s="5">
        <f>$K7*'2026B'!T45/SUM('2026B'!$P$45:$X$45)</f>
        <v>19.886866065325602</v>
      </c>
      <c r="AC7" s="5">
        <f>$K7*'2026B'!U45/SUM('2026B'!$P$45:$X$45)</f>
        <v>25.575380667260166</v>
      </c>
      <c r="AD7" s="5">
        <f>$K7*'2026B'!V45/SUM('2026B'!$P$45:$X$45)</f>
        <v>28.345204926066469</v>
      </c>
      <c r="AE7" s="5">
        <f>$K7*'2026B'!W45/SUM('2026B'!$P$45:$X$45)</f>
        <v>26.981955861196983</v>
      </c>
      <c r="AF7" s="5">
        <f>$K7*'2026B'!X45/SUM('2026B'!$P$45:$X$45)</f>
        <v>21.503056010560318</v>
      </c>
      <c r="AH7">
        <f>S7</f>
        <v>0</v>
      </c>
      <c r="AI7">
        <f>AH7+T7</f>
        <v>0</v>
      </c>
      <c r="AJ7">
        <f t="shared" ref="AJ7:AU19" si="3">AI7+U7</f>
        <v>0</v>
      </c>
      <c r="AK7">
        <f t="shared" si="3"/>
        <v>0</v>
      </c>
      <c r="AL7">
        <f t="shared" si="3"/>
        <v>0</v>
      </c>
      <c r="AM7">
        <f t="shared" si="3"/>
        <v>19.250439853029782</v>
      </c>
      <c r="AN7">
        <f t="shared" si="3"/>
        <v>42.872312966706744</v>
      </c>
      <c r="AO7">
        <f t="shared" si="3"/>
        <v>64.294578133405253</v>
      </c>
      <c r="AP7">
        <f t="shared" si="3"/>
        <v>83.597508041590473</v>
      </c>
      <c r="AQ7">
        <f t="shared" si="3"/>
        <v>103.48437410691608</v>
      </c>
      <c r="AR7">
        <f t="shared" si="3"/>
        <v>129.05975477417624</v>
      </c>
      <c r="AS7">
        <f t="shared" si="3"/>
        <v>157.4049597002427</v>
      </c>
      <c r="AT7">
        <f t="shared" si="3"/>
        <v>184.38691556143968</v>
      </c>
      <c r="AU7">
        <f t="shared" si="3"/>
        <v>205.88997157200001</v>
      </c>
    </row>
    <row r="8" spans="2:47">
      <c r="B8" t="s">
        <v>157</v>
      </c>
      <c r="C8" s="91">
        <f>-C7*(1-'3YP'!E51)</f>
        <v>-51.822056524000018</v>
      </c>
      <c r="D8" s="91">
        <f>-D7*(1-'3YP'!F51)</f>
        <v>-73.250331454700017</v>
      </c>
      <c r="E8" s="91">
        <f>-E7*(1-'3YP'!G51)</f>
        <v>-103.05554320728005</v>
      </c>
      <c r="J8" t="s">
        <v>157</v>
      </c>
      <c r="K8" s="91">
        <f>C8*(1+$H$7)</f>
        <v>-38.866542393000017</v>
      </c>
      <c r="L8" s="91">
        <f t="shared" si="2"/>
        <v>-54.937748591025013</v>
      </c>
      <c r="M8" s="91">
        <f t="shared" si="2"/>
        <v>-77.291657405460043</v>
      </c>
      <c r="X8" s="5">
        <f>X$7*$K8/$K$7</f>
        <v>-3.6339702750895428</v>
      </c>
      <c r="Y8" s="5">
        <f t="shared" ref="Y8:AF8" si="4">Y$7*$K8/$K$7</f>
        <v>-4.4591804339228442</v>
      </c>
      <c r="Z8" s="5">
        <f t="shared" si="4"/>
        <v>-4.043953043941289</v>
      </c>
      <c r="AA8" s="5">
        <f t="shared" si="4"/>
        <v>-3.6438789993383893</v>
      </c>
      <c r="AB8" s="5">
        <f t="shared" si="4"/>
        <v>-3.7541105916447943</v>
      </c>
      <c r="AC8" s="5">
        <f t="shared" si="4"/>
        <v>-4.8279506249461388</v>
      </c>
      <c r="AD8" s="5">
        <f t="shared" si="4"/>
        <v>-5.350819665891188</v>
      </c>
      <c r="AE8" s="5">
        <f t="shared" si="4"/>
        <v>-5.0934745549689753</v>
      </c>
      <c r="AF8" s="5">
        <f t="shared" si="4"/>
        <v>-4.0592042032568525</v>
      </c>
      <c r="AH8">
        <f t="shared" ref="AH8:AH19" si="5">S8</f>
        <v>0</v>
      </c>
      <c r="AI8">
        <f t="shared" ref="AI8:AI19" si="6">AH8+T8</f>
        <v>0</v>
      </c>
      <c r="AJ8">
        <f t="shared" si="3"/>
        <v>0</v>
      </c>
      <c r="AK8">
        <f t="shared" si="3"/>
        <v>0</v>
      </c>
      <c r="AL8">
        <f t="shared" si="3"/>
        <v>0</v>
      </c>
      <c r="AM8">
        <f t="shared" si="3"/>
        <v>-3.6339702750895428</v>
      </c>
      <c r="AN8">
        <f t="shared" si="3"/>
        <v>-8.093150709012388</v>
      </c>
      <c r="AO8">
        <f t="shared" si="3"/>
        <v>-12.137103752953678</v>
      </c>
      <c r="AP8">
        <f t="shared" si="3"/>
        <v>-15.780982752292067</v>
      </c>
      <c r="AQ8">
        <f t="shared" si="3"/>
        <v>-19.535093343936861</v>
      </c>
      <c r="AR8">
        <f t="shared" si="3"/>
        <v>-24.363043968882998</v>
      </c>
      <c r="AS8">
        <f t="shared" si="3"/>
        <v>-29.713863634774185</v>
      </c>
      <c r="AT8">
        <f t="shared" si="3"/>
        <v>-34.807338189743163</v>
      </c>
      <c r="AU8">
        <f t="shared" si="3"/>
        <v>-38.866542393000017</v>
      </c>
    </row>
    <row r="9" spans="2:47">
      <c r="B9" s="49"/>
      <c r="C9" s="3"/>
      <c r="D9" s="3"/>
      <c r="E9" s="3"/>
      <c r="J9" s="49"/>
      <c r="K9" s="3"/>
      <c r="L9" s="3"/>
      <c r="M9" s="3"/>
    </row>
    <row r="10" spans="2:47">
      <c r="B10" s="65" t="s">
        <v>158</v>
      </c>
      <c r="C10" s="94">
        <f>SUM(C7:C8)</f>
        <v>222.69790557200002</v>
      </c>
      <c r="D10" s="94">
        <f>SUM(D7:D8)</f>
        <v>320.19299866529997</v>
      </c>
      <c r="E10" s="94">
        <f>SUM(E7:E8)</f>
        <v>437.03185053671996</v>
      </c>
      <c r="J10" s="65" t="s">
        <v>158</v>
      </c>
      <c r="K10" s="94">
        <f>SUM(K7:K8)</f>
        <v>167.023429179</v>
      </c>
      <c r="L10" s="94">
        <f>SUM(L7:L8)</f>
        <v>240.14474899897499</v>
      </c>
      <c r="M10" s="94">
        <f>SUM(M7:M8)</f>
        <v>327.77388790253991</v>
      </c>
      <c r="S10" s="94">
        <f t="shared" ref="S10:W10" si="7">SUM(S7:S8)</f>
        <v>0</v>
      </c>
      <c r="T10" s="94">
        <f t="shared" si="7"/>
        <v>0</v>
      </c>
      <c r="U10" s="94">
        <f t="shared" si="7"/>
        <v>0</v>
      </c>
      <c r="V10" s="94">
        <f t="shared" si="7"/>
        <v>0</v>
      </c>
      <c r="W10" s="94">
        <f t="shared" si="7"/>
        <v>0</v>
      </c>
      <c r="X10" s="94">
        <f t="shared" ref="X10:AF10" si="8">SUM(X7:X8)</f>
        <v>15.61646957794024</v>
      </c>
      <c r="Y10" s="94">
        <f t="shared" si="8"/>
        <v>19.162692679754123</v>
      </c>
      <c r="Z10" s="94">
        <f t="shared" si="8"/>
        <v>17.378312122757212</v>
      </c>
      <c r="AA10" s="94">
        <f t="shared" si="8"/>
        <v>15.659050908846835</v>
      </c>
      <c r="AB10" s="94">
        <f t="shared" si="8"/>
        <v>16.13275547368081</v>
      </c>
      <c r="AC10" s="94">
        <f t="shared" si="8"/>
        <v>20.747430042314029</v>
      </c>
      <c r="AD10" s="94">
        <f t="shared" si="8"/>
        <v>22.994385260175282</v>
      </c>
      <c r="AE10" s="94">
        <f t="shared" si="8"/>
        <v>21.888481306228009</v>
      </c>
      <c r="AF10" s="94">
        <f t="shared" si="8"/>
        <v>17.443851807303467</v>
      </c>
      <c r="AH10" s="94">
        <f t="shared" ref="AH10:AU10" si="9">SUM(AH7:AH8)</f>
        <v>0</v>
      </c>
      <c r="AI10" s="94">
        <f t="shared" si="9"/>
        <v>0</v>
      </c>
      <c r="AJ10" s="94">
        <f t="shared" si="9"/>
        <v>0</v>
      </c>
      <c r="AK10" s="94">
        <f t="shared" si="9"/>
        <v>0</v>
      </c>
      <c r="AL10" s="94">
        <f t="shared" si="9"/>
        <v>0</v>
      </c>
      <c r="AM10" s="94">
        <f t="shared" si="9"/>
        <v>15.61646957794024</v>
      </c>
      <c r="AN10" s="94">
        <f t="shared" si="9"/>
        <v>34.779162257694352</v>
      </c>
      <c r="AO10" s="94">
        <f t="shared" si="9"/>
        <v>52.157474380451575</v>
      </c>
      <c r="AP10" s="94">
        <f t="shared" si="9"/>
        <v>67.816525289298411</v>
      </c>
      <c r="AQ10" s="94">
        <f t="shared" si="9"/>
        <v>83.949280762979214</v>
      </c>
      <c r="AR10" s="94">
        <f t="shared" si="9"/>
        <v>104.69671080529324</v>
      </c>
      <c r="AS10" s="94">
        <f t="shared" si="9"/>
        <v>127.69109606546851</v>
      </c>
      <c r="AT10" s="94">
        <f t="shared" si="9"/>
        <v>149.57957737169653</v>
      </c>
      <c r="AU10" s="94">
        <f t="shared" si="9"/>
        <v>167.023429179</v>
      </c>
    </row>
    <row r="11" spans="2:47">
      <c r="B11" s="66" t="s">
        <v>160</v>
      </c>
      <c r="C11" s="67">
        <f>C10/C$7</f>
        <v>0.81122663675045326</v>
      </c>
      <c r="D11" s="67">
        <f>D10/D$7</f>
        <v>0.81382240885273438</v>
      </c>
      <c r="E11" s="67">
        <f>E10/E$7</f>
        <v>0.80918728264905937</v>
      </c>
      <c r="J11" s="66" t="s">
        <v>160</v>
      </c>
      <c r="K11" s="67">
        <f>K10/K$7</f>
        <v>0.81122663675045315</v>
      </c>
      <c r="L11" s="67">
        <f>L10/L$7</f>
        <v>0.81382240885273438</v>
      </c>
      <c r="M11" s="67">
        <f>M10/M$7</f>
        <v>0.80918728264905926</v>
      </c>
      <c r="S11" s="67" t="e">
        <f t="shared" ref="S11" si="10">S10/S$7</f>
        <v>#DIV/0!</v>
      </c>
      <c r="T11" s="67" t="e">
        <f t="shared" ref="T11" si="11">T10/T$7</f>
        <v>#DIV/0!</v>
      </c>
      <c r="U11" s="67" t="e">
        <f t="shared" ref="U11" si="12">U10/U$7</f>
        <v>#DIV/0!</v>
      </c>
      <c r="V11" s="67" t="e">
        <f t="shared" ref="V11" si="13">V10/V$7</f>
        <v>#DIV/0!</v>
      </c>
      <c r="W11" s="67" t="e">
        <f t="shared" ref="W11" si="14">W10/W$7</f>
        <v>#DIV/0!</v>
      </c>
      <c r="X11" s="67">
        <f t="shared" ref="X11:AF11" si="15">X10/X$7</f>
        <v>0.81122663675045326</v>
      </c>
      <c r="Y11" s="67">
        <f t="shared" si="15"/>
        <v>0.81122663675045326</v>
      </c>
      <c r="Z11" s="67">
        <f t="shared" si="15"/>
        <v>0.81122663675045315</v>
      </c>
      <c r="AA11" s="67">
        <f t="shared" si="15"/>
        <v>0.81122663675045326</v>
      </c>
      <c r="AB11" s="67">
        <f t="shared" si="15"/>
        <v>0.81122663675045337</v>
      </c>
      <c r="AC11" s="67">
        <f t="shared" si="15"/>
        <v>0.81122663675045337</v>
      </c>
      <c r="AD11" s="67">
        <f t="shared" si="15"/>
        <v>0.81122663675045326</v>
      </c>
      <c r="AE11" s="67">
        <f t="shared" si="15"/>
        <v>0.81122663675045326</v>
      </c>
      <c r="AF11" s="67">
        <f t="shared" si="15"/>
        <v>0.81122663675045337</v>
      </c>
      <c r="AH11" s="67" t="e">
        <f t="shared" ref="AH11:AU11" si="16">AH10/AH$7</f>
        <v>#DIV/0!</v>
      </c>
      <c r="AI11" s="67" t="e">
        <f t="shared" si="16"/>
        <v>#DIV/0!</v>
      </c>
      <c r="AJ11" s="67" t="e">
        <f t="shared" si="16"/>
        <v>#DIV/0!</v>
      </c>
      <c r="AK11" s="67" t="e">
        <f t="shared" si="16"/>
        <v>#DIV/0!</v>
      </c>
      <c r="AL11" s="67" t="e">
        <f t="shared" si="16"/>
        <v>#DIV/0!</v>
      </c>
      <c r="AM11" s="67">
        <f t="shared" si="16"/>
        <v>0.81122663675045326</v>
      </c>
      <c r="AN11" s="67">
        <f t="shared" si="16"/>
        <v>0.81122663675045315</v>
      </c>
      <c r="AO11" s="67">
        <f t="shared" si="16"/>
        <v>0.81122663675045326</v>
      </c>
      <c r="AP11" s="67">
        <f t="shared" si="16"/>
        <v>0.81122663675045326</v>
      </c>
      <c r="AQ11" s="67">
        <f t="shared" si="16"/>
        <v>0.81122663675045315</v>
      </c>
      <c r="AR11" s="67">
        <f t="shared" si="16"/>
        <v>0.81122663675045315</v>
      </c>
      <c r="AS11" s="67">
        <f t="shared" si="16"/>
        <v>0.81122663675045326</v>
      </c>
      <c r="AT11" s="67">
        <f t="shared" si="16"/>
        <v>0.81122663675045326</v>
      </c>
      <c r="AU11" s="67">
        <f t="shared" si="16"/>
        <v>0.81122663675045326</v>
      </c>
    </row>
    <row r="12" spans="2:47">
      <c r="B12" s="49"/>
      <c r="C12" s="3"/>
      <c r="D12" s="3"/>
      <c r="E12" s="3"/>
      <c r="J12" s="49"/>
      <c r="K12" s="3"/>
      <c r="L12" s="3"/>
      <c r="M12" s="3"/>
    </row>
    <row r="13" spans="2:47">
      <c r="B13" t="s">
        <v>162</v>
      </c>
      <c r="C13" s="91">
        <f>C7*'3YP'!E53/'3YP'!E$47</f>
        <v>-5.3989662419200002</v>
      </c>
      <c r="D13" s="91">
        <f>D7*'3YP'!F53/'3YP'!F$47</f>
        <v>-8.0999379774000015</v>
      </c>
      <c r="E13" s="91">
        <f>E7*'3YP'!G53/'3YP'!G$47</f>
        <v>-10.935204404879999</v>
      </c>
      <c r="J13" t="s">
        <v>162</v>
      </c>
      <c r="K13" s="91">
        <f t="shared" ref="K13:M14" si="17">C13*(1+$H$7)</f>
        <v>-4.0492246814400001</v>
      </c>
      <c r="L13" s="91">
        <f t="shared" si="17"/>
        <v>-6.0749534830500007</v>
      </c>
      <c r="M13" s="91">
        <f t="shared" si="17"/>
        <v>-8.2014033036599994</v>
      </c>
      <c r="X13" s="5">
        <f>X$7*$K13/$K$7</f>
        <v>-0.37859714869213718</v>
      </c>
      <c r="Y13" s="5">
        <f t="shared" ref="Y13:AF14" si="18">Y$7*$K13/$K$7</f>
        <v>-0.46456984234560283</v>
      </c>
      <c r="Z13" s="5">
        <f t="shared" si="18"/>
        <v>-0.42131029589760077</v>
      </c>
      <c r="AA13" s="5">
        <f t="shared" si="18"/>
        <v>-0.3796294671933384</v>
      </c>
      <c r="AB13" s="5">
        <f t="shared" si="18"/>
        <v>-0.39111370162119724</v>
      </c>
      <c r="AC13" s="5">
        <f t="shared" si="18"/>
        <v>-0.50298934836113685</v>
      </c>
      <c r="AD13" s="5">
        <f t="shared" si="18"/>
        <v>-0.55746330193146698</v>
      </c>
      <c r="AE13" s="5">
        <f t="shared" si="18"/>
        <v>-0.53065237122768993</v>
      </c>
      <c r="AF13" s="5">
        <f t="shared" si="18"/>
        <v>-0.42289920416982923</v>
      </c>
      <c r="AH13">
        <f t="shared" si="5"/>
        <v>0</v>
      </c>
      <c r="AI13">
        <f t="shared" si="6"/>
        <v>0</v>
      </c>
      <c r="AJ13">
        <f t="shared" si="3"/>
        <v>0</v>
      </c>
      <c r="AK13">
        <f t="shared" si="3"/>
        <v>0</v>
      </c>
      <c r="AL13">
        <f t="shared" si="3"/>
        <v>0</v>
      </c>
      <c r="AM13">
        <f t="shared" si="3"/>
        <v>-0.37859714869213718</v>
      </c>
      <c r="AN13">
        <f t="shared" si="3"/>
        <v>-0.84316699103773995</v>
      </c>
      <c r="AO13">
        <f t="shared" si="3"/>
        <v>-1.2644772869353407</v>
      </c>
      <c r="AP13">
        <f t="shared" si="3"/>
        <v>-1.6441067541286791</v>
      </c>
      <c r="AQ13">
        <f t="shared" si="3"/>
        <v>-2.0352204557498763</v>
      </c>
      <c r="AR13">
        <f t="shared" si="3"/>
        <v>-2.538209804111013</v>
      </c>
      <c r="AS13">
        <f t="shared" si="3"/>
        <v>-3.0956731060424802</v>
      </c>
      <c r="AT13">
        <f t="shared" si="3"/>
        <v>-3.6263254772701701</v>
      </c>
      <c r="AU13">
        <f t="shared" si="3"/>
        <v>-4.0492246814399993</v>
      </c>
    </row>
    <row r="14" spans="2:47">
      <c r="B14" t="s">
        <v>163</v>
      </c>
      <c r="C14" s="91">
        <f>C7*'3YP'!E54/'3YP'!E$47</f>
        <v>-3.6187874999999998</v>
      </c>
      <c r="D14" s="91">
        <f>D7*'3YP'!F54/'3YP'!F$47</f>
        <v>-5.3222421875000006</v>
      </c>
      <c r="E14" s="91">
        <f>E7*'3YP'!G54/'3YP'!G$47</f>
        <v>-6.9201543750000001</v>
      </c>
      <c r="J14" t="s">
        <v>163</v>
      </c>
      <c r="K14" s="91">
        <f t="shared" si="17"/>
        <v>-2.7140906249999999</v>
      </c>
      <c r="L14" s="91">
        <f t="shared" si="17"/>
        <v>-3.9916816406250004</v>
      </c>
      <c r="M14" s="91">
        <f t="shared" si="17"/>
        <v>-5.1901157812500003</v>
      </c>
      <c r="X14" s="5">
        <f>X$7*$K14/$K$7</f>
        <v>-0.25376388142325573</v>
      </c>
      <c r="Y14" s="5">
        <f t="shared" si="18"/>
        <v>-0.31138915544679735</v>
      </c>
      <c r="Z14" s="5">
        <f t="shared" si="18"/>
        <v>-0.28239339979153927</v>
      </c>
      <c r="AA14" s="5">
        <f t="shared" si="18"/>
        <v>-0.25445581782751764</v>
      </c>
      <c r="AB14" s="5">
        <f t="shared" si="18"/>
        <v>-0.26215340327858461</v>
      </c>
      <c r="AC14" s="5">
        <f t="shared" si="18"/>
        <v>-0.33714075712300012</v>
      </c>
      <c r="AD14" s="5">
        <f t="shared" si="18"/>
        <v>-0.3736532399618977</v>
      </c>
      <c r="AE14" s="5">
        <f t="shared" si="18"/>
        <v>-0.35568256621682698</v>
      </c>
      <c r="AF14" s="5">
        <f t="shared" si="18"/>
        <v>-0.28345840393058019</v>
      </c>
    </row>
    <row r="15" spans="2:47">
      <c r="B15" s="49"/>
      <c r="C15" s="3"/>
      <c r="D15" s="3"/>
      <c r="E15" s="3"/>
      <c r="J15" s="49"/>
      <c r="K15" s="3"/>
      <c r="L15" s="3"/>
      <c r="M15" s="3"/>
    </row>
    <row r="16" spans="2:47">
      <c r="B16" s="65" t="s">
        <v>166</v>
      </c>
      <c r="C16" s="94">
        <f>SUM(C10,C13:C14)</f>
        <v>213.68015183008004</v>
      </c>
      <c r="D16" s="94">
        <f>SUM(D10,D13:D14)</f>
        <v>306.77081850039997</v>
      </c>
      <c r="E16" s="94">
        <f>SUM(E10,E13:E14)</f>
        <v>419.17649175683999</v>
      </c>
      <c r="J16" s="65" t="s">
        <v>166</v>
      </c>
      <c r="K16" s="94">
        <f>SUM(K10,K13:K14)</f>
        <v>160.26011387256</v>
      </c>
      <c r="L16" s="94">
        <f>SUM(L10,L13:L14)</f>
        <v>230.07811387530001</v>
      </c>
      <c r="M16" s="94">
        <f>SUM(M10,M13:M14)</f>
        <v>314.38236881762987</v>
      </c>
      <c r="S16" s="94">
        <f t="shared" ref="S16:W16" si="19">SUM(S10,S13:S14)</f>
        <v>0</v>
      </c>
      <c r="T16" s="94">
        <f t="shared" si="19"/>
        <v>0</v>
      </c>
      <c r="U16" s="94">
        <f t="shared" si="19"/>
        <v>0</v>
      </c>
      <c r="V16" s="94">
        <f t="shared" si="19"/>
        <v>0</v>
      </c>
      <c r="W16" s="94">
        <f t="shared" si="19"/>
        <v>0</v>
      </c>
      <c r="X16" s="94">
        <f t="shared" ref="X16:AF16" si="20">SUM(X10,X13:X14)</f>
        <v>14.984108547824848</v>
      </c>
      <c r="Y16" s="94">
        <f t="shared" si="20"/>
        <v>18.386733681961722</v>
      </c>
      <c r="Z16" s="94">
        <f t="shared" si="20"/>
        <v>16.674608427068073</v>
      </c>
      <c r="AA16" s="94">
        <f t="shared" si="20"/>
        <v>15.024965623825979</v>
      </c>
      <c r="AB16" s="94">
        <f t="shared" si="20"/>
        <v>15.479488368781027</v>
      </c>
      <c r="AC16" s="94">
        <f t="shared" si="20"/>
        <v>19.907299936829894</v>
      </c>
      <c r="AD16" s="94">
        <f t="shared" si="20"/>
        <v>22.063268718281918</v>
      </c>
      <c r="AE16" s="94">
        <f t="shared" si="20"/>
        <v>21.002146368783492</v>
      </c>
      <c r="AF16" s="94">
        <f t="shared" si="20"/>
        <v>16.737494199203056</v>
      </c>
      <c r="AH16" s="94">
        <f t="shared" ref="AH16:AU16" si="21">SUM(AH10,AH13:AH14)</f>
        <v>0</v>
      </c>
      <c r="AI16" s="94">
        <f t="shared" si="21"/>
        <v>0</v>
      </c>
      <c r="AJ16" s="94">
        <f t="shared" si="21"/>
        <v>0</v>
      </c>
      <c r="AK16" s="94">
        <f t="shared" si="21"/>
        <v>0</v>
      </c>
      <c r="AL16" s="94">
        <f t="shared" si="21"/>
        <v>0</v>
      </c>
      <c r="AM16" s="94">
        <f t="shared" si="21"/>
        <v>15.237872429248103</v>
      </c>
      <c r="AN16" s="94">
        <f t="shared" si="21"/>
        <v>33.935995266656612</v>
      </c>
      <c r="AO16" s="94">
        <f t="shared" si="21"/>
        <v>50.892997093516236</v>
      </c>
      <c r="AP16" s="94">
        <f t="shared" si="21"/>
        <v>66.172418535169726</v>
      </c>
      <c r="AQ16" s="94">
        <f t="shared" si="21"/>
        <v>81.914060307229335</v>
      </c>
      <c r="AR16" s="94">
        <f t="shared" si="21"/>
        <v>102.15850100118222</v>
      </c>
      <c r="AS16" s="94">
        <f t="shared" si="21"/>
        <v>124.59542295942603</v>
      </c>
      <c r="AT16" s="94">
        <f t="shared" si="21"/>
        <v>145.95325189442636</v>
      </c>
      <c r="AU16" s="94">
        <f t="shared" si="21"/>
        <v>162.97420449756001</v>
      </c>
    </row>
    <row r="17" spans="2:47">
      <c r="B17" s="66" t="s">
        <v>167</v>
      </c>
      <c r="C17" s="67">
        <f>C16/C$7</f>
        <v>0.77837746369553906</v>
      </c>
      <c r="D17" s="67">
        <f>D16/D$7</f>
        <v>0.77970776225088134</v>
      </c>
      <c r="E17" s="67">
        <f>E16/E$7</f>
        <v>0.77612715388711428</v>
      </c>
      <c r="J17" s="66" t="s">
        <v>167</v>
      </c>
      <c r="K17" s="67">
        <f>K16/K$7</f>
        <v>0.77837746369553895</v>
      </c>
      <c r="L17" s="67">
        <f>L16/L$7</f>
        <v>0.77970776225088134</v>
      </c>
      <c r="M17" s="67">
        <f>M16/M$7</f>
        <v>0.77612715388711406</v>
      </c>
      <c r="S17" s="67" t="e">
        <f t="shared" ref="S17" si="22">S16/S$7</f>
        <v>#DIV/0!</v>
      </c>
      <c r="T17" s="67" t="e">
        <f t="shared" ref="T17" si="23">T16/T$7</f>
        <v>#DIV/0!</v>
      </c>
      <c r="U17" s="67" t="e">
        <f t="shared" ref="U17" si="24">U16/U$7</f>
        <v>#DIV/0!</v>
      </c>
      <c r="V17" s="67" t="e">
        <f t="shared" ref="V17" si="25">V16/V$7</f>
        <v>#DIV/0!</v>
      </c>
      <c r="W17" s="67" t="e">
        <f t="shared" ref="W17" si="26">W16/W$7</f>
        <v>#DIV/0!</v>
      </c>
      <c r="X17" s="67">
        <f t="shared" ref="X17:AF17" si="27">X16/X$7</f>
        <v>0.77837746369553906</v>
      </c>
      <c r="Y17" s="67">
        <f t="shared" si="27"/>
        <v>0.77837746369553906</v>
      </c>
      <c r="Z17" s="67">
        <f t="shared" si="27"/>
        <v>0.77837746369553895</v>
      </c>
      <c r="AA17" s="67">
        <f t="shared" si="27"/>
        <v>0.77837746369553906</v>
      </c>
      <c r="AB17" s="67">
        <f t="shared" si="27"/>
        <v>0.77837746369553906</v>
      </c>
      <c r="AC17" s="67">
        <f t="shared" si="27"/>
        <v>0.77837746369553917</v>
      </c>
      <c r="AD17" s="67">
        <f t="shared" si="27"/>
        <v>0.77837746369553906</v>
      </c>
      <c r="AE17" s="67">
        <f t="shared" si="27"/>
        <v>0.77837746369553906</v>
      </c>
      <c r="AF17" s="67">
        <f t="shared" si="27"/>
        <v>0.77837746369553906</v>
      </c>
      <c r="AH17" s="67" t="e">
        <f t="shared" ref="AH17:AU17" si="28">AH16/AH$7</f>
        <v>#DIV/0!</v>
      </c>
      <c r="AI17" s="67" t="e">
        <f t="shared" si="28"/>
        <v>#DIV/0!</v>
      </c>
      <c r="AJ17" s="67" t="e">
        <f t="shared" si="28"/>
        <v>#DIV/0!</v>
      </c>
      <c r="AK17" s="67" t="e">
        <f t="shared" si="28"/>
        <v>#DIV/0!</v>
      </c>
      <c r="AL17" s="67" t="e">
        <f t="shared" si="28"/>
        <v>#DIV/0!</v>
      </c>
      <c r="AM17" s="67">
        <f t="shared" si="28"/>
        <v>0.79155970178259849</v>
      </c>
      <c r="AN17" s="67">
        <f t="shared" si="28"/>
        <v>0.79155970178259827</v>
      </c>
      <c r="AO17" s="67">
        <f t="shared" si="28"/>
        <v>0.79155970178259838</v>
      </c>
      <c r="AP17" s="67">
        <f t="shared" si="28"/>
        <v>0.79155970178259838</v>
      </c>
      <c r="AQ17" s="67">
        <f t="shared" si="28"/>
        <v>0.79155970178259838</v>
      </c>
      <c r="AR17" s="67">
        <f t="shared" si="28"/>
        <v>0.79155970178259838</v>
      </c>
      <c r="AS17" s="67">
        <f t="shared" si="28"/>
        <v>0.79155970178259838</v>
      </c>
      <c r="AT17" s="67">
        <f t="shared" si="28"/>
        <v>0.79155970178259849</v>
      </c>
      <c r="AU17" s="67">
        <f t="shared" si="28"/>
        <v>0.79155970178259849</v>
      </c>
    </row>
    <row r="18" spans="2:47">
      <c r="B18" s="49"/>
      <c r="C18" s="3"/>
      <c r="D18" s="3"/>
      <c r="E18" s="3"/>
      <c r="J18" s="49"/>
      <c r="K18" s="3"/>
      <c r="L18" s="3"/>
      <c r="M18" s="3"/>
    </row>
    <row r="19" spans="2:47">
      <c r="B19" t="s">
        <v>168</v>
      </c>
      <c r="C19" s="91">
        <f>-Extra!D5/1000</f>
        <v>-311</v>
      </c>
      <c r="D19" s="91">
        <f>C19*0.75</f>
        <v>-233.25</v>
      </c>
      <c r="E19" s="91">
        <f>D19</f>
        <v>-233.25</v>
      </c>
      <c r="J19" t="s">
        <v>168</v>
      </c>
      <c r="K19" s="91">
        <f t="shared" ref="K19:M20" si="29">C19</f>
        <v>-311</v>
      </c>
      <c r="L19" s="91">
        <f>D19*0.8</f>
        <v>-186.60000000000002</v>
      </c>
      <c r="M19" s="91">
        <f t="shared" si="29"/>
        <v>-233.25</v>
      </c>
      <c r="W19" s="5">
        <f>$K19/10</f>
        <v>-31.1</v>
      </c>
      <c r="X19" s="5">
        <f t="shared" ref="X19:AF19" si="30">$K19/10</f>
        <v>-31.1</v>
      </c>
      <c r="Y19" s="5">
        <f t="shared" si="30"/>
        <v>-31.1</v>
      </c>
      <c r="Z19" s="5">
        <f t="shared" si="30"/>
        <v>-31.1</v>
      </c>
      <c r="AA19" s="5">
        <f t="shared" si="30"/>
        <v>-31.1</v>
      </c>
      <c r="AB19" s="5">
        <f t="shared" si="30"/>
        <v>-31.1</v>
      </c>
      <c r="AC19" s="5">
        <f t="shared" si="30"/>
        <v>-31.1</v>
      </c>
      <c r="AD19" s="5">
        <f t="shared" si="30"/>
        <v>-31.1</v>
      </c>
      <c r="AE19" s="5">
        <f t="shared" si="30"/>
        <v>-31.1</v>
      </c>
      <c r="AF19" s="5">
        <f t="shared" si="30"/>
        <v>-31.1</v>
      </c>
      <c r="AH19">
        <f t="shared" si="5"/>
        <v>0</v>
      </c>
      <c r="AI19">
        <f t="shared" si="6"/>
        <v>0</v>
      </c>
      <c r="AJ19">
        <f t="shared" si="3"/>
        <v>0</v>
      </c>
      <c r="AK19">
        <f t="shared" si="3"/>
        <v>0</v>
      </c>
      <c r="AL19">
        <f t="shared" si="3"/>
        <v>-31.1</v>
      </c>
      <c r="AM19">
        <f t="shared" si="3"/>
        <v>-62.2</v>
      </c>
      <c r="AN19">
        <f t="shared" si="3"/>
        <v>-93.300000000000011</v>
      </c>
      <c r="AO19">
        <f t="shared" si="3"/>
        <v>-124.4</v>
      </c>
      <c r="AP19">
        <f t="shared" si="3"/>
        <v>-155.5</v>
      </c>
      <c r="AQ19">
        <f t="shared" si="3"/>
        <v>-186.6</v>
      </c>
      <c r="AR19">
        <f t="shared" si="3"/>
        <v>-217.7</v>
      </c>
      <c r="AS19">
        <f t="shared" si="3"/>
        <v>-248.79999999999998</v>
      </c>
      <c r="AT19">
        <f t="shared" si="3"/>
        <v>-279.89999999999998</v>
      </c>
      <c r="AU19">
        <f t="shared" si="3"/>
        <v>-311</v>
      </c>
    </row>
    <row r="20" spans="2:47">
      <c r="B20" t="s">
        <v>169</v>
      </c>
      <c r="C20" s="91">
        <v>0</v>
      </c>
      <c r="D20" s="91">
        <v>0</v>
      </c>
      <c r="E20" s="91">
        <v>0</v>
      </c>
      <c r="J20" t="s">
        <v>169</v>
      </c>
      <c r="K20" s="91">
        <f t="shared" si="29"/>
        <v>0</v>
      </c>
      <c r="L20" s="91">
        <f>D20*0.8</f>
        <v>0</v>
      </c>
      <c r="M20" s="91">
        <f t="shared" si="29"/>
        <v>0</v>
      </c>
    </row>
    <row r="21" spans="2:47">
      <c r="B21" s="49"/>
      <c r="C21" s="3"/>
      <c r="D21" s="3"/>
      <c r="E21" s="3"/>
      <c r="J21" s="49"/>
      <c r="K21" s="3"/>
      <c r="L21" s="3"/>
      <c r="M21" s="3"/>
    </row>
    <row r="22" spans="2:47">
      <c r="B22" s="65" t="s">
        <v>170</v>
      </c>
      <c r="C22" s="94">
        <f>SUM(C16,C19:C20)</f>
        <v>-97.319848169919965</v>
      </c>
      <c r="D22" s="94">
        <f>SUM(D16,D19:D20)</f>
        <v>73.520818500399969</v>
      </c>
      <c r="E22" s="94">
        <f>SUM(E16,E19:E20)</f>
        <v>185.92649175683999</v>
      </c>
      <c r="J22" s="65" t="s">
        <v>170</v>
      </c>
      <c r="K22" s="94">
        <f>SUM(K16,K19:K20)</f>
        <v>-150.73988612744</v>
      </c>
      <c r="L22" s="94">
        <f>SUM(L16,L19:L20)</f>
        <v>43.478113875299982</v>
      </c>
      <c r="M22" s="94">
        <f>SUM(M16,M19:M20)</f>
        <v>81.132368817629867</v>
      </c>
      <c r="S22" s="94">
        <f t="shared" ref="S22:W22" si="31">SUM(S16,S19:S20)</f>
        <v>0</v>
      </c>
      <c r="T22" s="94">
        <f t="shared" si="31"/>
        <v>0</v>
      </c>
      <c r="U22" s="94">
        <f t="shared" si="31"/>
        <v>0</v>
      </c>
      <c r="V22" s="94">
        <f t="shared" si="31"/>
        <v>0</v>
      </c>
      <c r="W22" s="94">
        <f t="shared" si="31"/>
        <v>-31.1</v>
      </c>
      <c r="X22" s="94">
        <f t="shared" ref="X22:AF22" si="32">SUM(X16,X19:X20)</f>
        <v>-16.115891452175156</v>
      </c>
      <c r="Y22" s="94">
        <f t="shared" si="32"/>
        <v>-12.713266318038279</v>
      </c>
      <c r="Z22" s="94">
        <f t="shared" si="32"/>
        <v>-14.425391572931929</v>
      </c>
      <c r="AA22" s="94">
        <f t="shared" si="32"/>
        <v>-16.075034376174024</v>
      </c>
      <c r="AB22" s="94">
        <f t="shared" si="32"/>
        <v>-15.620511631218974</v>
      </c>
      <c r="AC22" s="94">
        <f t="shared" si="32"/>
        <v>-11.192700063170108</v>
      </c>
      <c r="AD22" s="94">
        <f t="shared" si="32"/>
        <v>-9.0367312817180832</v>
      </c>
      <c r="AE22" s="94">
        <f t="shared" si="32"/>
        <v>-10.097853631216509</v>
      </c>
      <c r="AF22" s="94">
        <f t="shared" si="32"/>
        <v>-14.362505800796946</v>
      </c>
      <c r="AH22" s="94">
        <f t="shared" ref="AH22:AU22" si="33">SUM(AH16,AH19:AH20)</f>
        <v>0</v>
      </c>
      <c r="AI22" s="94">
        <f t="shared" si="33"/>
        <v>0</v>
      </c>
      <c r="AJ22" s="94">
        <f t="shared" si="33"/>
        <v>0</v>
      </c>
      <c r="AK22" s="94">
        <f t="shared" si="33"/>
        <v>0</v>
      </c>
      <c r="AL22" s="94">
        <f t="shared" si="33"/>
        <v>-31.1</v>
      </c>
      <c r="AM22" s="94">
        <f t="shared" si="33"/>
        <v>-46.962127570751903</v>
      </c>
      <c r="AN22" s="94">
        <f t="shared" si="33"/>
        <v>-59.3640047333434</v>
      </c>
      <c r="AO22" s="94">
        <f t="shared" si="33"/>
        <v>-73.507002906483763</v>
      </c>
      <c r="AP22" s="94">
        <f t="shared" si="33"/>
        <v>-89.327581464830274</v>
      </c>
      <c r="AQ22" s="94">
        <f t="shared" si="33"/>
        <v>-104.68593969277066</v>
      </c>
      <c r="AR22" s="94">
        <f t="shared" si="33"/>
        <v>-115.54149899881777</v>
      </c>
      <c r="AS22" s="94">
        <f t="shared" si="33"/>
        <v>-124.20457704057395</v>
      </c>
      <c r="AT22" s="94">
        <f t="shared" si="33"/>
        <v>-133.94674810557362</v>
      </c>
      <c r="AU22" s="94">
        <f t="shared" si="33"/>
        <v>-148.02579550243999</v>
      </c>
    </row>
    <row r="23" spans="2:47">
      <c r="B23" s="66" t="s">
        <v>171</v>
      </c>
      <c r="C23" s="67">
        <f>C22/C$7</f>
        <v>-0.35450918551375538</v>
      </c>
      <c r="D23" s="67">
        <f>D22/D$7</f>
        <v>0.18686507781940581</v>
      </c>
      <c r="E23" s="67">
        <f>E22/E$7</f>
        <v>0.34425260413496833</v>
      </c>
      <c r="J23" s="66" t="s">
        <v>171</v>
      </c>
      <c r="K23" s="67">
        <f>K22/K$7</f>
        <v>-0.73213806858352026</v>
      </c>
      <c r="L23" s="67">
        <f>L22/L$7</f>
        <v>0.1473422321906408</v>
      </c>
      <c r="M23" s="67">
        <f>M22/M$7</f>
        <v>0.20029442088425267</v>
      </c>
      <c r="S23" s="67" t="e">
        <f t="shared" ref="S23" si="34">S22/S$7</f>
        <v>#DIV/0!</v>
      </c>
      <c r="T23" s="67" t="e">
        <f t="shared" ref="T23" si="35">T22/T$7</f>
        <v>#DIV/0!</v>
      </c>
      <c r="U23" s="67" t="e">
        <f t="shared" ref="U23" si="36">U22/U$7</f>
        <v>#DIV/0!</v>
      </c>
      <c r="V23" s="67" t="e">
        <f t="shared" ref="V23" si="37">V22/V$7</f>
        <v>#DIV/0!</v>
      </c>
      <c r="W23" s="67" t="e">
        <f t="shared" ref="W23" si="38">W22/W$7</f>
        <v>#DIV/0!</v>
      </c>
      <c r="X23" s="67">
        <f t="shared" ref="X23:AF23" si="39">X22/X$7</f>
        <v>-0.83717003742325991</v>
      </c>
      <c r="Y23" s="67">
        <f t="shared" si="39"/>
        <v>-0.53819890814151194</v>
      </c>
      <c r="Z23" s="67">
        <f t="shared" si="39"/>
        <v>-0.67338311148144103</v>
      </c>
      <c r="AA23" s="67">
        <f t="shared" si="39"/>
        <v>-0.83277691276066634</v>
      </c>
      <c r="AB23" s="67">
        <f t="shared" si="39"/>
        <v>-0.78546874001704226</v>
      </c>
      <c r="AC23" s="67">
        <f t="shared" si="39"/>
        <v>-0.4376357172856562</v>
      </c>
      <c r="AD23" s="67">
        <f t="shared" si="39"/>
        <v>-0.31880987649547154</v>
      </c>
      <c r="AE23" s="67">
        <f t="shared" si="39"/>
        <v>-0.37424468719624332</v>
      </c>
      <c r="AF23" s="67">
        <f t="shared" si="39"/>
        <v>-0.66792858623180851</v>
      </c>
      <c r="AH23" s="67" t="e">
        <f t="shared" ref="AH23:AU23" si="40">AH22/AH$7</f>
        <v>#DIV/0!</v>
      </c>
      <c r="AI23" s="67" t="e">
        <f t="shared" si="40"/>
        <v>#DIV/0!</v>
      </c>
      <c r="AJ23" s="67" t="e">
        <f t="shared" si="40"/>
        <v>#DIV/0!</v>
      </c>
      <c r="AK23" s="67" t="e">
        <f t="shared" si="40"/>
        <v>#DIV/0!</v>
      </c>
      <c r="AL23" s="67" t="e">
        <f t="shared" si="40"/>
        <v>#DIV/0!</v>
      </c>
      <c r="AM23" s="67">
        <f t="shared" si="40"/>
        <v>-2.4395353004549993</v>
      </c>
      <c r="AN23" s="67">
        <f t="shared" si="40"/>
        <v>-1.3846699798875692</v>
      </c>
      <c r="AO23" s="67">
        <f t="shared" si="40"/>
        <v>-1.1432846289770124</v>
      </c>
      <c r="AP23" s="67">
        <f t="shared" si="40"/>
        <v>-1.0685435912801258</v>
      </c>
      <c r="AQ23" s="67">
        <f t="shared" si="40"/>
        <v>-1.0116110823129023</v>
      </c>
      <c r="AR23" s="67">
        <f t="shared" si="40"/>
        <v>-0.89525583866936531</v>
      </c>
      <c r="AS23" s="67">
        <f t="shared" si="40"/>
        <v>-0.78907664203914185</v>
      </c>
      <c r="AT23" s="67">
        <f t="shared" si="40"/>
        <v>-0.72644388945776983</v>
      </c>
      <c r="AU23" s="67">
        <f t="shared" si="40"/>
        <v>-0.71895583049646095</v>
      </c>
    </row>
    <row r="24" spans="2:47">
      <c r="B24" s="49"/>
      <c r="C24" s="3"/>
      <c r="D24" s="3"/>
      <c r="E24" s="3"/>
      <c r="J24" s="49"/>
      <c r="K24" s="3"/>
      <c r="L24" s="3"/>
      <c r="M24" s="3"/>
    </row>
    <row r="25" spans="2:47">
      <c r="B25" t="s">
        <v>172</v>
      </c>
      <c r="C25" s="91">
        <f>-C7*5%</f>
        <v>-13.725998104800002</v>
      </c>
      <c r="D25" s="91">
        <f t="shared" ref="D25:E25" si="41">-D7*5%</f>
        <v>-19.672166506</v>
      </c>
      <c r="E25" s="91">
        <f t="shared" si="41"/>
        <v>-27.004369687200001</v>
      </c>
      <c r="J25" t="s">
        <v>172</v>
      </c>
      <c r="K25" s="91">
        <f>-K7*5%</f>
        <v>-10.294498578600003</v>
      </c>
      <c r="L25" s="91">
        <f t="shared" ref="L25:M25" si="42">-L7*5%</f>
        <v>-14.754124879500001</v>
      </c>
      <c r="M25" s="91">
        <f t="shared" si="42"/>
        <v>-20.253277265400001</v>
      </c>
      <c r="X25" s="5">
        <f t="shared" ref="X25:AF25" si="43">X$7*$K25/$K$7</f>
        <v>-0.96252199265148919</v>
      </c>
      <c r="Y25" s="5">
        <f t="shared" si="43"/>
        <v>-1.1810936556838485</v>
      </c>
      <c r="Z25" s="5">
        <f t="shared" si="43"/>
        <v>-1.0711132583349252</v>
      </c>
      <c r="AA25" s="5">
        <f t="shared" si="43"/>
        <v>-0.96514649540926123</v>
      </c>
      <c r="AB25" s="5">
        <f t="shared" si="43"/>
        <v>-0.99434330326628018</v>
      </c>
      <c r="AC25" s="5">
        <f t="shared" si="43"/>
        <v>-1.2787690333630084</v>
      </c>
      <c r="AD25" s="5">
        <f t="shared" si="43"/>
        <v>-1.4172602463033235</v>
      </c>
      <c r="AE25" s="5">
        <f t="shared" si="43"/>
        <v>-1.3490977930598493</v>
      </c>
      <c r="AF25" s="5">
        <f t="shared" si="43"/>
        <v>-1.075152800528016</v>
      </c>
    </row>
    <row r="26" spans="2:47">
      <c r="B26" t="s">
        <v>173</v>
      </c>
      <c r="C26" s="91">
        <v>0</v>
      </c>
      <c r="D26" s="91">
        <v>0</v>
      </c>
      <c r="E26" s="91">
        <v>0</v>
      </c>
      <c r="J26" t="s">
        <v>173</v>
      </c>
      <c r="K26" s="91">
        <f>C26</f>
        <v>0</v>
      </c>
      <c r="L26" s="91">
        <f t="shared" ref="L26:M26" si="44">D26</f>
        <v>0</v>
      </c>
      <c r="M26" s="91">
        <f t="shared" si="44"/>
        <v>0</v>
      </c>
    </row>
    <row r="27" spans="2:47">
      <c r="B27" s="49"/>
      <c r="C27" s="3"/>
      <c r="D27" s="3"/>
      <c r="E27" s="3"/>
      <c r="J27" s="49"/>
      <c r="K27" s="3"/>
      <c r="L27" s="3"/>
      <c r="M27" s="3"/>
    </row>
    <row r="28" spans="2:47">
      <c r="B28" s="65" t="s">
        <v>174</v>
      </c>
      <c r="C28" s="94">
        <f>SUM(C22,C25:C26)</f>
        <v>-111.04584627471996</v>
      </c>
      <c r="D28" s="94">
        <f>SUM(D22,D25:D26)</f>
        <v>53.848651994399972</v>
      </c>
      <c r="E28" s="94">
        <f>SUM(E22,E25:E26)</f>
        <v>158.92212206963998</v>
      </c>
      <c r="J28" s="65" t="s">
        <v>174</v>
      </c>
      <c r="K28" s="94">
        <f>SUM(K22,K25:K26)</f>
        <v>-161.03438470604002</v>
      </c>
      <c r="L28" s="94">
        <f>SUM(L22,L25:L26)</f>
        <v>28.723988995799981</v>
      </c>
      <c r="M28" s="94">
        <f>SUM(M22,M25:M26)</f>
        <v>60.879091552229866</v>
      </c>
      <c r="S28" s="94">
        <f t="shared" ref="S28:W28" si="45">SUM(S22,S25:S26)</f>
        <v>0</v>
      </c>
      <c r="T28" s="94">
        <f t="shared" si="45"/>
        <v>0</v>
      </c>
      <c r="U28" s="94">
        <f t="shared" si="45"/>
        <v>0</v>
      </c>
      <c r="V28" s="94">
        <f t="shared" si="45"/>
        <v>0</v>
      </c>
      <c r="W28" s="94">
        <f t="shared" si="45"/>
        <v>-31.1</v>
      </c>
      <c r="X28" s="94">
        <f t="shared" ref="X28:AF28" si="46">SUM(X22,X25:X26)</f>
        <v>-17.078413444826644</v>
      </c>
      <c r="Y28" s="94">
        <f t="shared" si="46"/>
        <v>-13.894359973722128</v>
      </c>
      <c r="Z28" s="94">
        <f t="shared" si="46"/>
        <v>-15.496504831266854</v>
      </c>
      <c r="AA28" s="94">
        <f t="shared" si="46"/>
        <v>-17.040180871583285</v>
      </c>
      <c r="AB28" s="94">
        <f t="shared" si="46"/>
        <v>-16.614854934485255</v>
      </c>
      <c r="AC28" s="94">
        <f t="shared" si="46"/>
        <v>-12.471469096533117</v>
      </c>
      <c r="AD28" s="94">
        <f t="shared" si="46"/>
        <v>-10.453991528021406</v>
      </c>
      <c r="AE28" s="94">
        <f t="shared" si="46"/>
        <v>-11.446951424276358</v>
      </c>
      <c r="AF28" s="94">
        <f t="shared" si="46"/>
        <v>-15.437658601324962</v>
      </c>
      <c r="AH28" s="94">
        <f t="shared" ref="AH28:AU28" si="47">SUM(AH22,AH25:AH26)</f>
        <v>0</v>
      </c>
      <c r="AI28" s="94">
        <f t="shared" si="47"/>
        <v>0</v>
      </c>
      <c r="AJ28" s="94">
        <f t="shared" si="47"/>
        <v>0</v>
      </c>
      <c r="AK28" s="94">
        <f t="shared" si="47"/>
        <v>0</v>
      </c>
      <c r="AL28" s="94">
        <f t="shared" si="47"/>
        <v>-31.1</v>
      </c>
      <c r="AM28" s="94">
        <f t="shared" si="47"/>
        <v>-46.962127570751903</v>
      </c>
      <c r="AN28" s="94">
        <f t="shared" si="47"/>
        <v>-59.3640047333434</v>
      </c>
      <c r="AO28" s="94">
        <f t="shared" si="47"/>
        <v>-73.507002906483763</v>
      </c>
      <c r="AP28" s="94">
        <f t="shared" si="47"/>
        <v>-89.327581464830274</v>
      </c>
      <c r="AQ28" s="94">
        <f t="shared" si="47"/>
        <v>-104.68593969277066</v>
      </c>
      <c r="AR28" s="94">
        <f t="shared" si="47"/>
        <v>-115.54149899881777</v>
      </c>
      <c r="AS28" s="94">
        <f t="shared" si="47"/>
        <v>-124.20457704057395</v>
      </c>
      <c r="AT28" s="94">
        <f t="shared" si="47"/>
        <v>-133.94674810557362</v>
      </c>
      <c r="AU28" s="94">
        <f t="shared" si="47"/>
        <v>-148.02579550243999</v>
      </c>
    </row>
    <row r="29" spans="2:47">
      <c r="B29" s="66" t="s">
        <v>175</v>
      </c>
      <c r="C29" s="67">
        <f>C28/C$7</f>
        <v>-0.40450918551375536</v>
      </c>
      <c r="D29" s="67">
        <f>D28/D$7</f>
        <v>0.13686507781940582</v>
      </c>
      <c r="E29" s="67">
        <f>E28/E$7</f>
        <v>0.29425260413496829</v>
      </c>
      <c r="J29" s="66" t="s">
        <v>175</v>
      </c>
      <c r="K29" s="67">
        <f>K28/K$7</f>
        <v>-0.78213806858352031</v>
      </c>
      <c r="L29" s="67">
        <f>L28/L$7</f>
        <v>9.7342232190640796E-2</v>
      </c>
      <c r="M29" s="67">
        <f>M28/M$7</f>
        <v>0.15029442088425266</v>
      </c>
      <c r="S29" s="67" t="e">
        <f t="shared" ref="S29" si="48">S28/S$7</f>
        <v>#DIV/0!</v>
      </c>
      <c r="T29" s="67" t="e">
        <f t="shared" ref="T29" si="49">T28/T$7</f>
        <v>#DIV/0!</v>
      </c>
      <c r="U29" s="67" t="e">
        <f t="shared" ref="U29" si="50">U28/U$7</f>
        <v>#DIV/0!</v>
      </c>
      <c r="V29" s="67" t="e">
        <f t="shared" ref="V29" si="51">V28/V$7</f>
        <v>#DIV/0!</v>
      </c>
      <c r="W29" s="67" t="e">
        <f t="shared" ref="W29" si="52">W28/W$7</f>
        <v>#DIV/0!</v>
      </c>
      <c r="X29" s="67">
        <f t="shared" ref="X29:AF29" si="53">X28/X$7</f>
        <v>-0.88717003742325984</v>
      </c>
      <c r="Y29" s="67">
        <f t="shared" si="53"/>
        <v>-0.58819890814151199</v>
      </c>
      <c r="Z29" s="67">
        <f t="shared" si="53"/>
        <v>-0.72338311148144108</v>
      </c>
      <c r="AA29" s="67">
        <f t="shared" si="53"/>
        <v>-0.88277691276066639</v>
      </c>
      <c r="AB29" s="67">
        <f t="shared" si="53"/>
        <v>-0.83546874001704219</v>
      </c>
      <c r="AC29" s="67">
        <f t="shared" si="53"/>
        <v>-0.48763571728565624</v>
      </c>
      <c r="AD29" s="67">
        <f t="shared" si="53"/>
        <v>-0.36880987649547153</v>
      </c>
      <c r="AE29" s="67">
        <f t="shared" si="53"/>
        <v>-0.42424468719624331</v>
      </c>
      <c r="AF29" s="67">
        <f t="shared" si="53"/>
        <v>-0.71792858623180855</v>
      </c>
      <c r="AH29" s="67" t="e">
        <f t="shared" ref="AH29:AU29" si="54">AH28/AH$7</f>
        <v>#DIV/0!</v>
      </c>
      <c r="AI29" s="67" t="e">
        <f t="shared" si="54"/>
        <v>#DIV/0!</v>
      </c>
      <c r="AJ29" s="67" t="e">
        <f t="shared" si="54"/>
        <v>#DIV/0!</v>
      </c>
      <c r="AK29" s="67" t="e">
        <f t="shared" si="54"/>
        <v>#DIV/0!</v>
      </c>
      <c r="AL29" s="67" t="e">
        <f t="shared" si="54"/>
        <v>#DIV/0!</v>
      </c>
      <c r="AM29" s="67">
        <f t="shared" si="54"/>
        <v>-2.4395353004549993</v>
      </c>
      <c r="AN29" s="67">
        <f t="shared" si="54"/>
        <v>-1.3846699798875692</v>
      </c>
      <c r="AO29" s="67">
        <f t="shared" si="54"/>
        <v>-1.1432846289770124</v>
      </c>
      <c r="AP29" s="67">
        <f t="shared" si="54"/>
        <v>-1.0685435912801258</v>
      </c>
      <c r="AQ29" s="67">
        <f t="shared" si="54"/>
        <v>-1.0116110823129023</v>
      </c>
      <c r="AR29" s="67">
        <f t="shared" si="54"/>
        <v>-0.89525583866936531</v>
      </c>
      <c r="AS29" s="67">
        <f t="shared" si="54"/>
        <v>-0.78907664203914185</v>
      </c>
      <c r="AT29" s="67">
        <f t="shared" si="54"/>
        <v>-0.72644388945776983</v>
      </c>
      <c r="AU29" s="67">
        <f t="shared" si="54"/>
        <v>-0.71895583049646095</v>
      </c>
    </row>
    <row r="30" spans="2:47">
      <c r="B30" s="49"/>
      <c r="C30" s="3"/>
      <c r="D30" s="3"/>
      <c r="E30" s="3"/>
      <c r="J30" s="49"/>
      <c r="K30" s="3"/>
      <c r="L30" s="3"/>
      <c r="M30" s="3"/>
    </row>
    <row r="31" spans="2:47">
      <c r="B31" t="s">
        <v>176</v>
      </c>
      <c r="C31" s="91">
        <v>0</v>
      </c>
      <c r="D31" s="91">
        <v>0</v>
      </c>
      <c r="E31" s="91">
        <v>0</v>
      </c>
      <c r="J31" t="s">
        <v>176</v>
      </c>
      <c r="K31" s="91">
        <f>C31</f>
        <v>0</v>
      </c>
      <c r="L31" s="91">
        <f t="shared" ref="L31:M31" si="55">D31</f>
        <v>0</v>
      </c>
      <c r="M31" s="91">
        <f t="shared" si="55"/>
        <v>0</v>
      </c>
    </row>
    <row r="32" spans="2:47">
      <c r="B32" s="49"/>
      <c r="C32" s="3"/>
      <c r="D32" s="3"/>
      <c r="E32" s="3"/>
      <c r="J32" s="49"/>
      <c r="K32" s="3"/>
      <c r="L32" s="3"/>
      <c r="M32" s="3"/>
    </row>
    <row r="33" spans="2:47">
      <c r="B33" s="65" t="s">
        <v>177</v>
      </c>
      <c r="C33" s="94">
        <f>SUM(C28,C31)</f>
        <v>-111.04584627471996</v>
      </c>
      <c r="D33" s="94">
        <f>SUM(D28,D31)</f>
        <v>53.848651994399972</v>
      </c>
      <c r="E33" s="94">
        <f>SUM(E28,E31)</f>
        <v>158.92212206963998</v>
      </c>
      <c r="J33" s="65" t="s">
        <v>177</v>
      </c>
      <c r="K33" s="94">
        <f>SUM(K28,K31)</f>
        <v>-161.03438470604002</v>
      </c>
      <c r="L33" s="94">
        <f>SUM(L28,L31)</f>
        <v>28.723988995799981</v>
      </c>
      <c r="M33" s="94">
        <f>SUM(M28,M31)</f>
        <v>60.879091552229866</v>
      </c>
      <c r="S33" s="94">
        <f t="shared" ref="S33:W33" si="56">SUM(S28,S31)</f>
        <v>0</v>
      </c>
      <c r="T33" s="94">
        <f t="shared" si="56"/>
        <v>0</v>
      </c>
      <c r="U33" s="94">
        <f t="shared" si="56"/>
        <v>0</v>
      </c>
      <c r="V33" s="94">
        <f t="shared" si="56"/>
        <v>0</v>
      </c>
      <c r="W33" s="94">
        <f t="shared" si="56"/>
        <v>-31.1</v>
      </c>
      <c r="X33" s="94">
        <f t="shared" ref="X33:AF33" si="57">SUM(X28,X31)</f>
        <v>-17.078413444826644</v>
      </c>
      <c r="Y33" s="94">
        <f t="shared" si="57"/>
        <v>-13.894359973722128</v>
      </c>
      <c r="Z33" s="94">
        <f t="shared" si="57"/>
        <v>-15.496504831266854</v>
      </c>
      <c r="AA33" s="94">
        <f t="shared" si="57"/>
        <v>-17.040180871583285</v>
      </c>
      <c r="AB33" s="94">
        <f t="shared" si="57"/>
        <v>-16.614854934485255</v>
      </c>
      <c r="AC33" s="94">
        <f t="shared" si="57"/>
        <v>-12.471469096533117</v>
      </c>
      <c r="AD33" s="94">
        <f t="shared" si="57"/>
        <v>-10.453991528021406</v>
      </c>
      <c r="AE33" s="94">
        <f t="shared" si="57"/>
        <v>-11.446951424276358</v>
      </c>
      <c r="AF33" s="94">
        <f t="shared" si="57"/>
        <v>-15.437658601324962</v>
      </c>
      <c r="AH33" s="94">
        <f t="shared" ref="AH33:AU33" si="58">SUM(AH28,AH31)</f>
        <v>0</v>
      </c>
      <c r="AI33" s="94">
        <f t="shared" si="58"/>
        <v>0</v>
      </c>
      <c r="AJ33" s="94">
        <f t="shared" si="58"/>
        <v>0</v>
      </c>
      <c r="AK33" s="94">
        <f t="shared" si="58"/>
        <v>0</v>
      </c>
      <c r="AL33" s="94">
        <f t="shared" si="58"/>
        <v>-31.1</v>
      </c>
      <c r="AM33" s="94">
        <f t="shared" si="58"/>
        <v>-46.962127570751903</v>
      </c>
      <c r="AN33" s="94">
        <f t="shared" si="58"/>
        <v>-59.3640047333434</v>
      </c>
      <c r="AO33" s="94">
        <f t="shared" si="58"/>
        <v>-73.507002906483763</v>
      </c>
      <c r="AP33" s="94">
        <f t="shared" si="58"/>
        <v>-89.327581464830274</v>
      </c>
      <c r="AQ33" s="94">
        <f t="shared" si="58"/>
        <v>-104.68593969277066</v>
      </c>
      <c r="AR33" s="94">
        <f t="shared" si="58"/>
        <v>-115.54149899881777</v>
      </c>
      <c r="AS33" s="94">
        <f t="shared" si="58"/>
        <v>-124.20457704057395</v>
      </c>
      <c r="AT33" s="94">
        <f t="shared" si="58"/>
        <v>-133.94674810557362</v>
      </c>
      <c r="AU33" s="94">
        <f t="shared" si="58"/>
        <v>-148.02579550243999</v>
      </c>
    </row>
    <row r="34" spans="2:47">
      <c r="B34" s="66" t="s">
        <v>178</v>
      </c>
      <c r="C34" s="67">
        <f>C33/C$7</f>
        <v>-0.40450918551375536</v>
      </c>
      <c r="D34" s="67">
        <f>D33/D$7</f>
        <v>0.13686507781940582</v>
      </c>
      <c r="E34" s="67">
        <f>E33/E$7</f>
        <v>0.29425260413496829</v>
      </c>
      <c r="J34" s="66" t="s">
        <v>178</v>
      </c>
      <c r="K34" s="67">
        <f>K33/K$7</f>
        <v>-0.78213806858352031</v>
      </c>
      <c r="L34" s="67">
        <f>L33/L$7</f>
        <v>9.7342232190640796E-2</v>
      </c>
      <c r="M34" s="67">
        <f>M33/M$7</f>
        <v>0.15029442088425266</v>
      </c>
      <c r="S34" s="67" t="e">
        <f t="shared" ref="S34" si="59">S33/S$7</f>
        <v>#DIV/0!</v>
      </c>
      <c r="T34" s="67" t="e">
        <f t="shared" ref="T34" si="60">T33/T$7</f>
        <v>#DIV/0!</v>
      </c>
      <c r="U34" s="67" t="e">
        <f t="shared" ref="U34" si="61">U33/U$7</f>
        <v>#DIV/0!</v>
      </c>
      <c r="V34" s="67" t="e">
        <f t="shared" ref="V34" si="62">V33/V$7</f>
        <v>#DIV/0!</v>
      </c>
      <c r="W34" s="67" t="e">
        <f t="shared" ref="W34" si="63">W33/W$7</f>
        <v>#DIV/0!</v>
      </c>
      <c r="X34" s="67">
        <f t="shared" ref="X34:AF34" si="64">X33/X$7</f>
        <v>-0.88717003742325984</v>
      </c>
      <c r="Y34" s="67">
        <f t="shared" si="64"/>
        <v>-0.58819890814151199</v>
      </c>
      <c r="Z34" s="67">
        <f t="shared" si="64"/>
        <v>-0.72338311148144108</v>
      </c>
      <c r="AA34" s="67">
        <f t="shared" si="64"/>
        <v>-0.88277691276066639</v>
      </c>
      <c r="AB34" s="67">
        <f t="shared" si="64"/>
        <v>-0.83546874001704219</v>
      </c>
      <c r="AC34" s="67">
        <f t="shared" si="64"/>
        <v>-0.48763571728565624</v>
      </c>
      <c r="AD34" s="67">
        <f t="shared" si="64"/>
        <v>-0.36880987649547153</v>
      </c>
      <c r="AE34" s="67">
        <f t="shared" si="64"/>
        <v>-0.42424468719624331</v>
      </c>
      <c r="AF34" s="67">
        <f t="shared" si="64"/>
        <v>-0.71792858623180855</v>
      </c>
      <c r="AH34" s="67" t="e">
        <f t="shared" ref="AH34:AU34" si="65">AH33/AH$7</f>
        <v>#DIV/0!</v>
      </c>
      <c r="AI34" s="67" t="e">
        <f t="shared" si="65"/>
        <v>#DIV/0!</v>
      </c>
      <c r="AJ34" s="67" t="e">
        <f t="shared" si="65"/>
        <v>#DIV/0!</v>
      </c>
      <c r="AK34" s="67" t="e">
        <f t="shared" si="65"/>
        <v>#DIV/0!</v>
      </c>
      <c r="AL34" s="67" t="e">
        <f t="shared" si="65"/>
        <v>#DIV/0!</v>
      </c>
      <c r="AM34" s="67">
        <f t="shared" si="65"/>
        <v>-2.4395353004549993</v>
      </c>
      <c r="AN34" s="67">
        <f t="shared" si="65"/>
        <v>-1.3846699798875692</v>
      </c>
      <c r="AO34" s="67">
        <f t="shared" si="65"/>
        <v>-1.1432846289770124</v>
      </c>
      <c r="AP34" s="67">
        <f t="shared" si="65"/>
        <v>-1.0685435912801258</v>
      </c>
      <c r="AQ34" s="67">
        <f t="shared" si="65"/>
        <v>-1.0116110823129023</v>
      </c>
      <c r="AR34" s="67">
        <f t="shared" si="65"/>
        <v>-0.89525583866936531</v>
      </c>
      <c r="AS34" s="67">
        <f t="shared" si="65"/>
        <v>-0.78907664203914185</v>
      </c>
      <c r="AT34" s="67">
        <f t="shared" si="65"/>
        <v>-0.72644388945776983</v>
      </c>
      <c r="AU34" s="67">
        <f t="shared" si="65"/>
        <v>-0.71895583049646095</v>
      </c>
    </row>
    <row r="37" spans="2:47">
      <c r="B37" t="s">
        <v>179</v>
      </c>
      <c r="C37" s="137">
        <f>C19</f>
        <v>-311</v>
      </c>
      <c r="F37" s="138" t="s">
        <v>220</v>
      </c>
      <c r="J37" t="s">
        <v>179</v>
      </c>
      <c r="K37" s="137">
        <f>K19</f>
        <v>-311</v>
      </c>
      <c r="N37" s="138" t="s">
        <v>220</v>
      </c>
    </row>
    <row r="44" spans="2:47">
      <c r="B44" t="s">
        <v>181</v>
      </c>
    </row>
    <row r="46" spans="2:47">
      <c r="B46" t="s">
        <v>206</v>
      </c>
      <c r="C46" s="138"/>
      <c r="D46" s="138"/>
      <c r="E46" s="138"/>
    </row>
    <row r="47" spans="2:47">
      <c r="B47" t="s">
        <v>207</v>
      </c>
      <c r="C47" s="139">
        <v>0.02</v>
      </c>
      <c r="D47" s="139">
        <v>2.5000000000000001E-2</v>
      </c>
      <c r="E47" s="139">
        <v>0.03</v>
      </c>
    </row>
    <row r="49" spans="2:5">
      <c r="B49" t="s">
        <v>168</v>
      </c>
      <c r="C49" s="138"/>
      <c r="D49" s="138"/>
      <c r="E49" s="138"/>
    </row>
    <row r="50" spans="2:5">
      <c r="B50" t="s">
        <v>169</v>
      </c>
      <c r="C50" s="138"/>
      <c r="D50" s="138"/>
      <c r="E50" s="138"/>
    </row>
    <row r="52" spans="2:5">
      <c r="B52" t="s">
        <v>173</v>
      </c>
      <c r="C52" s="138"/>
      <c r="D52" s="138"/>
      <c r="E52" s="138"/>
    </row>
    <row r="54" spans="2:5">
      <c r="B54" t="s">
        <v>176</v>
      </c>
      <c r="C54" s="138"/>
      <c r="D54" s="138"/>
      <c r="E54" s="138"/>
    </row>
  </sheetData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1C56-DB28-4F18-A67D-D3E8033FD169}">
  <sheetPr>
    <tabColor rgb="FF92D050"/>
  </sheetPr>
  <dimension ref="B2:BI77"/>
  <sheetViews>
    <sheetView showGridLines="0" zoomScaleNormal="100" workbookViewId="0">
      <selection activeCell="P73" sqref="P73:Q74"/>
    </sheetView>
  </sheetViews>
  <sheetFormatPr defaultColWidth="8.85546875" defaultRowHeight="15" outlineLevelRow="1"/>
  <cols>
    <col min="2" max="2" width="42.42578125" customWidth="1"/>
    <col min="3" max="21" width="15.140625" style="2" customWidth="1"/>
    <col min="23" max="41" width="15.140625" style="2" customWidth="1"/>
    <col min="43" max="61" width="15.140625" style="2" customWidth="1"/>
  </cols>
  <sheetData>
    <row r="2" spans="2:61">
      <c r="B2" s="74"/>
      <c r="C2" s="74">
        <v>2026</v>
      </c>
      <c r="D2" s="74">
        <v>2026</v>
      </c>
      <c r="E2" s="74">
        <v>2026</v>
      </c>
      <c r="F2" s="74">
        <v>2026</v>
      </c>
      <c r="G2" s="74">
        <v>2026</v>
      </c>
      <c r="H2" s="74">
        <v>2026</v>
      </c>
      <c r="I2" s="74">
        <v>2026</v>
      </c>
      <c r="J2" s="74">
        <v>2026</v>
      </c>
      <c r="K2" s="74">
        <v>2026</v>
      </c>
      <c r="L2" s="74">
        <v>2026</v>
      </c>
      <c r="M2" s="74">
        <v>2026</v>
      </c>
      <c r="N2" s="74">
        <v>2026</v>
      </c>
      <c r="O2" s="74">
        <v>2026</v>
      </c>
      <c r="P2" s="74">
        <v>2026</v>
      </c>
      <c r="Q2" s="74">
        <v>2026</v>
      </c>
      <c r="R2" s="74">
        <v>2026</v>
      </c>
      <c r="S2" s="74">
        <v>2026</v>
      </c>
      <c r="T2" s="74">
        <v>2026</v>
      </c>
      <c r="U2" s="74">
        <v>2026</v>
      </c>
      <c r="W2" s="74">
        <v>2027</v>
      </c>
      <c r="X2" s="74">
        <v>2027</v>
      </c>
      <c r="Y2" s="74">
        <v>2027</v>
      </c>
      <c r="Z2" s="74">
        <v>2027</v>
      </c>
      <c r="AA2" s="74">
        <v>2027</v>
      </c>
      <c r="AB2" s="74">
        <v>2027</v>
      </c>
      <c r="AC2" s="74">
        <v>2027</v>
      </c>
      <c r="AD2" s="74">
        <v>2027</v>
      </c>
      <c r="AE2" s="74">
        <v>2027</v>
      </c>
      <c r="AF2" s="74">
        <v>2027</v>
      </c>
      <c r="AG2" s="74">
        <v>2027</v>
      </c>
      <c r="AH2" s="74">
        <v>2027</v>
      </c>
      <c r="AI2" s="74">
        <v>2027</v>
      </c>
      <c r="AJ2" s="74">
        <v>2027</v>
      </c>
      <c r="AK2" s="74">
        <v>2027</v>
      </c>
      <c r="AL2" s="74">
        <v>2027</v>
      </c>
      <c r="AM2" s="74">
        <v>2027</v>
      </c>
      <c r="AN2" s="74">
        <v>2027</v>
      </c>
      <c r="AO2" s="74">
        <v>2027</v>
      </c>
      <c r="AQ2" s="74">
        <v>2028</v>
      </c>
      <c r="AR2" s="74">
        <v>2028</v>
      </c>
      <c r="AS2" s="74">
        <v>2028</v>
      </c>
      <c r="AT2" s="74">
        <v>2028</v>
      </c>
      <c r="AU2" s="74">
        <v>2028</v>
      </c>
      <c r="AV2" s="74">
        <v>2028</v>
      </c>
      <c r="AW2" s="74">
        <v>2028</v>
      </c>
      <c r="AX2" s="74">
        <v>2028</v>
      </c>
      <c r="AY2" s="74">
        <v>2028</v>
      </c>
      <c r="AZ2" s="74">
        <v>2028</v>
      </c>
      <c r="BA2" s="74">
        <v>2028</v>
      </c>
      <c r="BB2" s="74">
        <v>2028</v>
      </c>
      <c r="BC2" s="74">
        <v>2028</v>
      </c>
      <c r="BD2" s="74">
        <v>2028</v>
      </c>
      <c r="BE2" s="74">
        <v>2028</v>
      </c>
      <c r="BF2" s="74">
        <v>2028</v>
      </c>
      <c r="BG2" s="74">
        <v>2028</v>
      </c>
      <c r="BH2" s="74">
        <v>2028</v>
      </c>
      <c r="BI2" s="74">
        <v>2028</v>
      </c>
    </row>
    <row r="3" spans="2:61" ht="30">
      <c r="B3" s="68" t="s">
        <v>221</v>
      </c>
      <c r="C3" s="68" t="s">
        <v>29</v>
      </c>
      <c r="D3" s="68" t="s">
        <v>42</v>
      </c>
      <c r="E3" s="68" t="s">
        <v>44</v>
      </c>
      <c r="F3" s="68" t="s">
        <v>222</v>
      </c>
      <c r="G3" s="68" t="s">
        <v>66</v>
      </c>
      <c r="H3" s="68" t="s">
        <v>68</v>
      </c>
      <c r="I3" s="143" t="s">
        <v>69</v>
      </c>
      <c r="J3" s="143" t="s">
        <v>74</v>
      </c>
      <c r="K3" s="143" t="s">
        <v>223</v>
      </c>
      <c r="L3" s="143" t="s">
        <v>83</v>
      </c>
      <c r="M3" s="143" t="s">
        <v>224</v>
      </c>
      <c r="N3" s="143" t="s">
        <v>225</v>
      </c>
      <c r="O3" s="143" t="s">
        <v>226</v>
      </c>
      <c r="P3" s="143" t="s">
        <v>227</v>
      </c>
      <c r="Q3" s="143" t="s">
        <v>102</v>
      </c>
      <c r="R3" s="143" t="s">
        <v>105</v>
      </c>
      <c r="S3" s="143" t="s">
        <v>108</v>
      </c>
      <c r="T3" s="143" t="s">
        <v>110</v>
      </c>
      <c r="U3" s="143" t="s">
        <v>115</v>
      </c>
      <c r="W3" s="68" t="s">
        <v>29</v>
      </c>
      <c r="X3" s="68" t="s">
        <v>42</v>
      </c>
      <c r="Y3" s="68" t="s">
        <v>44</v>
      </c>
      <c r="Z3" s="68" t="s">
        <v>222</v>
      </c>
      <c r="AA3" s="68" t="s">
        <v>66</v>
      </c>
      <c r="AB3" s="68" t="s">
        <v>68</v>
      </c>
      <c r="AC3" s="143" t="s">
        <v>69</v>
      </c>
      <c r="AD3" s="143" t="s">
        <v>74</v>
      </c>
      <c r="AE3" s="143" t="s">
        <v>223</v>
      </c>
      <c r="AF3" s="143" t="s">
        <v>83</v>
      </c>
      <c r="AG3" s="143" t="s">
        <v>224</v>
      </c>
      <c r="AH3" s="143" t="s">
        <v>225</v>
      </c>
      <c r="AI3" s="143" t="s">
        <v>226</v>
      </c>
      <c r="AJ3" s="143" t="s">
        <v>227</v>
      </c>
      <c r="AK3" s="143" t="s">
        <v>102</v>
      </c>
      <c r="AL3" s="143" t="s">
        <v>105</v>
      </c>
      <c r="AM3" s="143" t="s">
        <v>108</v>
      </c>
      <c r="AN3" s="143" t="s">
        <v>110</v>
      </c>
      <c r="AO3" s="143" t="s">
        <v>115</v>
      </c>
      <c r="AQ3" s="68" t="s">
        <v>29</v>
      </c>
      <c r="AR3" s="68" t="s">
        <v>42</v>
      </c>
      <c r="AS3" s="68" t="s">
        <v>44</v>
      </c>
      <c r="AT3" s="68" t="s">
        <v>222</v>
      </c>
      <c r="AU3" s="68" t="s">
        <v>66</v>
      </c>
      <c r="AV3" s="68" t="s">
        <v>68</v>
      </c>
      <c r="AW3" s="143" t="s">
        <v>69</v>
      </c>
      <c r="AX3" s="143" t="s">
        <v>74</v>
      </c>
      <c r="AY3" s="143" t="s">
        <v>223</v>
      </c>
      <c r="AZ3" s="143" t="s">
        <v>83</v>
      </c>
      <c r="BA3" s="143" t="s">
        <v>224</v>
      </c>
      <c r="BB3" s="143" t="s">
        <v>225</v>
      </c>
      <c r="BC3" s="143" t="s">
        <v>226</v>
      </c>
      <c r="BD3" s="143" t="s">
        <v>227</v>
      </c>
      <c r="BE3" s="143" t="s">
        <v>102</v>
      </c>
      <c r="BF3" s="143" t="s">
        <v>105</v>
      </c>
      <c r="BG3" s="143" t="s">
        <v>108</v>
      </c>
      <c r="BH3" s="143" t="s">
        <v>110</v>
      </c>
      <c r="BI3" s="143" t="s">
        <v>115</v>
      </c>
    </row>
    <row r="4" spans="2:61" ht="6" customHeight="1" outlineLevel="1">
      <c r="B4" s="49"/>
      <c r="C4" s="3"/>
      <c r="D4" s="3"/>
      <c r="E4" s="10"/>
      <c r="F4" s="3"/>
      <c r="G4" s="10"/>
      <c r="H4"/>
      <c r="I4"/>
      <c r="J4"/>
      <c r="K4"/>
      <c r="L4"/>
      <c r="M4"/>
      <c r="N4"/>
      <c r="O4"/>
      <c r="P4"/>
      <c r="Q4"/>
      <c r="R4"/>
      <c r="S4"/>
      <c r="T4"/>
      <c r="U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2:61" outlineLevel="1">
      <c r="B5" s="45" t="s">
        <v>228</v>
      </c>
      <c r="C5" s="46">
        <f>C$11*'3YP'!E5/'3YP'!E$11</f>
        <v>161.6297877814566</v>
      </c>
      <c r="D5" s="46">
        <f>D47/2</f>
        <v>42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>
        <f>T$47*'3YP'!E5/'3YP'!E$45</f>
        <v>52.863187499999995</v>
      </c>
      <c r="U5" s="46">
        <f>U$47*'3YP'!E5/'3YP'!E$45</f>
        <v>70.484250000000003</v>
      </c>
      <c r="W5" s="46">
        <f>W$11*'3YP'!F5/'3YP'!F$11</f>
        <v>377.37646664694671</v>
      </c>
      <c r="X5" s="46">
        <f>X47/2</f>
        <v>168</v>
      </c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>
        <f>AN$47*'3YP'!F5/'3YP'!F$45</f>
        <v>185.02115625000002</v>
      </c>
      <c r="AO5" s="46">
        <f>AO$47*'3YP'!F5/'3YP'!F$45</f>
        <v>92.510578125000009</v>
      </c>
      <c r="AQ5" s="46">
        <f>AQ$11*'3YP'!G5/'3YP'!G$11</f>
        <v>623.55813057206774</v>
      </c>
      <c r="AR5" s="46">
        <f>AR47/2</f>
        <v>322</v>
      </c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>
        <f>BH$47*'3YP'!G5/'3YP'!G$45</f>
        <v>230.90640299999998</v>
      </c>
      <c r="BI5" s="46">
        <f>BI$47*'3YP'!G5/'3YP'!G$45</f>
        <v>115.45320149999999</v>
      </c>
    </row>
    <row r="6" spans="2:61" outlineLevel="1">
      <c r="B6" s="45" t="s">
        <v>229</v>
      </c>
      <c r="C6" s="46">
        <f>C$11*'3YP'!E6/'3YP'!E$11</f>
        <v>65.798023185424057</v>
      </c>
      <c r="D6" s="46">
        <f>D47/2</f>
        <v>42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>
        <f>T$47*'3YP'!E6/'3YP'!E$45</f>
        <v>21.520125</v>
      </c>
      <c r="U6" s="46">
        <f>U$47*'3YP'!E6/'3YP'!E$45</f>
        <v>28.693500000000007</v>
      </c>
      <c r="W6" s="46">
        <f>W$11*'3YP'!F6/'3YP'!F$11</f>
        <v>153.62654274868737</v>
      </c>
      <c r="X6" s="46">
        <f>X47/2</f>
        <v>168</v>
      </c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>
        <f>AN$47*'3YP'!F6/'3YP'!F$45</f>
        <v>75.320437500000011</v>
      </c>
      <c r="AO6" s="46">
        <f>AO$47*'3YP'!F6/'3YP'!F$45</f>
        <v>37.660218750000006</v>
      </c>
      <c r="AQ6" s="46">
        <f>AQ$11*'3YP'!G6/'3YP'!G$11</f>
        <v>253.84486916679438</v>
      </c>
      <c r="AR6" s="46">
        <f>AR47/2</f>
        <v>322</v>
      </c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>
        <f>BH$47*'3YP'!G6/'3YP'!G$45</f>
        <v>93.999905999999996</v>
      </c>
      <c r="BI6" s="46">
        <f>BI$47*'3YP'!G6/'3YP'!G$45</f>
        <v>46.999952999999998</v>
      </c>
    </row>
    <row r="7" spans="2:61" outlineLevel="1">
      <c r="B7" s="45" t="s">
        <v>230</v>
      </c>
      <c r="C7" s="46">
        <f>C$11*'3YP'!E7/'3YP'!E$11</f>
        <v>26.545885510664966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>
        <f>T$47*'3YP'!E7/'3YP'!E$45</f>
        <v>8.6821874999999995</v>
      </c>
      <c r="U7" s="46">
        <f>U$47*'3YP'!E7/'3YP'!E$45</f>
        <v>11.57625</v>
      </c>
      <c r="W7" s="46">
        <f>W$11*'3YP'!F7/'3YP'!F$11</f>
        <v>63.750718612529674</v>
      </c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>
        <f>AN$47*'3YP'!F7/'3YP'!F$45</f>
        <v>31.255875000000003</v>
      </c>
      <c r="AO7" s="46">
        <f>AO$47*'3YP'!F7/'3YP'!F$45</f>
        <v>15.627937500000002</v>
      </c>
      <c r="AQ7" s="46">
        <f>AQ$11*'3YP'!G7/'3YP'!G$11</f>
        <v>108.37713235679388</v>
      </c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>
        <f>BH$47*'3YP'!G7/'3YP'!G$45</f>
        <v>40.132543499999997</v>
      </c>
      <c r="BI7" s="46">
        <f>BI$47*'3YP'!G7/'3YP'!G$45</f>
        <v>20.066271749999999</v>
      </c>
    </row>
    <row r="8" spans="2:61" outlineLevel="1">
      <c r="B8" s="45" t="s">
        <v>231</v>
      </c>
      <c r="C8" s="46">
        <f>C$11*'3YP'!E8/'3YP'!E$11</f>
        <v>7.8253177242323027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>
        <f>T$47*'3YP'!E8/'3YP'!E$45</f>
        <v>2.5593749999999997</v>
      </c>
      <c r="U8" s="46">
        <f>U$47*'3YP'!E8/'3YP'!E$45</f>
        <v>3.4125000000000005</v>
      </c>
      <c r="W8" s="46">
        <f>W$11*'3YP'!F8/'3YP'!F$11</f>
        <v>24.360944796087175</v>
      </c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>
        <f>AN$47*'3YP'!F8/'3YP'!F$45</f>
        <v>11.943750000000001</v>
      </c>
      <c r="AO8" s="46">
        <f>AO$47*'3YP'!F8/'3YP'!F$45</f>
        <v>5.9718750000000007</v>
      </c>
      <c r="AQ8" s="46">
        <f>AQ$11*'3YP'!G8/'3YP'!G$11</f>
        <v>50.316019077008477</v>
      </c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>
        <f>BH$47*'3YP'!G8/'3YP'!G$45</f>
        <v>18.632249999999996</v>
      </c>
      <c r="BI8" s="46">
        <f>BI$47*'3YP'!G8/'3YP'!G$45</f>
        <v>9.3161249999999978</v>
      </c>
    </row>
    <row r="9" spans="2:61" outlineLevel="1">
      <c r="B9" s="45" t="s">
        <v>232</v>
      </c>
      <c r="C9" s="46">
        <f>C$11*'3YP'!E9/'3YP'!E$11</f>
        <v>5.4682632316915623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>
        <f>T$47*'3YP'!E9/'3YP'!E$45</f>
        <v>1.7884687499999998</v>
      </c>
      <c r="U9" s="46">
        <f>U$47*'3YP'!E9/'3YP'!E$45</f>
        <v>2.3846250000000002</v>
      </c>
      <c r="W9" s="46">
        <f>W$11*'3YP'!F9/'3YP'!F$11</f>
        <v>21.886989507454707</v>
      </c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>
        <f>AN$47*'3YP'!F9/'3YP'!F$45</f>
        <v>10.730812499999999</v>
      </c>
      <c r="AO9" s="46">
        <f>AO$47*'3YP'!F9/'3YP'!F$45</f>
        <v>5.3654062499999995</v>
      </c>
      <c r="AQ9" s="46">
        <f>AQ$11*'3YP'!G9/'3YP'!G$11</f>
        <v>55.638422176959729</v>
      </c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>
        <f>BH$47*'3YP'!G9/'3YP'!G$45</f>
        <v>20.603159999999995</v>
      </c>
      <c r="BI9" s="46">
        <f>BI$47*'3YP'!G9/'3YP'!G$45</f>
        <v>10.301579999999998</v>
      </c>
    </row>
    <row r="10" spans="2:61" outlineLevel="1">
      <c r="B10" s="45" t="s">
        <v>233</v>
      </c>
      <c r="C10" s="46">
        <f>C$11*'3YP'!E10/'3YP'!E$11</f>
        <v>2.3217975665304635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>
        <f>T$47*'3YP'!E10/'3YP'!E$45</f>
        <v>0.75937499999999991</v>
      </c>
      <c r="U10" s="46">
        <f>U$47*'3YP'!E10/'3YP'!E$45</f>
        <v>1.0125000000000002</v>
      </c>
      <c r="W10" s="46">
        <f>W$11*'3YP'!F10/'3YP'!F$11</f>
        <v>10.325675188294406</v>
      </c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>
        <f>AN$47*'3YP'!F10/'3YP'!F$45</f>
        <v>5.0625000000000009</v>
      </c>
      <c r="AO10" s="46">
        <f>AO$47*'3YP'!F10/'3YP'!F$45</f>
        <v>2.5312500000000004</v>
      </c>
      <c r="AQ10" s="46">
        <f>AQ$11*'3YP'!G10/'3YP'!G$11</f>
        <v>29.529749150375704</v>
      </c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>
        <f>BH$47*'3YP'!G10/'3YP'!G$45</f>
        <v>10.934999999999999</v>
      </c>
      <c r="BI10" s="46">
        <f>BI$47*'3YP'!G10/'3YP'!G$45</f>
        <v>5.4674999999999994</v>
      </c>
    </row>
    <row r="11" spans="2:61" outlineLevel="1">
      <c r="B11" s="47" t="s">
        <v>31</v>
      </c>
      <c r="C11" s="48">
        <f>C47</f>
        <v>269.58907499999998</v>
      </c>
      <c r="D11" s="48">
        <f>D47</f>
        <v>84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>
        <f>SUM(T5:T10)</f>
        <v>88.172718750000001</v>
      </c>
      <c r="U11" s="48">
        <f>SUM(U5:U10)</f>
        <v>117.563625</v>
      </c>
      <c r="W11" s="48">
        <f>W47</f>
        <v>651.3273375</v>
      </c>
      <c r="X11" s="48">
        <f>X47</f>
        <v>336</v>
      </c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>
        <f>SUM(AN5:AN10)</f>
        <v>319.33453125000005</v>
      </c>
      <c r="AO11" s="48">
        <f>SUM(AO5:AO10)</f>
        <v>159.66726562500003</v>
      </c>
      <c r="AQ11" s="48">
        <f>AQ47</f>
        <v>1121.2643224999999</v>
      </c>
      <c r="AR11" s="48">
        <f>AR47</f>
        <v>644</v>
      </c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>
        <f>SUM(BH5:BH10)</f>
        <v>415.20926249999997</v>
      </c>
      <c r="BI11" s="48">
        <f>SUM(BI5:BI10)</f>
        <v>207.60463124999998</v>
      </c>
    </row>
    <row r="12" spans="2:61" ht="6" customHeight="1" outlineLevel="1">
      <c r="B12" s="49"/>
      <c r="C12" s="3"/>
      <c r="D12" s="3"/>
      <c r="E12" s="10"/>
      <c r="F12" s="3"/>
      <c r="G12" s="10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</row>
    <row r="13" spans="2:61" outlineLevel="1">
      <c r="B13" s="44" t="s">
        <v>234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>
        <f>T$47*'3YP'!E13/'3YP'!E$45</f>
        <v>3.6191249999999999</v>
      </c>
      <c r="U13" s="46">
        <f>U$47*'3YP'!E13/'3YP'!E$45</f>
        <v>4.8255000000000008</v>
      </c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>
        <f>AN$47*'3YP'!F13/'3YP'!F$45</f>
        <v>18.095624999999998</v>
      </c>
      <c r="AO13" s="46">
        <f>AO$47*'3YP'!F13/'3YP'!F$45</f>
        <v>9.0478124999999991</v>
      </c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>
        <f>BH$47*'3YP'!G13/'3YP'!G$45</f>
        <v>30.400649999999992</v>
      </c>
      <c r="BI13" s="46">
        <f>BI$47*'3YP'!G13/'3YP'!G$45</f>
        <v>15.200324999999996</v>
      </c>
    </row>
    <row r="14" spans="2:61" outlineLevel="1">
      <c r="B14" s="44" t="s">
        <v>235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>
        <f>T$47*'3YP'!E14/'3YP'!E$45</f>
        <v>1.9687499999999998</v>
      </c>
      <c r="U14" s="46">
        <f>U$47*'3YP'!E14/'3YP'!E$45</f>
        <v>2.625</v>
      </c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>
        <f>AN$47*'3YP'!F14/'3YP'!F$45</f>
        <v>6.5625</v>
      </c>
      <c r="AO14" s="46">
        <f>AO$47*'3YP'!F14/'3YP'!F$45</f>
        <v>3.28125</v>
      </c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>
        <f>BH$47*'3YP'!G14/'3YP'!G$45</f>
        <v>7.8749999999999982</v>
      </c>
      <c r="BI14" s="46">
        <f>BI$47*'3YP'!G14/'3YP'!G$45</f>
        <v>3.9374999999999991</v>
      </c>
    </row>
    <row r="15" spans="2:61" outlineLevel="1">
      <c r="B15" s="51" t="s">
        <v>236</v>
      </c>
      <c r="C15" s="48">
        <f t="shared" ref="C15:D15" si="0">SUM(C13:C14)</f>
        <v>0</v>
      </c>
      <c r="D15" s="48">
        <f t="shared" si="0"/>
        <v>0</v>
      </c>
      <c r="E15" s="48">
        <f t="shared" ref="E15:F15" si="1">SUM(E13:E14)</f>
        <v>0</v>
      </c>
      <c r="F15" s="48">
        <f t="shared" si="1"/>
        <v>0</v>
      </c>
      <c r="G15" s="48">
        <f t="shared" ref="G15:H15" si="2">SUM(G13:G14)</f>
        <v>0</v>
      </c>
      <c r="H15" s="48">
        <f t="shared" si="2"/>
        <v>0</v>
      </c>
      <c r="I15" s="48">
        <f t="shared" ref="I15:J15" si="3">SUM(I13:I14)</f>
        <v>0</v>
      </c>
      <c r="J15" s="48">
        <f t="shared" si="3"/>
        <v>0</v>
      </c>
      <c r="K15" s="48">
        <f t="shared" ref="K15:L15" si="4">SUM(K13:K14)</f>
        <v>0</v>
      </c>
      <c r="L15" s="48">
        <f t="shared" si="4"/>
        <v>0</v>
      </c>
      <c r="M15" s="48">
        <f t="shared" ref="M15:N15" si="5">SUM(M13:M14)</f>
        <v>0</v>
      </c>
      <c r="N15" s="48">
        <f t="shared" si="5"/>
        <v>0</v>
      </c>
      <c r="O15" s="48">
        <f t="shared" ref="O15:P15" si="6">SUM(O13:O14)</f>
        <v>0</v>
      </c>
      <c r="P15" s="48">
        <f t="shared" si="6"/>
        <v>0</v>
      </c>
      <c r="Q15" s="48"/>
      <c r="R15" s="48">
        <f t="shared" ref="R15:S15" si="7">SUM(R13:R14)</f>
        <v>0</v>
      </c>
      <c r="S15" s="48">
        <f t="shared" si="7"/>
        <v>0</v>
      </c>
      <c r="T15" s="48">
        <f t="shared" ref="T15:U15" si="8">SUM(T13:T14)</f>
        <v>5.5878749999999995</v>
      </c>
      <c r="U15" s="48">
        <f t="shared" si="8"/>
        <v>7.4505000000000008</v>
      </c>
      <c r="W15" s="48">
        <f t="shared" ref="W15:AO15" si="9">SUM(W13:W14)</f>
        <v>0</v>
      </c>
      <c r="X15" s="48">
        <f t="shared" si="9"/>
        <v>0</v>
      </c>
      <c r="Y15" s="48">
        <f t="shared" si="9"/>
        <v>0</v>
      </c>
      <c r="Z15" s="48">
        <f t="shared" si="9"/>
        <v>0</v>
      </c>
      <c r="AA15" s="48">
        <f t="shared" si="9"/>
        <v>0</v>
      </c>
      <c r="AB15" s="48">
        <f t="shared" si="9"/>
        <v>0</v>
      </c>
      <c r="AC15" s="48">
        <f t="shared" si="9"/>
        <v>0</v>
      </c>
      <c r="AD15" s="48">
        <f t="shared" si="9"/>
        <v>0</v>
      </c>
      <c r="AE15" s="48">
        <f t="shared" si="9"/>
        <v>0</v>
      </c>
      <c r="AF15" s="48">
        <f t="shared" si="9"/>
        <v>0</v>
      </c>
      <c r="AG15" s="48">
        <f t="shared" si="9"/>
        <v>0</v>
      </c>
      <c r="AH15" s="48">
        <f t="shared" si="9"/>
        <v>0</v>
      </c>
      <c r="AI15" s="48">
        <f t="shared" si="9"/>
        <v>0</v>
      </c>
      <c r="AJ15" s="48">
        <f t="shared" si="9"/>
        <v>0</v>
      </c>
      <c r="AK15" s="48"/>
      <c r="AL15" s="48">
        <f t="shared" si="9"/>
        <v>0</v>
      </c>
      <c r="AM15" s="48">
        <f t="shared" si="9"/>
        <v>0</v>
      </c>
      <c r="AN15" s="48">
        <f t="shared" si="9"/>
        <v>24.658124999999998</v>
      </c>
      <c r="AO15" s="48">
        <f t="shared" si="9"/>
        <v>12.329062499999999</v>
      </c>
      <c r="AQ15" s="48">
        <f t="shared" ref="AQ15:BI15" si="10">SUM(AQ13:AQ14)</f>
        <v>0</v>
      </c>
      <c r="AR15" s="48">
        <f t="shared" si="10"/>
        <v>0</v>
      </c>
      <c r="AS15" s="48">
        <f t="shared" si="10"/>
        <v>0</v>
      </c>
      <c r="AT15" s="48">
        <f t="shared" si="10"/>
        <v>0</v>
      </c>
      <c r="AU15" s="48">
        <f t="shared" si="10"/>
        <v>0</v>
      </c>
      <c r="AV15" s="48">
        <f t="shared" si="10"/>
        <v>0</v>
      </c>
      <c r="AW15" s="48">
        <f t="shared" si="10"/>
        <v>0</v>
      </c>
      <c r="AX15" s="48">
        <f t="shared" si="10"/>
        <v>0</v>
      </c>
      <c r="AY15" s="48">
        <f t="shared" si="10"/>
        <v>0</v>
      </c>
      <c r="AZ15" s="48">
        <f t="shared" si="10"/>
        <v>0</v>
      </c>
      <c r="BA15" s="48">
        <f t="shared" si="10"/>
        <v>0</v>
      </c>
      <c r="BB15" s="48">
        <f t="shared" si="10"/>
        <v>0</v>
      </c>
      <c r="BC15" s="48">
        <f t="shared" si="10"/>
        <v>0</v>
      </c>
      <c r="BD15" s="48">
        <f t="shared" si="10"/>
        <v>0</v>
      </c>
      <c r="BE15" s="48">
        <f t="shared" ref="BE15" si="11">SUM(BE13:BE14)</f>
        <v>0</v>
      </c>
      <c r="BF15" s="48">
        <f t="shared" si="10"/>
        <v>0</v>
      </c>
      <c r="BG15" s="48">
        <f t="shared" si="10"/>
        <v>0</v>
      </c>
      <c r="BH15" s="48">
        <f t="shared" si="10"/>
        <v>38.275649999999992</v>
      </c>
      <c r="BI15" s="48">
        <f t="shared" si="10"/>
        <v>19.137824999999996</v>
      </c>
    </row>
    <row r="16" spans="2:61" ht="6" customHeight="1" outlineLevel="1">
      <c r="B16" s="49"/>
      <c r="C16" s="3"/>
      <c r="D16" s="3"/>
      <c r="E16" s="10"/>
      <c r="F16" s="3"/>
      <c r="G16" s="10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</row>
    <row r="17" spans="2:61" outlineLevel="1">
      <c r="B17" s="45" t="s">
        <v>237</v>
      </c>
      <c r="C17" s="46"/>
      <c r="D17" s="46"/>
      <c r="E17" s="46">
        <f>E47</f>
        <v>1349.5340957999999</v>
      </c>
      <c r="F17" s="46">
        <f>F47-F18</f>
        <v>821.84917800000005</v>
      </c>
      <c r="G17" s="46">
        <f>G47-G18</f>
        <v>90.648081999999988</v>
      </c>
      <c r="H17" s="46">
        <f>H47-H18</f>
        <v>84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>
        <f>T$47*'3YP'!E17/'3YP'!E$45</f>
        <v>11.061472499999999</v>
      </c>
      <c r="U17" s="46">
        <f>U$47*'3YP'!E17/'3YP'!E$45</f>
        <v>14.74863</v>
      </c>
      <c r="W17" s="46"/>
      <c r="X17" s="46"/>
      <c r="Y17" s="46">
        <f>Y47</f>
        <v>2952.95432454</v>
      </c>
      <c r="Z17" s="46">
        <f>Z47-Z18</f>
        <v>1931.5039313999996</v>
      </c>
      <c r="AA17" s="46">
        <f>AA47-AA18</f>
        <v>324.34250659999998</v>
      </c>
      <c r="AB17" s="46">
        <f>AB47-AB18</f>
        <v>336</v>
      </c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>
        <f>AN$47*'3YP'!F17/'3YP'!F$45</f>
        <v>47.933047500000008</v>
      </c>
      <c r="AO17" s="46">
        <f>AO$47*'3YP'!F17/'3YP'!F$45</f>
        <v>23.966523750000004</v>
      </c>
      <c r="AQ17" s="46"/>
      <c r="AR17" s="46"/>
      <c r="AS17" s="46">
        <f>AS47</f>
        <v>3899.2851894479995</v>
      </c>
      <c r="AT17" s="46">
        <f>AT47-AT18</f>
        <v>2563.8047176800001</v>
      </c>
      <c r="AU17" s="46">
        <f>AU47-AU18</f>
        <v>627.21100791999993</v>
      </c>
      <c r="AV17" s="46">
        <f>AV47-AV18</f>
        <v>644</v>
      </c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>
        <f>BH$47*'3YP'!G17/'3YP'!G$45</f>
        <v>69.023588399999994</v>
      </c>
      <c r="BI17" s="46">
        <f>BI$47*'3YP'!G17/'3YP'!G$45</f>
        <v>34.511794199999997</v>
      </c>
    </row>
    <row r="18" spans="2:61" outlineLevel="1">
      <c r="B18" s="45" t="s">
        <v>64</v>
      </c>
      <c r="C18" s="46"/>
      <c r="D18" s="46"/>
      <c r="E18" s="46"/>
      <c r="F18" s="46">
        <f>'2.2 Jaime Contact Book'!C49*(1+'2.2 Jaime Contact Book'!$H$7)</f>
        <v>30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>
        <f>T$47*'3YP'!E18/'3YP'!E$45</f>
        <v>0.22499999999999998</v>
      </c>
      <c r="U18" s="46">
        <f>U$47*'3YP'!E18/'3YP'!E$45</f>
        <v>0.3</v>
      </c>
      <c r="W18" s="46"/>
      <c r="X18" s="46"/>
      <c r="Y18" s="46"/>
      <c r="Z18" s="46">
        <f>'2.2 Jaime Contact Book'!D49*(1+'2.2 Jaime Contact Book'!$H$7)</f>
        <v>150</v>
      </c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>
        <f>AN$47*'3YP'!F18/'3YP'!F$45</f>
        <v>0.75000000000000011</v>
      </c>
      <c r="AO18" s="46">
        <f>AO$47*'3YP'!F18/'3YP'!F$45</f>
        <v>0.37500000000000006</v>
      </c>
      <c r="AQ18" s="46"/>
      <c r="AR18" s="46"/>
      <c r="AS18" s="46"/>
      <c r="AT18" s="46">
        <f>'2.2 Jaime Contact Book'!E49*(1+'2.2 Jaime Contact Book'!$H$7)</f>
        <v>210</v>
      </c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>
        <f>BH$47*'3YP'!G18/'3YP'!G$45</f>
        <v>0.8999999999999998</v>
      </c>
      <c r="BI18" s="46">
        <f>BI$47*'3YP'!G18/'3YP'!G$45</f>
        <v>0.4499999999999999</v>
      </c>
    </row>
    <row r="19" spans="2:61" outlineLevel="1">
      <c r="B19" s="47" t="s">
        <v>238</v>
      </c>
      <c r="C19" s="48">
        <f t="shared" ref="C19:D19" si="12">SUM(C17:C18)</f>
        <v>0</v>
      </c>
      <c r="D19" s="48">
        <f t="shared" si="12"/>
        <v>0</v>
      </c>
      <c r="E19" s="48">
        <f t="shared" ref="E19:F19" si="13">SUM(E17:E18)</f>
        <v>1349.5340957999999</v>
      </c>
      <c r="F19" s="48">
        <f t="shared" si="13"/>
        <v>851.84917800000005</v>
      </c>
      <c r="G19" s="48">
        <f t="shared" ref="G19:H19" si="14">SUM(G17:G18)</f>
        <v>90.648081999999988</v>
      </c>
      <c r="H19" s="48">
        <f t="shared" si="14"/>
        <v>84</v>
      </c>
      <c r="I19" s="48">
        <f t="shared" ref="I19:J19" si="15">SUM(I17:I18)</f>
        <v>0</v>
      </c>
      <c r="J19" s="48">
        <f t="shared" si="15"/>
        <v>0</v>
      </c>
      <c r="K19" s="48">
        <f t="shared" ref="K19:L19" si="16">SUM(K17:K18)</f>
        <v>0</v>
      </c>
      <c r="L19" s="48">
        <f t="shared" si="16"/>
        <v>0</v>
      </c>
      <c r="M19" s="48">
        <f t="shared" ref="M19:N19" si="17">SUM(M17:M18)</f>
        <v>0</v>
      </c>
      <c r="N19" s="48">
        <f t="shared" si="17"/>
        <v>0</v>
      </c>
      <c r="O19" s="48">
        <f t="shared" ref="O19:P19" si="18">SUM(O17:O18)</f>
        <v>0</v>
      </c>
      <c r="P19" s="48">
        <f t="shared" si="18"/>
        <v>0</v>
      </c>
      <c r="Q19" s="48"/>
      <c r="R19" s="48">
        <f t="shared" ref="R19:S19" si="19">SUM(R17:R18)</f>
        <v>0</v>
      </c>
      <c r="S19" s="48">
        <f t="shared" si="19"/>
        <v>0</v>
      </c>
      <c r="T19" s="48">
        <f t="shared" ref="T19:U19" si="20">SUM(T17:T18)</f>
        <v>11.286472499999999</v>
      </c>
      <c r="U19" s="48">
        <f t="shared" si="20"/>
        <v>15.048630000000001</v>
      </c>
      <c r="W19" s="48">
        <f t="shared" ref="W19:AO19" si="21">SUM(W17:W18)</f>
        <v>0</v>
      </c>
      <c r="X19" s="48">
        <f t="shared" si="21"/>
        <v>0</v>
      </c>
      <c r="Y19" s="48">
        <f t="shared" si="21"/>
        <v>2952.95432454</v>
      </c>
      <c r="Z19" s="48">
        <f t="shared" si="21"/>
        <v>2081.5039313999996</v>
      </c>
      <c r="AA19" s="48">
        <f t="shared" si="21"/>
        <v>324.34250659999998</v>
      </c>
      <c r="AB19" s="48">
        <f t="shared" si="21"/>
        <v>336</v>
      </c>
      <c r="AC19" s="48">
        <f t="shared" si="21"/>
        <v>0</v>
      </c>
      <c r="AD19" s="48">
        <f t="shared" si="21"/>
        <v>0</v>
      </c>
      <c r="AE19" s="48">
        <f t="shared" si="21"/>
        <v>0</v>
      </c>
      <c r="AF19" s="48">
        <f t="shared" si="21"/>
        <v>0</v>
      </c>
      <c r="AG19" s="48">
        <f t="shared" si="21"/>
        <v>0</v>
      </c>
      <c r="AH19" s="48">
        <f t="shared" si="21"/>
        <v>0</v>
      </c>
      <c r="AI19" s="48">
        <f t="shared" si="21"/>
        <v>0</v>
      </c>
      <c r="AJ19" s="48">
        <f t="shared" si="21"/>
        <v>0</v>
      </c>
      <c r="AK19" s="48"/>
      <c r="AL19" s="48">
        <f t="shared" si="21"/>
        <v>0</v>
      </c>
      <c r="AM19" s="48">
        <f t="shared" si="21"/>
        <v>0</v>
      </c>
      <c r="AN19" s="48">
        <f t="shared" si="21"/>
        <v>48.683047500000008</v>
      </c>
      <c r="AO19" s="48">
        <f t="shared" si="21"/>
        <v>24.341523750000004</v>
      </c>
      <c r="AQ19" s="48">
        <f t="shared" ref="AQ19:BI19" si="22">SUM(AQ17:AQ18)</f>
        <v>0</v>
      </c>
      <c r="AR19" s="48">
        <f t="shared" si="22"/>
        <v>0</v>
      </c>
      <c r="AS19" s="48">
        <f t="shared" si="22"/>
        <v>3899.2851894479995</v>
      </c>
      <c r="AT19" s="48">
        <f t="shared" si="22"/>
        <v>2773.8047176800001</v>
      </c>
      <c r="AU19" s="48">
        <f t="shared" si="22"/>
        <v>627.21100791999993</v>
      </c>
      <c r="AV19" s="48">
        <f t="shared" si="22"/>
        <v>644</v>
      </c>
      <c r="AW19" s="48">
        <f t="shared" si="22"/>
        <v>0</v>
      </c>
      <c r="AX19" s="48">
        <f t="shared" si="22"/>
        <v>0</v>
      </c>
      <c r="AY19" s="48">
        <f t="shared" si="22"/>
        <v>0</v>
      </c>
      <c r="AZ19" s="48">
        <f t="shared" si="22"/>
        <v>0</v>
      </c>
      <c r="BA19" s="48">
        <f t="shared" si="22"/>
        <v>0</v>
      </c>
      <c r="BB19" s="48">
        <f t="shared" si="22"/>
        <v>0</v>
      </c>
      <c r="BC19" s="48">
        <f t="shared" si="22"/>
        <v>0</v>
      </c>
      <c r="BD19" s="48">
        <f t="shared" si="22"/>
        <v>0</v>
      </c>
      <c r="BE19" s="48">
        <f t="shared" ref="BE19" si="23">SUM(BE17:BE18)</f>
        <v>0</v>
      </c>
      <c r="BF19" s="48">
        <f t="shared" si="22"/>
        <v>0</v>
      </c>
      <c r="BG19" s="48">
        <f t="shared" si="22"/>
        <v>0</v>
      </c>
      <c r="BH19" s="48">
        <f t="shared" si="22"/>
        <v>69.9235884</v>
      </c>
      <c r="BI19" s="48">
        <f t="shared" si="22"/>
        <v>34.9617942</v>
      </c>
    </row>
    <row r="20" spans="2:61" ht="6" customHeight="1" outlineLevel="1">
      <c r="B20" s="49"/>
      <c r="C20" s="3"/>
      <c r="D20" s="3"/>
      <c r="E20" s="10"/>
      <c r="F20" s="3"/>
      <c r="G20" s="1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</row>
    <row r="21" spans="2:61" outlineLevel="1">
      <c r="B21" s="45" t="s">
        <v>239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>
        <f>P$28*'3YP'!E21/'3YP'!E$28</f>
        <v>8.0625</v>
      </c>
      <c r="Q21" s="46"/>
      <c r="R21" s="46"/>
      <c r="S21" s="46"/>
      <c r="T21" s="46">
        <f>T$47*'3YP'!E21/'3YP'!E$45</f>
        <v>4.8374999999999995</v>
      </c>
      <c r="U21" s="46">
        <f>U$47*'3YP'!E21/'3YP'!E$45</f>
        <v>6.4500000000000011</v>
      </c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>
        <f>AJ$28*'3YP'!F21/'3YP'!F$28</f>
        <v>8.2500000000000018</v>
      </c>
      <c r="AK21" s="46"/>
      <c r="AL21" s="46"/>
      <c r="AM21" s="46"/>
      <c r="AN21" s="46">
        <f>AN$47*'3YP'!F21/'3YP'!F$45</f>
        <v>16.5</v>
      </c>
      <c r="AO21" s="46">
        <f>AO$47*'3YP'!F21/'3YP'!F$45</f>
        <v>8.25</v>
      </c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>
        <f>BD$28*'3YP'!G21/'3YP'!G$28</f>
        <v>8.4375</v>
      </c>
      <c r="BE21" s="46"/>
      <c r="BF21" s="46"/>
      <c r="BG21" s="46"/>
      <c r="BH21" s="46">
        <f>BH$47*'3YP'!G21/'3YP'!G$45</f>
        <v>20.249999999999996</v>
      </c>
      <c r="BI21" s="46">
        <f>BI$47*'3YP'!G21/'3YP'!G$45</f>
        <v>10.124999999999998</v>
      </c>
    </row>
    <row r="22" spans="2:61" outlineLevel="1">
      <c r="B22" s="45" t="s">
        <v>240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>
        <f>P$28*'3YP'!E22/'3YP'!E$28</f>
        <v>11.71875</v>
      </c>
      <c r="Q22" s="46"/>
      <c r="R22" s="46"/>
      <c r="S22" s="46"/>
      <c r="T22" s="46">
        <f>T$47*'3YP'!E22/'3YP'!E$45</f>
        <v>7.03125</v>
      </c>
      <c r="U22" s="46">
        <f>U$47*'3YP'!E22/'3YP'!E$45</f>
        <v>9.3750000000000018</v>
      </c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>
        <f>AJ$28*'3YP'!F22/'3YP'!F$28</f>
        <v>12.187500000000002</v>
      </c>
      <c r="AK22" s="46"/>
      <c r="AL22" s="46"/>
      <c r="AM22" s="46"/>
      <c r="AN22" s="46">
        <f>AN$47*'3YP'!F22/'3YP'!F$45</f>
        <v>24.375000000000004</v>
      </c>
      <c r="AO22" s="46">
        <f>AO$47*'3YP'!F22/'3YP'!F$45</f>
        <v>12.187500000000002</v>
      </c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>
        <f>BD$28*'3YP'!G22/'3YP'!G$28</f>
        <v>12.65625</v>
      </c>
      <c r="BE22" s="46"/>
      <c r="BF22" s="46"/>
      <c r="BG22" s="46"/>
      <c r="BH22" s="46">
        <f>BH$47*'3YP'!G22/'3YP'!G$45</f>
        <v>30.375</v>
      </c>
      <c r="BI22" s="46">
        <f>BI$47*'3YP'!G22/'3YP'!G$45</f>
        <v>15.1875</v>
      </c>
    </row>
    <row r="23" spans="2:61" outlineLevel="1">
      <c r="B23" s="45" t="s">
        <v>241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>
        <f>P$28*'3YP'!E23/'3YP'!E$28</f>
        <v>6.5625</v>
      </c>
      <c r="Q23" s="46"/>
      <c r="R23" s="46"/>
      <c r="S23" s="46"/>
      <c r="T23" s="46">
        <f>T$47*'3YP'!E23/'3YP'!E$45</f>
        <v>3.9374999999999996</v>
      </c>
      <c r="U23" s="46">
        <f>U$47*'3YP'!E23/'3YP'!E$45</f>
        <v>5.25</v>
      </c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>
        <f>AJ$28*'3YP'!F23/'3YP'!F$28</f>
        <v>7.1250000000000009</v>
      </c>
      <c r="AK23" s="46"/>
      <c r="AL23" s="46"/>
      <c r="AM23" s="46"/>
      <c r="AN23" s="46">
        <f>AN$47*'3YP'!F23/'3YP'!F$45</f>
        <v>14.250000000000002</v>
      </c>
      <c r="AO23" s="46">
        <f>AO$47*'3YP'!F23/'3YP'!F$45</f>
        <v>7.1250000000000009</v>
      </c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>
        <f>BD$28*'3YP'!G23/'3YP'!G$28</f>
        <v>7.875</v>
      </c>
      <c r="BE23" s="46"/>
      <c r="BF23" s="46"/>
      <c r="BG23" s="46"/>
      <c r="BH23" s="46">
        <f>BH$47*'3YP'!G23/'3YP'!G$45</f>
        <v>18.899999999999995</v>
      </c>
      <c r="BI23" s="46">
        <f>BI$47*'3YP'!G23/'3YP'!G$45</f>
        <v>9.4499999999999975</v>
      </c>
    </row>
    <row r="24" spans="2:61" outlineLevel="1">
      <c r="B24" s="45" t="s">
        <v>242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>
        <f>P$28*'3YP'!E24/'3YP'!E$28</f>
        <v>8.578125</v>
      </c>
      <c r="Q24" s="46"/>
      <c r="R24" s="46"/>
      <c r="S24" s="46"/>
      <c r="T24" s="46">
        <f>T$47*'3YP'!E24/'3YP'!E$45</f>
        <v>5.1468749999999996</v>
      </c>
      <c r="U24" s="46">
        <f>U$47*'3YP'!E24/'3YP'!E$45</f>
        <v>6.8625000000000007</v>
      </c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>
        <f>AJ$28*'3YP'!F24/'3YP'!F$28</f>
        <v>9.7500000000000018</v>
      </c>
      <c r="AK24" s="46"/>
      <c r="AL24" s="46"/>
      <c r="AM24" s="46"/>
      <c r="AN24" s="46">
        <f>AN$47*'3YP'!F24/'3YP'!F$45</f>
        <v>19.5</v>
      </c>
      <c r="AO24" s="46">
        <f>AO$47*'3YP'!F24/'3YP'!F$45</f>
        <v>9.75</v>
      </c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>
        <f>BD$28*'3YP'!G24/'3YP'!G$28</f>
        <v>11.71875</v>
      </c>
      <c r="BE24" s="46"/>
      <c r="BF24" s="46"/>
      <c r="BG24" s="46"/>
      <c r="BH24" s="46">
        <f>BH$47*'3YP'!G24/'3YP'!G$45</f>
        <v>28.124999999999996</v>
      </c>
      <c r="BI24" s="46">
        <f>BI$47*'3YP'!G24/'3YP'!G$45</f>
        <v>14.062499999999998</v>
      </c>
    </row>
    <row r="25" spans="2:61" outlineLevel="1">
      <c r="B25" s="45" t="s">
        <v>243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>
        <f>P$28*'3YP'!E25/'3YP'!E$28</f>
        <v>0.5625</v>
      </c>
      <c r="Q25" s="46"/>
      <c r="R25" s="46"/>
      <c r="S25" s="46"/>
      <c r="T25" s="46">
        <f>T$47*'3YP'!E25/'3YP'!E$45</f>
        <v>0.33749999999999997</v>
      </c>
      <c r="U25" s="46">
        <f>U$47*'3YP'!E25/'3YP'!E$45</f>
        <v>0.45000000000000007</v>
      </c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>
        <f>AJ$28*'3YP'!F25/'3YP'!F$28</f>
        <v>0.75000000000000011</v>
      </c>
      <c r="AK25" s="46"/>
      <c r="AL25" s="46"/>
      <c r="AM25" s="46"/>
      <c r="AN25" s="46">
        <f>AN$47*'3YP'!F25/'3YP'!F$45</f>
        <v>1.5000000000000002</v>
      </c>
      <c r="AO25" s="46">
        <f>AO$47*'3YP'!F25/'3YP'!F$45</f>
        <v>0.75000000000000011</v>
      </c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>
        <f>BD$28*'3YP'!G25/'3YP'!G$28</f>
        <v>0.9375</v>
      </c>
      <c r="BE25" s="46"/>
      <c r="BF25" s="46"/>
      <c r="BG25" s="46"/>
      <c r="BH25" s="46">
        <f>BH$47*'3YP'!G25/'3YP'!G$45</f>
        <v>2.25</v>
      </c>
      <c r="BI25" s="46">
        <f>BI$47*'3YP'!G25/'3YP'!G$45</f>
        <v>1.125</v>
      </c>
    </row>
    <row r="26" spans="2:61" outlineLevel="1">
      <c r="B26" s="45" t="s">
        <v>244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>
        <f>P$28*'3YP'!E26/'3YP'!E$28</f>
        <v>0.375</v>
      </c>
      <c r="Q26" s="46">
        <f>'5.5 ABC Brokers'!K7</f>
        <v>250</v>
      </c>
      <c r="R26" s="46"/>
      <c r="S26" s="46"/>
      <c r="T26" s="46">
        <f>T$47*'3YP'!E26/'3YP'!E$45</f>
        <v>0.22499999999999998</v>
      </c>
      <c r="U26" s="46">
        <f>U$47*'3YP'!E26/'3YP'!E$45</f>
        <v>0.3</v>
      </c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>
        <f>AJ$28*'3YP'!F26/'3YP'!F$28</f>
        <v>0.93750000000000011</v>
      </c>
      <c r="AK26" s="46">
        <f>'5.5 ABC Brokers'!L7</f>
        <v>500</v>
      </c>
      <c r="AL26" s="46"/>
      <c r="AM26" s="46"/>
      <c r="AN26" s="46">
        <f>AN$47*'3YP'!F26/'3YP'!F$45</f>
        <v>1.875</v>
      </c>
      <c r="AO26" s="46">
        <f>AO$47*'3YP'!F26/'3YP'!F$45</f>
        <v>0.9375</v>
      </c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>
        <f>BD$28*'3YP'!G26/'3YP'!G$28</f>
        <v>1.875</v>
      </c>
      <c r="BE26" s="46">
        <f>'5.5 ABC Brokers'!M7</f>
        <v>1000</v>
      </c>
      <c r="BF26" s="46"/>
      <c r="BG26" s="46"/>
      <c r="BH26" s="46">
        <f>BH$47*'3YP'!G26/'3YP'!G$45</f>
        <v>4.5</v>
      </c>
      <c r="BI26" s="46">
        <f>BI$47*'3YP'!G26/'3YP'!G$45</f>
        <v>2.25</v>
      </c>
    </row>
    <row r="27" spans="2:61" outlineLevel="1">
      <c r="B27" s="45" t="s">
        <v>245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>
        <f>P$28*'3YP'!E27/'3YP'!E$28</f>
        <v>0.6</v>
      </c>
      <c r="Q27" s="46"/>
      <c r="R27" s="46"/>
      <c r="S27" s="46"/>
      <c r="T27" s="46">
        <f>T$47*'3YP'!E27/'3YP'!E$45</f>
        <v>0.36</v>
      </c>
      <c r="U27" s="46">
        <f>U$47*'3YP'!E27/'3YP'!E$45</f>
        <v>0.48000000000000004</v>
      </c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>
        <f>AJ$28*'3YP'!F27/'3YP'!F$28</f>
        <v>0.67500000000000004</v>
      </c>
      <c r="AK27" s="46"/>
      <c r="AL27" s="46"/>
      <c r="AM27" s="46"/>
      <c r="AN27" s="46">
        <f>AN$47*'3YP'!F27/'3YP'!F$45</f>
        <v>1.35</v>
      </c>
      <c r="AO27" s="46">
        <f>AO$47*'3YP'!F27/'3YP'!F$45</f>
        <v>0.67500000000000004</v>
      </c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>
        <f>BD$28*'3YP'!G27/'3YP'!G$28</f>
        <v>0.75</v>
      </c>
      <c r="BE27" s="46"/>
      <c r="BF27" s="46"/>
      <c r="BG27" s="46"/>
      <c r="BH27" s="46">
        <f>BH$47*'3YP'!G27/'3YP'!G$45</f>
        <v>1.7999999999999996</v>
      </c>
      <c r="BI27" s="46">
        <f>BI$47*'3YP'!G27/'3YP'!G$45</f>
        <v>0.8999999999999998</v>
      </c>
    </row>
    <row r="28" spans="2:61" outlineLevel="1">
      <c r="B28" s="47" t="s">
        <v>100</v>
      </c>
      <c r="C28" s="48">
        <f t="shared" ref="C28:D28" si="24">SUM(C21:C27)</f>
        <v>0</v>
      </c>
      <c r="D28" s="48">
        <f t="shared" si="24"/>
        <v>0</v>
      </c>
      <c r="E28" s="48">
        <f t="shared" ref="E28:F28" si="25">SUM(E21:E27)</f>
        <v>0</v>
      </c>
      <c r="F28" s="48">
        <f t="shared" si="25"/>
        <v>0</v>
      </c>
      <c r="G28" s="48">
        <f t="shared" ref="G28:H28" si="26">SUM(G21:G27)</f>
        <v>0</v>
      </c>
      <c r="H28" s="48">
        <f t="shared" si="26"/>
        <v>0</v>
      </c>
      <c r="I28" s="48">
        <f t="shared" ref="I28:J28" si="27">SUM(I21:I27)</f>
        <v>0</v>
      </c>
      <c r="J28" s="48">
        <f t="shared" si="27"/>
        <v>0</v>
      </c>
      <c r="K28" s="48">
        <f t="shared" ref="K28:L28" si="28">SUM(K21:K27)</f>
        <v>0</v>
      </c>
      <c r="L28" s="48">
        <f t="shared" si="28"/>
        <v>0</v>
      </c>
      <c r="M28" s="48">
        <f t="shared" ref="M28:N28" si="29">SUM(M21:M27)</f>
        <v>0</v>
      </c>
      <c r="N28" s="48">
        <f t="shared" si="29"/>
        <v>0</v>
      </c>
      <c r="O28" s="48">
        <f t="shared" ref="O28:R28" si="30">SUM(O21:O27)</f>
        <v>0</v>
      </c>
      <c r="P28" s="48">
        <f>P47</f>
        <v>36.459375000000001</v>
      </c>
      <c r="Q28" s="48">
        <f t="shared" ref="Q28" si="31">SUM(Q21:Q27)</f>
        <v>250</v>
      </c>
      <c r="R28" s="48">
        <f t="shared" si="30"/>
        <v>0</v>
      </c>
      <c r="S28" s="48">
        <f t="shared" ref="S28:T28" si="32">SUM(S21:S27)</f>
        <v>0</v>
      </c>
      <c r="T28" s="48">
        <f t="shared" si="32"/>
        <v>21.875624999999999</v>
      </c>
      <c r="U28" s="48">
        <f t="shared" ref="U28" si="33">SUM(U21:U27)</f>
        <v>29.167500000000004</v>
      </c>
      <c r="W28" s="48">
        <f t="shared" ref="W28:AI28" si="34">SUM(W21:W27)</f>
        <v>0</v>
      </c>
      <c r="X28" s="48">
        <f t="shared" si="34"/>
        <v>0</v>
      </c>
      <c r="Y28" s="48">
        <f t="shared" si="34"/>
        <v>0</v>
      </c>
      <c r="Z28" s="48">
        <f t="shared" si="34"/>
        <v>0</v>
      </c>
      <c r="AA28" s="48">
        <f t="shared" si="34"/>
        <v>0</v>
      </c>
      <c r="AB28" s="48">
        <f t="shared" si="34"/>
        <v>0</v>
      </c>
      <c r="AC28" s="48">
        <f t="shared" si="34"/>
        <v>0</v>
      </c>
      <c r="AD28" s="48">
        <f t="shared" si="34"/>
        <v>0</v>
      </c>
      <c r="AE28" s="48">
        <f t="shared" si="34"/>
        <v>0</v>
      </c>
      <c r="AF28" s="48">
        <f t="shared" si="34"/>
        <v>0</v>
      </c>
      <c r="AG28" s="48">
        <f t="shared" si="34"/>
        <v>0</v>
      </c>
      <c r="AH28" s="48">
        <f t="shared" si="34"/>
        <v>0</v>
      </c>
      <c r="AI28" s="48">
        <f t="shared" si="34"/>
        <v>0</v>
      </c>
      <c r="AJ28" s="48">
        <f>AJ47</f>
        <v>39.675000000000004</v>
      </c>
      <c r="AK28" s="48">
        <f t="shared" ref="AK28" si="35">SUM(AK21:AK27)</f>
        <v>500</v>
      </c>
      <c r="AL28" s="48">
        <f t="shared" ref="AL28:AO28" si="36">SUM(AL21:AL27)</f>
        <v>0</v>
      </c>
      <c r="AM28" s="48">
        <f t="shared" si="36"/>
        <v>0</v>
      </c>
      <c r="AN28" s="48">
        <f t="shared" si="36"/>
        <v>79.349999999999994</v>
      </c>
      <c r="AO28" s="48">
        <f t="shared" si="36"/>
        <v>39.674999999999997</v>
      </c>
      <c r="AQ28" s="48">
        <f t="shared" ref="AQ28:BE28" si="37">SUM(AQ21:AQ27)</f>
        <v>0</v>
      </c>
      <c r="AR28" s="48">
        <f t="shared" si="37"/>
        <v>0</v>
      </c>
      <c r="AS28" s="48">
        <f t="shared" si="37"/>
        <v>0</v>
      </c>
      <c r="AT28" s="48">
        <f t="shared" si="37"/>
        <v>0</v>
      </c>
      <c r="AU28" s="48">
        <f t="shared" si="37"/>
        <v>0</v>
      </c>
      <c r="AV28" s="48">
        <f t="shared" si="37"/>
        <v>0</v>
      </c>
      <c r="AW28" s="48">
        <f t="shared" si="37"/>
        <v>0</v>
      </c>
      <c r="AX28" s="48">
        <f t="shared" si="37"/>
        <v>0</v>
      </c>
      <c r="AY28" s="48">
        <f t="shared" si="37"/>
        <v>0</v>
      </c>
      <c r="AZ28" s="48">
        <f t="shared" si="37"/>
        <v>0</v>
      </c>
      <c r="BA28" s="48">
        <f t="shared" si="37"/>
        <v>0</v>
      </c>
      <c r="BB28" s="48">
        <f t="shared" si="37"/>
        <v>0</v>
      </c>
      <c r="BC28" s="48">
        <f t="shared" si="37"/>
        <v>0</v>
      </c>
      <c r="BD28" s="48">
        <f>BD47</f>
        <v>44.25</v>
      </c>
      <c r="BE28" s="48">
        <f t="shared" si="37"/>
        <v>1000</v>
      </c>
      <c r="BF28" s="48">
        <f t="shared" ref="BF28:BI28" si="38">SUM(BF21:BF27)</f>
        <v>0</v>
      </c>
      <c r="BG28" s="48">
        <f t="shared" si="38"/>
        <v>0</v>
      </c>
      <c r="BH28" s="48">
        <f t="shared" si="38"/>
        <v>106.19999999999999</v>
      </c>
      <c r="BI28" s="48">
        <f t="shared" si="38"/>
        <v>53.099999999999994</v>
      </c>
    </row>
    <row r="29" spans="2:61" ht="6" customHeight="1" outlineLevel="1">
      <c r="B29" s="49"/>
      <c r="C29" s="3"/>
      <c r="D29" s="3"/>
      <c r="E29" s="10"/>
      <c r="F29" s="3"/>
      <c r="G29" s="10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2:61" ht="15.75" outlineLevel="1" thickBot="1">
      <c r="B30" s="52" t="s">
        <v>246</v>
      </c>
      <c r="C30" s="53">
        <f t="shared" ref="C30:D30" si="39">SUM(C11,C15,C19,C28)</f>
        <v>269.58907499999998</v>
      </c>
      <c r="D30" s="53">
        <f t="shared" si="39"/>
        <v>84</v>
      </c>
      <c r="E30" s="53">
        <f t="shared" ref="E30:F30" si="40">SUM(E11,E15,E19,E28)</f>
        <v>1349.5340957999999</v>
      </c>
      <c r="F30" s="53">
        <f t="shared" si="40"/>
        <v>851.84917800000005</v>
      </c>
      <c r="G30" s="53">
        <f t="shared" ref="G30:H30" si="41">SUM(G11,G15,G19,G28)</f>
        <v>90.648081999999988</v>
      </c>
      <c r="H30" s="53">
        <f t="shared" si="41"/>
        <v>84</v>
      </c>
      <c r="I30" s="53">
        <f t="shared" ref="I30:J30" si="42">SUM(I11,I15,I19,I28)</f>
        <v>0</v>
      </c>
      <c r="J30" s="53">
        <f t="shared" si="42"/>
        <v>0</v>
      </c>
      <c r="K30" s="53">
        <f t="shared" ref="K30:L30" si="43">SUM(K11,K15,K19,K28)</f>
        <v>0</v>
      </c>
      <c r="L30" s="53">
        <f t="shared" si="43"/>
        <v>0</v>
      </c>
      <c r="M30" s="53">
        <f t="shared" ref="M30:N30" si="44">SUM(M11,M15,M19,M28)</f>
        <v>0</v>
      </c>
      <c r="N30" s="53">
        <f t="shared" si="44"/>
        <v>0</v>
      </c>
      <c r="O30" s="53">
        <f t="shared" ref="O30:Q30" si="45">SUM(O11,O15,O19,O28)</f>
        <v>0</v>
      </c>
      <c r="P30" s="53">
        <f t="shared" si="45"/>
        <v>36.459375000000001</v>
      </c>
      <c r="Q30" s="53">
        <f t="shared" si="45"/>
        <v>250</v>
      </c>
      <c r="R30" s="53">
        <f t="shared" ref="R30:S30" si="46">SUM(R11,R15,R19,R28)</f>
        <v>0</v>
      </c>
      <c r="S30" s="53">
        <f t="shared" si="46"/>
        <v>0</v>
      </c>
      <c r="T30" s="53">
        <f t="shared" ref="T30:U30" si="47">SUM(T11,T15,T19,T28)</f>
        <v>126.92269125</v>
      </c>
      <c r="U30" s="53">
        <f t="shared" si="47"/>
        <v>169.230255</v>
      </c>
      <c r="W30" s="53">
        <f t="shared" ref="W30:AO30" si="48">SUM(W11,W15,W19,W28)</f>
        <v>651.3273375</v>
      </c>
      <c r="X30" s="53">
        <f t="shared" si="48"/>
        <v>336</v>
      </c>
      <c r="Y30" s="53">
        <f t="shared" si="48"/>
        <v>2952.95432454</v>
      </c>
      <c r="Z30" s="53">
        <f t="shared" si="48"/>
        <v>2081.5039313999996</v>
      </c>
      <c r="AA30" s="53">
        <f t="shared" si="48"/>
        <v>324.34250659999998</v>
      </c>
      <c r="AB30" s="53">
        <f t="shared" si="48"/>
        <v>336</v>
      </c>
      <c r="AC30" s="53">
        <f t="shared" si="48"/>
        <v>0</v>
      </c>
      <c r="AD30" s="53">
        <f t="shared" si="48"/>
        <v>0</v>
      </c>
      <c r="AE30" s="53">
        <f t="shared" si="48"/>
        <v>0</v>
      </c>
      <c r="AF30" s="53">
        <f t="shared" si="48"/>
        <v>0</v>
      </c>
      <c r="AG30" s="53">
        <f t="shared" si="48"/>
        <v>0</v>
      </c>
      <c r="AH30" s="53">
        <f t="shared" si="48"/>
        <v>0</v>
      </c>
      <c r="AI30" s="53">
        <f t="shared" si="48"/>
        <v>0</v>
      </c>
      <c r="AJ30" s="53">
        <f t="shared" si="48"/>
        <v>39.675000000000004</v>
      </c>
      <c r="AK30" s="53">
        <f t="shared" ref="AK30" si="49">SUM(AK11,AK15,AK19,AK28)</f>
        <v>500</v>
      </c>
      <c r="AL30" s="53">
        <f t="shared" si="48"/>
        <v>0</v>
      </c>
      <c r="AM30" s="53">
        <f t="shared" si="48"/>
        <v>0</v>
      </c>
      <c r="AN30" s="53">
        <f t="shared" si="48"/>
        <v>472.02570375000005</v>
      </c>
      <c r="AO30" s="53">
        <f t="shared" si="48"/>
        <v>236.01285187500002</v>
      </c>
      <c r="AQ30" s="53">
        <f t="shared" ref="AQ30:BI30" si="50">SUM(AQ11,AQ15,AQ19,AQ28)</f>
        <v>1121.2643224999999</v>
      </c>
      <c r="AR30" s="53">
        <f t="shared" si="50"/>
        <v>644</v>
      </c>
      <c r="AS30" s="53">
        <f t="shared" si="50"/>
        <v>3899.2851894479995</v>
      </c>
      <c r="AT30" s="53">
        <f t="shared" si="50"/>
        <v>2773.8047176800001</v>
      </c>
      <c r="AU30" s="53">
        <f t="shared" si="50"/>
        <v>627.21100791999993</v>
      </c>
      <c r="AV30" s="53">
        <f t="shared" si="50"/>
        <v>644</v>
      </c>
      <c r="AW30" s="53">
        <f t="shared" si="50"/>
        <v>0</v>
      </c>
      <c r="AX30" s="53">
        <f t="shared" si="50"/>
        <v>0</v>
      </c>
      <c r="AY30" s="53">
        <f t="shared" si="50"/>
        <v>0</v>
      </c>
      <c r="AZ30" s="53">
        <f t="shared" si="50"/>
        <v>0</v>
      </c>
      <c r="BA30" s="53">
        <f t="shared" si="50"/>
        <v>0</v>
      </c>
      <c r="BB30" s="53">
        <f t="shared" si="50"/>
        <v>0</v>
      </c>
      <c r="BC30" s="53">
        <f t="shared" si="50"/>
        <v>0</v>
      </c>
      <c r="BD30" s="53">
        <f t="shared" si="50"/>
        <v>44.25</v>
      </c>
      <c r="BE30" s="53">
        <f t="shared" ref="BE30" si="51">SUM(BE11,BE15,BE19,BE28)</f>
        <v>1000</v>
      </c>
      <c r="BF30" s="53">
        <f t="shared" si="50"/>
        <v>0</v>
      </c>
      <c r="BG30" s="53">
        <f t="shared" si="50"/>
        <v>0</v>
      </c>
      <c r="BH30" s="53">
        <f t="shared" si="50"/>
        <v>629.60850089999985</v>
      </c>
      <c r="BI30" s="53">
        <f t="shared" si="50"/>
        <v>314.80425044999993</v>
      </c>
    </row>
    <row r="31" spans="2:61" ht="6" customHeight="1" outlineLevel="1">
      <c r="B31" s="49"/>
      <c r="C31" s="3"/>
      <c r="D31" s="3"/>
      <c r="E31" s="10"/>
      <c r="F31" s="3"/>
      <c r="G31" s="10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2:61" outlineLevel="1">
      <c r="B32" t="s">
        <v>247</v>
      </c>
      <c r="C32" s="46"/>
      <c r="D32" s="46"/>
      <c r="E32" s="46"/>
      <c r="F32" s="46"/>
      <c r="G32" s="46"/>
      <c r="H32" s="46"/>
      <c r="I32" s="46">
        <f>I47</f>
        <v>125</v>
      </c>
      <c r="J32" s="46">
        <f>J47</f>
        <v>50</v>
      </c>
      <c r="K32" s="46"/>
      <c r="L32" s="46"/>
      <c r="M32" s="46"/>
      <c r="N32" s="46"/>
      <c r="O32" s="46"/>
      <c r="P32" s="46"/>
      <c r="Q32" s="46"/>
      <c r="R32" s="46"/>
      <c r="S32" s="46"/>
      <c r="T32" s="46">
        <f>T$47*'3YP'!E32/'3YP'!E$45</f>
        <v>9</v>
      </c>
      <c r="U32" s="46">
        <f>U$47*'3YP'!E32/'3YP'!E$45</f>
        <v>12.000000000000002</v>
      </c>
      <c r="W32" s="46"/>
      <c r="X32" s="46"/>
      <c r="Y32" s="46"/>
      <c r="Z32" s="46"/>
      <c r="AA32" s="46"/>
      <c r="AB32" s="46"/>
      <c r="AC32" s="46">
        <f>AC47</f>
        <v>175</v>
      </c>
      <c r="AD32" s="46">
        <f>AD47</f>
        <v>100</v>
      </c>
      <c r="AE32" s="46"/>
      <c r="AF32" s="46"/>
      <c r="AG32" s="46"/>
      <c r="AH32" s="46"/>
      <c r="AI32" s="46"/>
      <c r="AJ32" s="46"/>
      <c r="AK32" s="46"/>
      <c r="AL32" s="46"/>
      <c r="AM32" s="46"/>
      <c r="AN32" s="46">
        <f>AN$47*'3YP'!F32/'3YP'!F$45</f>
        <v>45</v>
      </c>
      <c r="AO32" s="46">
        <f>AO$47*'3YP'!F32/'3YP'!F$45</f>
        <v>22.5</v>
      </c>
      <c r="AQ32" s="46"/>
      <c r="AR32" s="46"/>
      <c r="AS32" s="46"/>
      <c r="AT32" s="46"/>
      <c r="AU32" s="46"/>
      <c r="AV32" s="46"/>
      <c r="AW32" s="46">
        <f>AW47</f>
        <v>250</v>
      </c>
      <c r="AX32" s="46">
        <f>AX47</f>
        <v>150</v>
      </c>
      <c r="AY32" s="46"/>
      <c r="AZ32" s="46"/>
      <c r="BA32" s="46"/>
      <c r="BB32" s="46"/>
      <c r="BC32" s="46"/>
      <c r="BD32" s="46"/>
      <c r="BE32" s="46"/>
      <c r="BF32" s="46"/>
      <c r="BG32" s="46"/>
      <c r="BH32" s="46">
        <f>BH$47*'3YP'!G32/'3YP'!G$45</f>
        <v>72</v>
      </c>
      <c r="BI32" s="46">
        <f>BI$47*'3YP'!G32/'3YP'!G$45</f>
        <v>36</v>
      </c>
    </row>
    <row r="33" spans="2:61" outlineLevel="1">
      <c r="B33" t="s">
        <v>248</v>
      </c>
      <c r="C33" s="46"/>
      <c r="D33" s="46"/>
      <c r="E33" s="46"/>
      <c r="F33" s="46"/>
      <c r="G33" s="46"/>
      <c r="H33" s="46"/>
      <c r="I33" s="46"/>
      <c r="J33" s="46"/>
      <c r="K33" s="46">
        <f>K47</f>
        <v>35</v>
      </c>
      <c r="L33" s="46">
        <f>L47</f>
        <v>50</v>
      </c>
      <c r="M33" s="46"/>
      <c r="N33" s="46"/>
      <c r="O33" s="46"/>
      <c r="P33" s="46"/>
      <c r="Q33" s="46"/>
      <c r="R33" s="46"/>
      <c r="S33" s="46"/>
      <c r="T33" s="46">
        <f>T$47*'3YP'!E33/'3YP'!E$45</f>
        <v>2.25</v>
      </c>
      <c r="U33" s="46">
        <f>U$47*'3YP'!E33/'3YP'!E$45</f>
        <v>3.0000000000000004</v>
      </c>
      <c r="W33" s="46"/>
      <c r="X33" s="46"/>
      <c r="Y33" s="46"/>
      <c r="Z33" s="46"/>
      <c r="AA33" s="46"/>
      <c r="AB33" s="46"/>
      <c r="AC33" s="46"/>
      <c r="AD33" s="46"/>
      <c r="AE33" s="46">
        <f>AE47</f>
        <v>87.5</v>
      </c>
      <c r="AF33" s="46">
        <f>AF47</f>
        <v>75</v>
      </c>
      <c r="AG33" s="46"/>
      <c r="AH33" s="46"/>
      <c r="AI33" s="46"/>
      <c r="AJ33" s="46"/>
      <c r="AK33" s="46"/>
      <c r="AL33" s="46"/>
      <c r="AM33" s="46"/>
      <c r="AN33" s="46">
        <f>AN$47*'3YP'!F33/'3YP'!F$45</f>
        <v>11.25</v>
      </c>
      <c r="AO33" s="46">
        <f>AO$47*'3YP'!F33/'3YP'!F$45</f>
        <v>5.625</v>
      </c>
      <c r="AQ33" s="46"/>
      <c r="AR33" s="46"/>
      <c r="AS33" s="46"/>
      <c r="AT33" s="46"/>
      <c r="AU33" s="46"/>
      <c r="AV33" s="46"/>
      <c r="AW33" s="46"/>
      <c r="AX33" s="46"/>
      <c r="AY33" s="46">
        <f>AY47</f>
        <v>166.25</v>
      </c>
      <c r="AZ33" s="46">
        <f>AZ47</f>
        <v>125</v>
      </c>
      <c r="BA33" s="46"/>
      <c r="BB33" s="46"/>
      <c r="BC33" s="46"/>
      <c r="BD33" s="46"/>
      <c r="BE33" s="46"/>
      <c r="BF33" s="46"/>
      <c r="BG33" s="46"/>
      <c r="BH33" s="46">
        <f>BH$47*'3YP'!G33/'3YP'!G$45</f>
        <v>22.499999999999996</v>
      </c>
      <c r="BI33" s="46">
        <f>BI$47*'3YP'!G33/'3YP'!G$45</f>
        <v>11.249999999999998</v>
      </c>
    </row>
    <row r="34" spans="2:61" outlineLevel="1">
      <c r="B34" t="s">
        <v>249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>
        <f>M47</f>
        <v>37.5</v>
      </c>
      <c r="N34" s="46">
        <f>N47</f>
        <v>119.99999999999997</v>
      </c>
      <c r="O34" s="46">
        <f>O47</f>
        <v>25</v>
      </c>
      <c r="P34" s="46"/>
      <c r="Q34" s="46"/>
      <c r="R34" s="46"/>
      <c r="S34" s="46"/>
      <c r="T34" s="46">
        <f>T$47*'3YP'!E34/'3YP'!E$45</f>
        <v>1.6312500000000001</v>
      </c>
      <c r="U34" s="46">
        <f>U$47*'3YP'!E34/'3YP'!E$45</f>
        <v>2.1750000000000003</v>
      </c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>
        <f>AG47</f>
        <v>50</v>
      </c>
      <c r="AH34" s="46">
        <f>AH47</f>
        <v>239.99999999999994</v>
      </c>
      <c r="AI34" s="46">
        <f>AI47</f>
        <v>37.5</v>
      </c>
      <c r="AJ34" s="46"/>
      <c r="AK34" s="46"/>
      <c r="AL34" s="46"/>
      <c r="AM34" s="46"/>
      <c r="AN34" s="46">
        <f>AN$47*'3YP'!F34/'3YP'!F$45</f>
        <v>8.4375000000000018</v>
      </c>
      <c r="AO34" s="46">
        <f>AO$47*'3YP'!F34/'3YP'!F$45</f>
        <v>4.2187500000000009</v>
      </c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>
        <f>BA47</f>
        <v>75</v>
      </c>
      <c r="BB34" s="46">
        <f>BB47</f>
        <v>325.99999999999994</v>
      </c>
      <c r="BC34" s="46">
        <f>BC47</f>
        <v>50</v>
      </c>
      <c r="BD34" s="46"/>
      <c r="BE34" s="46"/>
      <c r="BF34" s="46"/>
      <c r="BG34" s="46"/>
      <c r="BH34" s="46">
        <f>BH$47*'3YP'!G34/'3YP'!G$45</f>
        <v>16.874999999999996</v>
      </c>
      <c r="BI34" s="46">
        <f>BI$47*'3YP'!G34/'3YP'!G$45</f>
        <v>8.4374999999999982</v>
      </c>
    </row>
    <row r="35" spans="2:61" ht="6" customHeight="1" outlineLevel="1">
      <c r="B35" s="49"/>
      <c r="C35" s="3"/>
      <c r="D35" s="3"/>
      <c r="E35" s="10"/>
      <c r="F35" s="3"/>
      <c r="G35" s="10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2:61" ht="15.75" outlineLevel="1" thickBot="1">
      <c r="B36" s="52" t="s">
        <v>250</v>
      </c>
      <c r="C36" s="53">
        <f t="shared" ref="C36:D36" si="52">SUM(C32:C34)</f>
        <v>0</v>
      </c>
      <c r="D36" s="53">
        <f t="shared" si="52"/>
        <v>0</v>
      </c>
      <c r="E36" s="53">
        <f t="shared" ref="E36:F36" si="53">SUM(E32:E34)</f>
        <v>0</v>
      </c>
      <c r="F36" s="53">
        <f t="shared" si="53"/>
        <v>0</v>
      </c>
      <c r="G36" s="53">
        <f t="shared" ref="G36:H36" si="54">SUM(G32:G34)</f>
        <v>0</v>
      </c>
      <c r="H36" s="53">
        <f t="shared" si="54"/>
        <v>0</v>
      </c>
      <c r="I36" s="53">
        <f t="shared" ref="I36:J36" si="55">SUM(I32:I34)</f>
        <v>125</v>
      </c>
      <c r="J36" s="53">
        <f t="shared" si="55"/>
        <v>50</v>
      </c>
      <c r="K36" s="53">
        <f t="shared" ref="K36:L36" si="56">SUM(K32:K34)</f>
        <v>35</v>
      </c>
      <c r="L36" s="53">
        <f t="shared" si="56"/>
        <v>50</v>
      </c>
      <c r="M36" s="53">
        <f t="shared" ref="M36:N36" si="57">SUM(M32:M34)</f>
        <v>37.5</v>
      </c>
      <c r="N36" s="53">
        <f t="shared" si="57"/>
        <v>119.99999999999997</v>
      </c>
      <c r="O36" s="53">
        <f t="shared" ref="O36:Q36" si="58">SUM(O32:O34)</f>
        <v>25</v>
      </c>
      <c r="P36" s="53">
        <f t="shared" si="58"/>
        <v>0</v>
      </c>
      <c r="Q36" s="53">
        <f t="shared" si="58"/>
        <v>0</v>
      </c>
      <c r="R36" s="53">
        <f t="shared" ref="R36:S36" si="59">SUM(R32:R34)</f>
        <v>0</v>
      </c>
      <c r="S36" s="53">
        <f t="shared" si="59"/>
        <v>0</v>
      </c>
      <c r="T36" s="53">
        <f t="shared" ref="T36:U36" si="60">SUM(T32:T34)</f>
        <v>12.88125</v>
      </c>
      <c r="U36" s="53">
        <f t="shared" si="60"/>
        <v>17.175000000000001</v>
      </c>
      <c r="W36" s="53">
        <f t="shared" ref="W36:AO36" si="61">SUM(W32:W34)</f>
        <v>0</v>
      </c>
      <c r="X36" s="53">
        <f t="shared" si="61"/>
        <v>0</v>
      </c>
      <c r="Y36" s="53">
        <f t="shared" si="61"/>
        <v>0</v>
      </c>
      <c r="Z36" s="53">
        <f t="shared" si="61"/>
        <v>0</v>
      </c>
      <c r="AA36" s="53">
        <f t="shared" si="61"/>
        <v>0</v>
      </c>
      <c r="AB36" s="53">
        <f t="shared" si="61"/>
        <v>0</v>
      </c>
      <c r="AC36" s="53">
        <f t="shared" si="61"/>
        <v>175</v>
      </c>
      <c r="AD36" s="53">
        <f t="shared" si="61"/>
        <v>100</v>
      </c>
      <c r="AE36" s="53">
        <f t="shared" si="61"/>
        <v>87.5</v>
      </c>
      <c r="AF36" s="53">
        <f t="shared" si="61"/>
        <v>75</v>
      </c>
      <c r="AG36" s="53">
        <f t="shared" si="61"/>
        <v>50</v>
      </c>
      <c r="AH36" s="53">
        <f t="shared" si="61"/>
        <v>239.99999999999994</v>
      </c>
      <c r="AI36" s="53">
        <f t="shared" si="61"/>
        <v>37.5</v>
      </c>
      <c r="AJ36" s="53">
        <f t="shared" si="61"/>
        <v>0</v>
      </c>
      <c r="AK36" s="53">
        <f t="shared" ref="AK36" si="62">SUM(AK32:AK34)</f>
        <v>0</v>
      </c>
      <c r="AL36" s="53">
        <f t="shared" si="61"/>
        <v>0</v>
      </c>
      <c r="AM36" s="53">
        <f t="shared" si="61"/>
        <v>0</v>
      </c>
      <c r="AN36" s="53">
        <f t="shared" si="61"/>
        <v>64.6875</v>
      </c>
      <c r="AO36" s="53">
        <f t="shared" si="61"/>
        <v>32.34375</v>
      </c>
      <c r="AQ36" s="53">
        <f t="shared" ref="AQ36:BI36" si="63">SUM(AQ32:AQ34)</f>
        <v>0</v>
      </c>
      <c r="AR36" s="53">
        <f t="shared" si="63"/>
        <v>0</v>
      </c>
      <c r="AS36" s="53">
        <f t="shared" si="63"/>
        <v>0</v>
      </c>
      <c r="AT36" s="53">
        <f t="shared" si="63"/>
        <v>0</v>
      </c>
      <c r="AU36" s="53">
        <f t="shared" si="63"/>
        <v>0</v>
      </c>
      <c r="AV36" s="53">
        <f t="shared" si="63"/>
        <v>0</v>
      </c>
      <c r="AW36" s="53">
        <f t="shared" si="63"/>
        <v>250</v>
      </c>
      <c r="AX36" s="53">
        <f t="shared" si="63"/>
        <v>150</v>
      </c>
      <c r="AY36" s="53">
        <f t="shared" si="63"/>
        <v>166.25</v>
      </c>
      <c r="AZ36" s="53">
        <f t="shared" si="63"/>
        <v>125</v>
      </c>
      <c r="BA36" s="53">
        <f t="shared" si="63"/>
        <v>75</v>
      </c>
      <c r="BB36" s="53">
        <f t="shared" si="63"/>
        <v>325.99999999999994</v>
      </c>
      <c r="BC36" s="53">
        <f t="shared" si="63"/>
        <v>50</v>
      </c>
      <c r="BD36" s="53">
        <f t="shared" si="63"/>
        <v>0</v>
      </c>
      <c r="BE36" s="53">
        <f t="shared" si="63"/>
        <v>0</v>
      </c>
      <c r="BF36" s="53">
        <f t="shared" si="63"/>
        <v>0</v>
      </c>
      <c r="BG36" s="53">
        <f t="shared" si="63"/>
        <v>0</v>
      </c>
      <c r="BH36" s="53">
        <f t="shared" si="63"/>
        <v>111.375</v>
      </c>
      <c r="BI36" s="53">
        <f t="shared" si="63"/>
        <v>55.6875</v>
      </c>
    </row>
    <row r="37" spans="2:61" ht="6" customHeight="1" outlineLevel="1">
      <c r="B37" s="49"/>
      <c r="C37" s="3"/>
      <c r="D37" s="3"/>
      <c r="E37" s="10"/>
      <c r="F37" s="3"/>
      <c r="G37" s="10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2:61" outlineLevel="1">
      <c r="B38" t="s">
        <v>251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>
        <f>R47</f>
        <v>252.7</v>
      </c>
      <c r="S38" s="46"/>
      <c r="T38" s="46">
        <f>T$47*'3YP'!E38/'3YP'!E$45</f>
        <v>8.4149999999999991</v>
      </c>
      <c r="U38" s="46">
        <f>U$47*'3YP'!E38/'3YP'!E$45</f>
        <v>11.22</v>
      </c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>
        <f>AL47</f>
        <v>360.60499999999996</v>
      </c>
      <c r="AM38" s="46"/>
      <c r="AN38" s="46">
        <f>AN$47*'3YP'!F38/'3YP'!F$45</f>
        <v>30.855000000000004</v>
      </c>
      <c r="AO38" s="46">
        <f>AO$47*'3YP'!F38/'3YP'!F$45</f>
        <v>15.427500000000002</v>
      </c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>
        <f>BF47</f>
        <v>484.69574999999992</v>
      </c>
      <c r="BG38" s="46"/>
      <c r="BH38" s="46">
        <f>BH$47*'3YP'!G38/'3YP'!G$45</f>
        <v>39.988080000000004</v>
      </c>
      <c r="BI38" s="46">
        <f>BI$47*'3YP'!G38/'3YP'!G$45</f>
        <v>19.994040000000002</v>
      </c>
    </row>
    <row r="39" spans="2:61" outlineLevel="1">
      <c r="B39" t="s">
        <v>252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>
        <f>S47</f>
        <v>119.69999999999999</v>
      </c>
      <c r="T39" s="46">
        <f>T$47*'3YP'!E39/'3YP'!E$45</f>
        <v>4.5674999999999999</v>
      </c>
      <c r="U39" s="46">
        <f>U$47*'3YP'!E39/'3YP'!E$45</f>
        <v>6.0900000000000007</v>
      </c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>
        <f>AM47</f>
        <v>207.65499999999997</v>
      </c>
      <c r="AN39" s="46">
        <f>AN$47*'3YP'!F39/'3YP'!F$45</f>
        <v>16.747499999999999</v>
      </c>
      <c r="AO39" s="46">
        <f>AO$47*'3YP'!F39/'3YP'!F$45</f>
        <v>8.3737499999999994</v>
      </c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>
        <f>BG47</f>
        <v>308.80324999999993</v>
      </c>
      <c r="BH39" s="46">
        <f>BH$47*'3YP'!G39/'3YP'!G$45</f>
        <v>21.70476</v>
      </c>
      <c r="BI39" s="46">
        <f>BI$47*'3YP'!G39/'3YP'!G$45</f>
        <v>10.85238</v>
      </c>
    </row>
    <row r="40" spans="2:61" outlineLevel="1">
      <c r="B40" t="s">
        <v>137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>
        <f>T$47*'3YP'!E40/'3YP'!E$45</f>
        <v>1.2374999999999998</v>
      </c>
      <c r="U40" s="46">
        <f>U$47*'3YP'!E40/'3YP'!E$45</f>
        <v>1.6500000000000001</v>
      </c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>
        <f>AN$47*'3YP'!F40/'3YP'!F$45</f>
        <v>4.5375000000000014</v>
      </c>
      <c r="AO40" s="46">
        <f>AO$47*'3YP'!F40/'3YP'!F$45</f>
        <v>2.2687500000000007</v>
      </c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>
        <f>BH$47*'3YP'!G40/'3YP'!G$45</f>
        <v>5.8806000000000012</v>
      </c>
      <c r="BI40" s="46">
        <f>BI$47*'3YP'!G40/'3YP'!G$45</f>
        <v>2.9403000000000006</v>
      </c>
    </row>
    <row r="41" spans="2:61" outlineLevel="1">
      <c r="B41" t="s">
        <v>253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>
        <f>T$47*'3YP'!E41/'3YP'!E$45</f>
        <v>0.39353742899999994</v>
      </c>
      <c r="U41" s="46">
        <f>U$47*'3YP'!E41/'3YP'!E$45</f>
        <v>0.52471657199999999</v>
      </c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>
        <f>AN$47*'3YP'!F41/'3YP'!F$45</f>
        <v>1.31179143</v>
      </c>
      <c r="AO41" s="46">
        <f>AO$47*'3YP'!F41/'3YP'!F$45</f>
        <v>0.65589571499999999</v>
      </c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>
        <f>BH$47*'3YP'!G41/'3YP'!G$45</f>
        <v>1.5741497159999995</v>
      </c>
      <c r="BI41" s="46">
        <f>BI$47*'3YP'!G41/'3YP'!G$45</f>
        <v>0.78707485799999977</v>
      </c>
    </row>
    <row r="42" spans="2:61" ht="6" customHeight="1" outlineLevel="1">
      <c r="B42" s="49"/>
      <c r="C42" s="3"/>
      <c r="D42" s="3"/>
      <c r="E42" s="10"/>
      <c r="F42" s="3"/>
      <c r="G42" s="10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2:61" ht="15.75" outlineLevel="1" thickBot="1">
      <c r="B43" s="52" t="s">
        <v>254</v>
      </c>
      <c r="C43" s="53">
        <f t="shared" ref="C43:D43" si="64">SUM(C38:C41)</f>
        <v>0</v>
      </c>
      <c r="D43" s="53">
        <f t="shared" si="64"/>
        <v>0</v>
      </c>
      <c r="E43" s="53">
        <f t="shared" ref="E43:F43" si="65">SUM(E38:E41)</f>
        <v>0</v>
      </c>
      <c r="F43" s="53">
        <f t="shared" si="65"/>
        <v>0</v>
      </c>
      <c r="G43" s="53">
        <f t="shared" ref="G43:H43" si="66">SUM(G38:G41)</f>
        <v>0</v>
      </c>
      <c r="H43" s="53">
        <f t="shared" si="66"/>
        <v>0</v>
      </c>
      <c r="I43" s="53">
        <f t="shared" ref="I43:J43" si="67">SUM(I38:I41)</f>
        <v>0</v>
      </c>
      <c r="J43" s="53">
        <f t="shared" si="67"/>
        <v>0</v>
      </c>
      <c r="K43" s="53">
        <f t="shared" ref="K43:L43" si="68">SUM(K38:K41)</f>
        <v>0</v>
      </c>
      <c r="L43" s="53">
        <f t="shared" si="68"/>
        <v>0</v>
      </c>
      <c r="M43" s="53">
        <f t="shared" ref="M43:N43" si="69">SUM(M38:M41)</f>
        <v>0</v>
      </c>
      <c r="N43" s="53">
        <f t="shared" si="69"/>
        <v>0</v>
      </c>
      <c r="O43" s="53">
        <f t="shared" ref="O43:Q43" si="70">SUM(O38:O41)</f>
        <v>0</v>
      </c>
      <c r="P43" s="53">
        <f t="shared" si="70"/>
        <v>0</v>
      </c>
      <c r="Q43" s="53">
        <f t="shared" si="70"/>
        <v>0</v>
      </c>
      <c r="R43" s="53">
        <f t="shared" ref="R43:S43" si="71">SUM(R38:R41)</f>
        <v>252.7</v>
      </c>
      <c r="S43" s="53">
        <f t="shared" si="71"/>
        <v>119.69999999999999</v>
      </c>
      <c r="T43" s="53">
        <f t="shared" ref="T43:U43" si="72">SUM(T38:T41)</f>
        <v>14.613537428999999</v>
      </c>
      <c r="U43" s="53">
        <f t="shared" si="72"/>
        <v>19.484716572</v>
      </c>
      <c r="W43" s="53">
        <f t="shared" ref="W43:AO43" si="73">SUM(W38:W41)</f>
        <v>0</v>
      </c>
      <c r="X43" s="53">
        <f t="shared" si="73"/>
        <v>0</v>
      </c>
      <c r="Y43" s="53">
        <f t="shared" si="73"/>
        <v>0</v>
      </c>
      <c r="Z43" s="53">
        <f t="shared" si="73"/>
        <v>0</v>
      </c>
      <c r="AA43" s="53">
        <f t="shared" si="73"/>
        <v>0</v>
      </c>
      <c r="AB43" s="53">
        <f t="shared" si="73"/>
        <v>0</v>
      </c>
      <c r="AC43" s="53">
        <f t="shared" si="73"/>
        <v>0</v>
      </c>
      <c r="AD43" s="53">
        <f t="shared" si="73"/>
        <v>0</v>
      </c>
      <c r="AE43" s="53">
        <f t="shared" si="73"/>
        <v>0</v>
      </c>
      <c r="AF43" s="53">
        <f t="shared" si="73"/>
        <v>0</v>
      </c>
      <c r="AG43" s="53">
        <f t="shared" si="73"/>
        <v>0</v>
      </c>
      <c r="AH43" s="53">
        <f t="shared" si="73"/>
        <v>0</v>
      </c>
      <c r="AI43" s="53">
        <f t="shared" si="73"/>
        <v>0</v>
      </c>
      <c r="AJ43" s="53">
        <f t="shared" si="73"/>
        <v>0</v>
      </c>
      <c r="AK43" s="53">
        <f t="shared" ref="AK43" si="74">SUM(AK38:AK41)</f>
        <v>0</v>
      </c>
      <c r="AL43" s="53">
        <f t="shared" si="73"/>
        <v>360.60499999999996</v>
      </c>
      <c r="AM43" s="53">
        <f t="shared" si="73"/>
        <v>207.65499999999997</v>
      </c>
      <c r="AN43" s="53">
        <f t="shared" si="73"/>
        <v>53.451791430000007</v>
      </c>
      <c r="AO43" s="53">
        <f t="shared" si="73"/>
        <v>26.725895715000004</v>
      </c>
      <c r="AQ43" s="53">
        <f t="shared" ref="AQ43:BI43" si="75">SUM(AQ38:AQ41)</f>
        <v>0</v>
      </c>
      <c r="AR43" s="53">
        <f t="shared" si="75"/>
        <v>0</v>
      </c>
      <c r="AS43" s="53">
        <f t="shared" si="75"/>
        <v>0</v>
      </c>
      <c r="AT43" s="53">
        <f t="shared" si="75"/>
        <v>0</v>
      </c>
      <c r="AU43" s="53">
        <f t="shared" si="75"/>
        <v>0</v>
      </c>
      <c r="AV43" s="53">
        <f t="shared" si="75"/>
        <v>0</v>
      </c>
      <c r="AW43" s="53">
        <f t="shared" si="75"/>
        <v>0</v>
      </c>
      <c r="AX43" s="53">
        <f t="shared" si="75"/>
        <v>0</v>
      </c>
      <c r="AY43" s="53">
        <f t="shared" si="75"/>
        <v>0</v>
      </c>
      <c r="AZ43" s="53">
        <f t="shared" si="75"/>
        <v>0</v>
      </c>
      <c r="BA43" s="53">
        <f t="shared" si="75"/>
        <v>0</v>
      </c>
      <c r="BB43" s="53">
        <f t="shared" si="75"/>
        <v>0</v>
      </c>
      <c r="BC43" s="53">
        <f t="shared" si="75"/>
        <v>0</v>
      </c>
      <c r="BD43" s="53">
        <f t="shared" si="75"/>
        <v>0</v>
      </c>
      <c r="BE43" s="53">
        <f t="shared" ref="BE43" si="76">SUM(BE38:BE41)</f>
        <v>0</v>
      </c>
      <c r="BF43" s="53">
        <f t="shared" si="75"/>
        <v>484.69574999999992</v>
      </c>
      <c r="BG43" s="53">
        <f t="shared" si="75"/>
        <v>308.80324999999993</v>
      </c>
      <c r="BH43" s="53">
        <f t="shared" si="75"/>
        <v>69.147589715999999</v>
      </c>
      <c r="BI43" s="53">
        <f t="shared" si="75"/>
        <v>34.573794857999999</v>
      </c>
    </row>
    <row r="44" spans="2:61" ht="6" customHeight="1" outlineLevel="1">
      <c r="B44" s="49"/>
      <c r="C44" s="3"/>
      <c r="D44" s="3"/>
      <c r="E44" s="10"/>
      <c r="F44" s="3"/>
      <c r="G44" s="10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2:61" ht="16.5" outlineLevel="1" thickBot="1">
      <c r="B45" s="54" t="s">
        <v>255</v>
      </c>
      <c r="C45" s="55">
        <f t="shared" ref="C45:D45" si="77">SUM(C30,C36,C43)</f>
        <v>269.58907499999998</v>
      </c>
      <c r="D45" s="55">
        <f t="shared" si="77"/>
        <v>84</v>
      </c>
      <c r="E45" s="55">
        <f t="shared" ref="E45:F45" si="78">SUM(E30,E36,E43)</f>
        <v>1349.5340957999999</v>
      </c>
      <c r="F45" s="55">
        <f t="shared" si="78"/>
        <v>851.84917800000005</v>
      </c>
      <c r="G45" s="55">
        <f t="shared" ref="G45:H45" si="79">SUM(G30,G36,G43)</f>
        <v>90.648081999999988</v>
      </c>
      <c r="H45" s="55">
        <f t="shared" si="79"/>
        <v>84</v>
      </c>
      <c r="I45" s="55">
        <f t="shared" ref="I45:J45" si="80">SUM(I30,I36,I43)</f>
        <v>125</v>
      </c>
      <c r="J45" s="55">
        <f t="shared" si="80"/>
        <v>50</v>
      </c>
      <c r="K45" s="55">
        <f t="shared" ref="K45:L45" si="81">SUM(K30,K36,K43)</f>
        <v>35</v>
      </c>
      <c r="L45" s="55">
        <f t="shared" si="81"/>
        <v>50</v>
      </c>
      <c r="M45" s="55">
        <f t="shared" ref="M45:N45" si="82">SUM(M30,M36,M43)</f>
        <v>37.5</v>
      </c>
      <c r="N45" s="55">
        <f t="shared" si="82"/>
        <v>119.99999999999997</v>
      </c>
      <c r="O45" s="55">
        <f t="shared" ref="O45:Q45" si="83">SUM(O30,O36,O43)</f>
        <v>25</v>
      </c>
      <c r="P45" s="55">
        <f t="shared" si="83"/>
        <v>36.459375000000001</v>
      </c>
      <c r="Q45" s="55">
        <f t="shared" si="83"/>
        <v>250</v>
      </c>
      <c r="R45" s="55">
        <f t="shared" ref="R45:S45" si="84">SUM(R30,R36,R43)</f>
        <v>252.7</v>
      </c>
      <c r="S45" s="55">
        <f t="shared" si="84"/>
        <v>119.69999999999999</v>
      </c>
      <c r="T45" s="55">
        <f t="shared" ref="T45:U45" si="85">SUM(T30,T36,T43)</f>
        <v>154.417478679</v>
      </c>
      <c r="U45" s="55">
        <f t="shared" si="85"/>
        <v>205.88997157200001</v>
      </c>
      <c r="W45" s="55">
        <f t="shared" ref="W45:AO45" si="86">SUM(W30,W36,W43)</f>
        <v>651.3273375</v>
      </c>
      <c r="X45" s="55">
        <f t="shared" si="86"/>
        <v>336</v>
      </c>
      <c r="Y45" s="55">
        <f t="shared" si="86"/>
        <v>2952.95432454</v>
      </c>
      <c r="Z45" s="55">
        <f t="shared" si="86"/>
        <v>2081.5039313999996</v>
      </c>
      <c r="AA45" s="55">
        <f t="shared" si="86"/>
        <v>324.34250659999998</v>
      </c>
      <c r="AB45" s="55">
        <f t="shared" si="86"/>
        <v>336</v>
      </c>
      <c r="AC45" s="55">
        <f t="shared" si="86"/>
        <v>175</v>
      </c>
      <c r="AD45" s="55">
        <f t="shared" si="86"/>
        <v>100</v>
      </c>
      <c r="AE45" s="55">
        <f t="shared" si="86"/>
        <v>87.5</v>
      </c>
      <c r="AF45" s="55">
        <f t="shared" si="86"/>
        <v>75</v>
      </c>
      <c r="AG45" s="55">
        <f t="shared" si="86"/>
        <v>50</v>
      </c>
      <c r="AH45" s="55">
        <f t="shared" si="86"/>
        <v>239.99999999999994</v>
      </c>
      <c r="AI45" s="55">
        <f t="shared" si="86"/>
        <v>37.5</v>
      </c>
      <c r="AJ45" s="55">
        <f t="shared" si="86"/>
        <v>39.675000000000004</v>
      </c>
      <c r="AK45" s="55">
        <f t="shared" ref="AK45" si="87">SUM(AK30,AK36,AK43)</f>
        <v>500</v>
      </c>
      <c r="AL45" s="55">
        <f t="shared" si="86"/>
        <v>360.60499999999996</v>
      </c>
      <c r="AM45" s="55">
        <f t="shared" si="86"/>
        <v>207.65499999999997</v>
      </c>
      <c r="AN45" s="55">
        <f t="shared" si="86"/>
        <v>590.16499518000001</v>
      </c>
      <c r="AO45" s="55">
        <f t="shared" si="86"/>
        <v>295.08249759</v>
      </c>
      <c r="AQ45" s="55">
        <f t="shared" ref="AQ45:BI45" si="88">SUM(AQ30,AQ36,AQ43)</f>
        <v>1121.2643224999999</v>
      </c>
      <c r="AR45" s="55">
        <f t="shared" si="88"/>
        <v>644</v>
      </c>
      <c r="AS45" s="55">
        <f t="shared" si="88"/>
        <v>3899.2851894479995</v>
      </c>
      <c r="AT45" s="55">
        <f t="shared" si="88"/>
        <v>2773.8047176800001</v>
      </c>
      <c r="AU45" s="55">
        <f t="shared" si="88"/>
        <v>627.21100791999993</v>
      </c>
      <c r="AV45" s="55">
        <f t="shared" si="88"/>
        <v>644</v>
      </c>
      <c r="AW45" s="55">
        <f t="shared" si="88"/>
        <v>250</v>
      </c>
      <c r="AX45" s="55">
        <f t="shared" si="88"/>
        <v>150</v>
      </c>
      <c r="AY45" s="55">
        <f t="shared" si="88"/>
        <v>166.25</v>
      </c>
      <c r="AZ45" s="55">
        <f t="shared" si="88"/>
        <v>125</v>
      </c>
      <c r="BA45" s="55">
        <f t="shared" si="88"/>
        <v>75</v>
      </c>
      <c r="BB45" s="55">
        <f t="shared" si="88"/>
        <v>325.99999999999994</v>
      </c>
      <c r="BC45" s="55">
        <f t="shared" si="88"/>
        <v>50</v>
      </c>
      <c r="BD45" s="55">
        <f t="shared" si="88"/>
        <v>44.25</v>
      </c>
      <c r="BE45" s="55">
        <f t="shared" ref="BE45" si="89">SUM(BE30,BE36,BE43)</f>
        <v>1000</v>
      </c>
      <c r="BF45" s="55">
        <f t="shared" si="88"/>
        <v>484.69574999999992</v>
      </c>
      <c r="BG45" s="55">
        <f t="shared" si="88"/>
        <v>308.80324999999993</v>
      </c>
      <c r="BH45" s="55">
        <f t="shared" si="88"/>
        <v>810.13109061599982</v>
      </c>
      <c r="BI45" s="55">
        <f t="shared" si="88"/>
        <v>405.06554530799991</v>
      </c>
    </row>
    <row r="46" spans="2:61" ht="6" customHeight="1">
      <c r="B46" s="49"/>
      <c r="C46" s="3"/>
      <c r="D46" s="3"/>
      <c r="E46" s="10"/>
      <c r="F46" s="3"/>
      <c r="G46" s="10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2:61">
      <c r="B47" s="64" t="s">
        <v>155</v>
      </c>
      <c r="C47" s="91">
        <f>'1.1 Core Markets Visibility'!K7</f>
        <v>269.58907499999998</v>
      </c>
      <c r="D47" s="91">
        <f>'1.2 Core Markets Team expansion'!K7</f>
        <v>84</v>
      </c>
      <c r="E47" s="91">
        <f>'2.1 Mark Wuttke Contact Book'!K7</f>
        <v>1349.5340957999999</v>
      </c>
      <c r="F47" s="91">
        <f>'2.2 Jaime Contact Book'!K7</f>
        <v>851.84917800000005</v>
      </c>
      <c r="G47" s="91">
        <f>'2.3 US Visibility'!K7</f>
        <v>90.648081999999988</v>
      </c>
      <c r="H47" s="91">
        <f>'2.4 US Team Expansion'!K7</f>
        <v>84</v>
      </c>
      <c r="I47" s="91">
        <f>'3.1 China'!K7</f>
        <v>125</v>
      </c>
      <c r="J47" s="91">
        <f>'3.2 Lane Crawford'!K7</f>
        <v>50</v>
      </c>
      <c r="K47" s="91">
        <f>'4.1 Nadim ME'!K7</f>
        <v>35</v>
      </c>
      <c r="L47" s="91">
        <f>'4.2 ME Retail'!K7</f>
        <v>50</v>
      </c>
      <c r="M47" s="91">
        <f>'5.1 Mingo'!K7</f>
        <v>37.5</v>
      </c>
      <c r="N47" s="91">
        <f>'5.2 Juan'!K7</f>
        <v>119.99999999999997</v>
      </c>
      <c r="O47" s="91">
        <f>'5.3 Vishal_India'!K7</f>
        <v>25</v>
      </c>
      <c r="P47" s="91">
        <f>'5.4 Export Event'!K7</f>
        <v>36.459375000000001</v>
      </c>
      <c r="Q47" s="91">
        <f>'5.5 ABC Brokers'!K7</f>
        <v>250</v>
      </c>
      <c r="R47" s="91">
        <f>'6.1 eComm Growth EU'!K7</f>
        <v>252.7</v>
      </c>
      <c r="S47" s="91">
        <f>'6.2 eComm Growth US'!K7</f>
        <v>119.69999999999999</v>
      </c>
      <c r="T47" s="91">
        <f>'7.1 Cambrium NPD'!K7</f>
        <v>154.417478679</v>
      </c>
      <c r="U47" s="91">
        <f>'7.2 Social Media_Mkting'!K7</f>
        <v>205.88997157200004</v>
      </c>
      <c r="W47" s="91">
        <f>'1.1 Core Markets Visibility'!L7</f>
        <v>651.3273375</v>
      </c>
      <c r="X47" s="91">
        <f>'1.2 Core Markets Team expansion'!L7</f>
        <v>336</v>
      </c>
      <c r="Y47" s="91">
        <f>'2.1 Mark Wuttke Contact Book'!L7</f>
        <v>2952.95432454</v>
      </c>
      <c r="Z47" s="91">
        <f>'2.2 Jaime Contact Book'!L7</f>
        <v>2081.5039313999996</v>
      </c>
      <c r="AA47" s="91">
        <f>'2.3 US Visibility'!L7</f>
        <v>324.34250659999998</v>
      </c>
      <c r="AB47" s="91">
        <f>'2.4 US Team Expansion'!L7</f>
        <v>336</v>
      </c>
      <c r="AC47" s="91">
        <f>'3.1 China'!L7</f>
        <v>175</v>
      </c>
      <c r="AD47" s="91">
        <f>'3.2 Lane Crawford'!L7</f>
        <v>100</v>
      </c>
      <c r="AE47" s="91">
        <f>'4.1 Nadim ME'!L7</f>
        <v>87.5</v>
      </c>
      <c r="AF47" s="91">
        <f>'4.2 ME Retail'!L7</f>
        <v>75</v>
      </c>
      <c r="AG47" s="91">
        <f>'5.1 Mingo'!L7</f>
        <v>50</v>
      </c>
      <c r="AH47" s="91">
        <f>'5.2 Juan'!L7</f>
        <v>239.99999999999994</v>
      </c>
      <c r="AI47" s="91">
        <f>'5.3 Vishal_India'!L7</f>
        <v>37.5</v>
      </c>
      <c r="AJ47" s="91">
        <f>'5.4 Export Event'!L7</f>
        <v>39.675000000000004</v>
      </c>
      <c r="AK47" s="91">
        <f>'5.5 ABC Brokers'!L7</f>
        <v>500</v>
      </c>
      <c r="AL47" s="91">
        <f>'6.1 eComm Growth EU'!L7</f>
        <v>360.60499999999996</v>
      </c>
      <c r="AM47" s="91">
        <f>'6.2 eComm Growth US'!L7</f>
        <v>207.65499999999997</v>
      </c>
      <c r="AN47" s="91">
        <f>'7.1 Cambrium NPD'!L7</f>
        <v>590.16499518000001</v>
      </c>
      <c r="AO47" s="91">
        <f>'7.2 Social Media_Mkting'!L7</f>
        <v>295.08249759</v>
      </c>
      <c r="AQ47" s="91">
        <f>'1.1 Core Markets Visibility'!M7</f>
        <v>1121.2643224999999</v>
      </c>
      <c r="AR47" s="91">
        <f>'1.2 Core Markets Team expansion'!M7</f>
        <v>644</v>
      </c>
      <c r="AS47" s="91">
        <f>'2.1 Mark Wuttke Contact Book'!M7</f>
        <v>3899.2851894479995</v>
      </c>
      <c r="AT47" s="91">
        <f>'2.2 Jaime Contact Book'!M7</f>
        <v>2773.8047176800001</v>
      </c>
      <c r="AU47" s="91">
        <f>'2.3 US Visibility'!M7</f>
        <v>627.21100791999993</v>
      </c>
      <c r="AV47" s="91">
        <f>'2.4 US Team Expansion'!M7</f>
        <v>644</v>
      </c>
      <c r="AW47" s="91">
        <f>'3.1 China'!M7</f>
        <v>250</v>
      </c>
      <c r="AX47" s="91">
        <f>'3.2 Lane Crawford'!M7</f>
        <v>150</v>
      </c>
      <c r="AY47" s="91">
        <f>'4.1 Nadim ME'!M7</f>
        <v>166.25</v>
      </c>
      <c r="AZ47" s="91">
        <f>'4.2 ME Retail'!M7</f>
        <v>125</v>
      </c>
      <c r="BA47" s="91">
        <f>'5.1 Mingo'!M7</f>
        <v>75</v>
      </c>
      <c r="BB47" s="91">
        <f>'5.2 Juan'!M7</f>
        <v>325.99999999999994</v>
      </c>
      <c r="BC47" s="91">
        <f>'5.3 Vishal_India'!M7</f>
        <v>50</v>
      </c>
      <c r="BD47" s="91">
        <f>'5.4 Export Event'!M7</f>
        <v>44.25</v>
      </c>
      <c r="BE47" s="91">
        <f>'5.5 ABC Brokers'!M7</f>
        <v>1000</v>
      </c>
      <c r="BF47" s="91">
        <f>'6.1 eComm Growth EU'!M7</f>
        <v>484.69574999999992</v>
      </c>
      <c r="BG47" s="91">
        <f>'6.2 eComm Growth US'!M7</f>
        <v>308.80324999999993</v>
      </c>
      <c r="BH47" s="91">
        <f>'7.1 Cambrium NPD'!M7</f>
        <v>810.13109061599994</v>
      </c>
      <c r="BI47" s="91">
        <f>'7.2 Social Media_Mkting'!M7</f>
        <v>405.06554530799997</v>
      </c>
    </row>
    <row r="48" spans="2:61">
      <c r="B48" t="s">
        <v>157</v>
      </c>
      <c r="C48" s="91">
        <f>'1.1 Core Markets Visibility'!K8</f>
        <v>-40.438361250000007</v>
      </c>
      <c r="D48" s="91">
        <f>'1.2 Core Markets Team expansion'!K8</f>
        <v>-12.600000000000001</v>
      </c>
      <c r="E48" s="91">
        <f>'2.1 Mark Wuttke Contact Book'!K8</f>
        <v>-269.90681916</v>
      </c>
      <c r="F48" s="91">
        <f>'2.2 Jaime Contact Book'!K8</f>
        <v>-170.36983559999999</v>
      </c>
      <c r="G48" s="91">
        <f>'2.3 US Visibility'!K8</f>
        <v>-13.597212300000001</v>
      </c>
      <c r="H48" s="91">
        <f>'2.4 US Team Expansion'!K8</f>
        <v>-12.600000000000001</v>
      </c>
      <c r="I48" s="91">
        <f>'3.1 China'!K8</f>
        <v>-50</v>
      </c>
      <c r="J48" s="91">
        <f>'3.2 Lane Crawford'!K8</f>
        <v>-20</v>
      </c>
      <c r="K48" s="91">
        <f>'4.1 Nadim ME'!K8</f>
        <v>-12.25</v>
      </c>
      <c r="L48" s="91">
        <f>'4.2 ME Retail'!K8</f>
        <v>-17.5</v>
      </c>
      <c r="M48" s="91">
        <f>'5.1 Mingo'!K8</f>
        <v>-12.374999999999998</v>
      </c>
      <c r="N48" s="91">
        <f>'5.2 Juan'!K8</f>
        <v>-40.499999999999986</v>
      </c>
      <c r="O48" s="91">
        <f>'5.3 Vishal_India'!K8</f>
        <v>-8.2499999999999982</v>
      </c>
      <c r="P48" s="91">
        <f>'5.4 Export Event'!K8</f>
        <v>-12.760781250000001</v>
      </c>
      <c r="Q48" s="91">
        <f>'5.5 ABC Brokers'!K8</f>
        <v>-82.499999999999986</v>
      </c>
      <c r="R48" s="91">
        <f>'6.1 eComm Growth EU'!K8</f>
        <v>-20.215999999999987</v>
      </c>
      <c r="S48" s="91">
        <f>'6.2 eComm Growth US'!K8</f>
        <v>-9.5759999999999934</v>
      </c>
      <c r="T48" s="91">
        <f>'7.1 Cambrium NPD'!K8</f>
        <v>-29.149906794750009</v>
      </c>
      <c r="U48" s="91">
        <f>'7.2 Social Media_Mkting'!K8</f>
        <v>-38.866542393000017</v>
      </c>
      <c r="W48" s="91">
        <f>'1.1 Core Markets Visibility'!L8</f>
        <v>-96.070782281250047</v>
      </c>
      <c r="X48" s="91">
        <f>'1.2 Core Markets Team expansion'!L8</f>
        <v>-49.560000000000024</v>
      </c>
      <c r="Y48" s="91">
        <f>'2.1 Mark Wuttke Contact Book'!L8</f>
        <v>-583.20847909665019</v>
      </c>
      <c r="Z48" s="91">
        <f>'2.2 Jaime Contact Book'!L8</f>
        <v>-411.09702645150008</v>
      </c>
      <c r="AA48" s="91">
        <f>'2.3 US Visibility'!L8</f>
        <v>-47.840519723500023</v>
      </c>
      <c r="AB48" s="91">
        <f>'2.4 US Team Expansion'!L8</f>
        <v>-49.560000000000024</v>
      </c>
      <c r="AC48" s="91">
        <f>'3.1 China'!L8</f>
        <v>-69.562500000000014</v>
      </c>
      <c r="AD48" s="91">
        <f>'3.2 Lane Crawford'!L8</f>
        <v>-39.750000000000007</v>
      </c>
      <c r="AE48" s="91">
        <f>'4.1 Nadim ME'!L8</f>
        <v>-30.406250000000004</v>
      </c>
      <c r="AF48" s="91">
        <f>'4.2 ME Retail'!L8</f>
        <v>-26.062500000000004</v>
      </c>
      <c r="AG48" s="91">
        <f>'5.1 Mingo'!L8</f>
        <v>-16.375</v>
      </c>
      <c r="AH48" s="91">
        <f>'5.2 Juan'!L8</f>
        <v>-81.299999999999983</v>
      </c>
      <c r="AI48" s="91">
        <f>'5.3 Vishal_India'!L8</f>
        <v>-12.28125</v>
      </c>
      <c r="AJ48" s="91">
        <f>'5.4 Export Event'!L8</f>
        <v>-13.787062500000005</v>
      </c>
      <c r="AK48" s="91">
        <f>'5.5 ABC Brokers'!L8</f>
        <v>-163.75</v>
      </c>
      <c r="AL48" s="91">
        <f>'6.1 eComm Growth EU'!L8</f>
        <v>-27.946887500000003</v>
      </c>
      <c r="AM48" s="91">
        <f>'6.2 eComm Growth US'!L8</f>
        <v>-16.093262500000002</v>
      </c>
      <c r="AN48" s="91">
        <f>'7.1 Cambrium NPD'!L8</f>
        <v>-109.87549718205003</v>
      </c>
      <c r="AO48" s="91">
        <f>'7.2 Social Media_Mkting'!L8</f>
        <v>-54.937748591025013</v>
      </c>
      <c r="AQ48" s="91">
        <f>'1.1 Core Markets Visibility'!M8</f>
        <v>-162.58332676250015</v>
      </c>
      <c r="AR48" s="91">
        <f>'1.2 Core Markets Team expansion'!M8</f>
        <v>-93.380000000000081</v>
      </c>
      <c r="AS48" s="91">
        <f>'2.1 Mark Wuttke Contact Book'!M8</f>
        <v>-760.36061194236038</v>
      </c>
      <c r="AT48" s="91">
        <f>'2.2 Jaime Contact Book'!M8</f>
        <v>-540.89191994760029</v>
      </c>
      <c r="AU48" s="91">
        <f>'2.3 US Visibility'!M8</f>
        <v>-90.945596148400071</v>
      </c>
      <c r="AV48" s="91">
        <f>'2.4 US Team Expansion'!M8</f>
        <v>-93.380000000000081</v>
      </c>
      <c r="AW48" s="91">
        <f>'3.1 China'!M8</f>
        <v>-98.750000000000028</v>
      </c>
      <c r="AX48" s="91">
        <f>'3.2 Lane Crawford'!M8</f>
        <v>-59.250000000000021</v>
      </c>
      <c r="AY48" s="91">
        <f>'4.1 Nadim ME'!M8</f>
        <v>-57.356250000000003</v>
      </c>
      <c r="AZ48" s="91">
        <f>'4.2 ME Retail'!M8</f>
        <v>-43.125000000000007</v>
      </c>
      <c r="BA48" s="91">
        <f>'5.1 Mingo'!M8</f>
        <v>-24.375000000000004</v>
      </c>
      <c r="BB48" s="91">
        <f>'5.2 Juan'!M8</f>
        <v>-111.62</v>
      </c>
      <c r="BC48" s="91">
        <f>'5.3 Vishal_India'!M8</f>
        <v>-16.250000000000004</v>
      </c>
      <c r="BD48" s="91">
        <f>'5.4 Export Event'!M8</f>
        <v>-15.266250000000003</v>
      </c>
      <c r="BE48" s="91">
        <f>'5.5 ABC Brokers'!M8</f>
        <v>-325.00000000000006</v>
      </c>
      <c r="BF48" s="91">
        <f>'6.1 eComm Growth EU'!M8</f>
        <v>-36.352181250000022</v>
      </c>
      <c r="BG48" s="91">
        <f>'6.2 eComm Growth US'!M8</f>
        <v>-23.160243750000017</v>
      </c>
      <c r="BH48" s="91">
        <f>'7.1 Cambrium NPD'!M8</f>
        <v>-154.58331481092009</v>
      </c>
      <c r="BI48" s="91">
        <f>'7.2 Social Media_Mkting'!M8</f>
        <v>-77.291657405460043</v>
      </c>
    </row>
    <row r="49" spans="2:61" ht="6" customHeight="1">
      <c r="B49" s="49"/>
      <c r="C49" s="3"/>
      <c r="D49" s="3"/>
      <c r="E49" s="10"/>
      <c r="F49" s="3"/>
      <c r="G49" s="10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2:61">
      <c r="B50" s="65" t="s">
        <v>158</v>
      </c>
      <c r="C50" s="121">
        <f t="shared" ref="C50:U50" si="90">SUM(C47:C48)</f>
        <v>229.15071374999997</v>
      </c>
      <c r="D50" s="121">
        <f t="shared" si="90"/>
        <v>71.400000000000006</v>
      </c>
      <c r="E50" s="121">
        <f t="shared" si="90"/>
        <v>1079.62727664</v>
      </c>
      <c r="F50" s="121">
        <f t="shared" si="90"/>
        <v>681.47934240000006</v>
      </c>
      <c r="G50" s="121">
        <f t="shared" si="90"/>
        <v>77.050869699999993</v>
      </c>
      <c r="H50" s="121">
        <f t="shared" si="90"/>
        <v>71.400000000000006</v>
      </c>
      <c r="I50" s="121">
        <f t="shared" si="90"/>
        <v>75</v>
      </c>
      <c r="J50" s="121">
        <f t="shared" si="90"/>
        <v>30</v>
      </c>
      <c r="K50" s="121">
        <f t="shared" si="90"/>
        <v>22.75</v>
      </c>
      <c r="L50" s="121">
        <f t="shared" si="90"/>
        <v>32.5</v>
      </c>
      <c r="M50" s="121">
        <f t="shared" si="90"/>
        <v>25.125</v>
      </c>
      <c r="N50" s="121">
        <f t="shared" si="90"/>
        <v>79.499999999999986</v>
      </c>
      <c r="O50" s="121">
        <f t="shared" si="90"/>
        <v>16.75</v>
      </c>
      <c r="P50" s="121">
        <f t="shared" si="90"/>
        <v>23.698593750000001</v>
      </c>
      <c r="Q50" s="121">
        <f t="shared" ref="Q50" si="91">SUM(Q47:Q48)</f>
        <v>167.5</v>
      </c>
      <c r="R50" s="121">
        <f t="shared" si="90"/>
        <v>232.48400000000001</v>
      </c>
      <c r="S50" s="121">
        <f t="shared" si="90"/>
        <v>110.124</v>
      </c>
      <c r="T50" s="121">
        <f t="shared" si="90"/>
        <v>125.26757188424999</v>
      </c>
      <c r="U50" s="121">
        <f t="shared" si="90"/>
        <v>167.023429179</v>
      </c>
      <c r="W50" s="121">
        <f t="shared" ref="W50:AO50" si="92">SUM(W47:W48)</f>
        <v>555.25655521875001</v>
      </c>
      <c r="X50" s="121">
        <f t="shared" si="92"/>
        <v>286.44</v>
      </c>
      <c r="Y50" s="121">
        <f t="shared" si="92"/>
        <v>2369.7458454433499</v>
      </c>
      <c r="Z50" s="121">
        <f t="shared" si="92"/>
        <v>1670.4069049484995</v>
      </c>
      <c r="AA50" s="121">
        <f t="shared" si="92"/>
        <v>276.50198687649993</v>
      </c>
      <c r="AB50" s="121">
        <f t="shared" si="92"/>
        <v>286.44</v>
      </c>
      <c r="AC50" s="121">
        <f t="shared" si="92"/>
        <v>105.43749999999999</v>
      </c>
      <c r="AD50" s="121">
        <f t="shared" si="92"/>
        <v>60.249999999999993</v>
      </c>
      <c r="AE50" s="121">
        <f t="shared" si="92"/>
        <v>57.09375</v>
      </c>
      <c r="AF50" s="121">
        <f t="shared" si="92"/>
        <v>48.9375</v>
      </c>
      <c r="AG50" s="121">
        <f t="shared" si="92"/>
        <v>33.625</v>
      </c>
      <c r="AH50" s="121">
        <f t="shared" si="92"/>
        <v>158.69999999999996</v>
      </c>
      <c r="AI50" s="121">
        <f t="shared" si="92"/>
        <v>25.21875</v>
      </c>
      <c r="AJ50" s="121">
        <f t="shared" si="92"/>
        <v>25.8879375</v>
      </c>
      <c r="AK50" s="121">
        <f t="shared" ref="AK50" si="93">SUM(AK47:AK48)</f>
        <v>336.25</v>
      </c>
      <c r="AL50" s="121">
        <f t="shared" si="92"/>
        <v>332.65811249999996</v>
      </c>
      <c r="AM50" s="121">
        <f t="shared" si="92"/>
        <v>191.56173749999996</v>
      </c>
      <c r="AN50" s="121">
        <f t="shared" si="92"/>
        <v>480.28949799794998</v>
      </c>
      <c r="AO50" s="121">
        <f t="shared" si="92"/>
        <v>240.14474899897499</v>
      </c>
      <c r="AQ50" s="121">
        <f t="shared" ref="AQ50:BI50" si="94">SUM(AQ47:AQ48)</f>
        <v>958.68099573749976</v>
      </c>
      <c r="AR50" s="121">
        <f t="shared" si="94"/>
        <v>550.61999999999989</v>
      </c>
      <c r="AS50" s="121">
        <f t="shared" si="94"/>
        <v>3138.9245775056393</v>
      </c>
      <c r="AT50" s="121">
        <f t="shared" si="94"/>
        <v>2232.9127977323997</v>
      </c>
      <c r="AU50" s="121">
        <f t="shared" si="94"/>
        <v>536.26541177159982</v>
      </c>
      <c r="AV50" s="121">
        <f t="shared" si="94"/>
        <v>550.61999999999989</v>
      </c>
      <c r="AW50" s="121">
        <f t="shared" si="94"/>
        <v>151.24999999999997</v>
      </c>
      <c r="AX50" s="121">
        <f t="shared" si="94"/>
        <v>90.749999999999972</v>
      </c>
      <c r="AY50" s="121">
        <f t="shared" si="94"/>
        <v>108.89375</v>
      </c>
      <c r="AZ50" s="121">
        <f t="shared" si="94"/>
        <v>81.875</v>
      </c>
      <c r="BA50" s="121">
        <f t="shared" si="94"/>
        <v>50.625</v>
      </c>
      <c r="BB50" s="121">
        <f t="shared" si="94"/>
        <v>214.37999999999994</v>
      </c>
      <c r="BC50" s="121">
        <f t="shared" si="94"/>
        <v>33.75</v>
      </c>
      <c r="BD50" s="121">
        <f t="shared" si="94"/>
        <v>28.983749999999997</v>
      </c>
      <c r="BE50" s="121">
        <f t="shared" ref="BE50" si="95">SUM(BE47:BE48)</f>
        <v>675</v>
      </c>
      <c r="BF50" s="121">
        <f t="shared" si="94"/>
        <v>448.34356874999992</v>
      </c>
      <c r="BG50" s="121">
        <f t="shared" si="94"/>
        <v>285.64300624999993</v>
      </c>
      <c r="BH50" s="121">
        <f t="shared" si="94"/>
        <v>655.54777580507982</v>
      </c>
      <c r="BI50" s="121">
        <f t="shared" si="94"/>
        <v>327.77388790253991</v>
      </c>
    </row>
    <row r="51" spans="2:61">
      <c r="B51" s="66" t="s">
        <v>160</v>
      </c>
      <c r="C51" s="67">
        <f t="shared" ref="C51:U51" si="96">C50/C$47</f>
        <v>0.85</v>
      </c>
      <c r="D51" s="67">
        <f t="shared" si="96"/>
        <v>0.85000000000000009</v>
      </c>
      <c r="E51" s="67">
        <f t="shared" si="96"/>
        <v>0.8</v>
      </c>
      <c r="F51" s="67">
        <f t="shared" si="96"/>
        <v>0.8</v>
      </c>
      <c r="G51" s="67">
        <f t="shared" si="96"/>
        <v>0.85</v>
      </c>
      <c r="H51" s="67">
        <f t="shared" si="96"/>
        <v>0.85000000000000009</v>
      </c>
      <c r="I51" s="67">
        <f t="shared" si="96"/>
        <v>0.6</v>
      </c>
      <c r="J51" s="67">
        <f t="shared" si="96"/>
        <v>0.6</v>
      </c>
      <c r="K51" s="67">
        <f t="shared" si="96"/>
        <v>0.65</v>
      </c>
      <c r="L51" s="67">
        <f t="shared" si="96"/>
        <v>0.65</v>
      </c>
      <c r="M51" s="67">
        <f t="shared" si="96"/>
        <v>0.67</v>
      </c>
      <c r="N51" s="67">
        <f t="shared" si="96"/>
        <v>0.66250000000000009</v>
      </c>
      <c r="O51" s="67">
        <f t="shared" si="96"/>
        <v>0.67</v>
      </c>
      <c r="P51" s="67">
        <f t="shared" si="96"/>
        <v>0.65</v>
      </c>
      <c r="Q51" s="67">
        <f t="shared" ref="Q51" si="97">Q50/Q$47</f>
        <v>0.67</v>
      </c>
      <c r="R51" s="67">
        <f t="shared" si="96"/>
        <v>0.92</v>
      </c>
      <c r="S51" s="67">
        <f t="shared" si="96"/>
        <v>0.92</v>
      </c>
      <c r="T51" s="67">
        <f t="shared" si="96"/>
        <v>0.81122663675045326</v>
      </c>
      <c r="U51" s="67">
        <f t="shared" si="96"/>
        <v>0.81122663675045315</v>
      </c>
      <c r="W51" s="67">
        <f t="shared" ref="W51:AO51" si="98">W50/W$47</f>
        <v>0.85250000000000004</v>
      </c>
      <c r="X51" s="67">
        <f t="shared" si="98"/>
        <v>0.85250000000000004</v>
      </c>
      <c r="Y51" s="67">
        <f t="shared" si="98"/>
        <v>0.80249999999999999</v>
      </c>
      <c r="Z51" s="67">
        <f t="shared" si="98"/>
        <v>0.80249999999999988</v>
      </c>
      <c r="AA51" s="67">
        <f t="shared" si="98"/>
        <v>0.85249999999999981</v>
      </c>
      <c r="AB51" s="67">
        <f t="shared" si="98"/>
        <v>0.85250000000000004</v>
      </c>
      <c r="AC51" s="67">
        <f t="shared" si="98"/>
        <v>0.60249999999999992</v>
      </c>
      <c r="AD51" s="67">
        <f t="shared" si="98"/>
        <v>0.60249999999999992</v>
      </c>
      <c r="AE51" s="67">
        <f t="shared" si="98"/>
        <v>0.65249999999999997</v>
      </c>
      <c r="AF51" s="67">
        <f t="shared" si="98"/>
        <v>0.65249999999999997</v>
      </c>
      <c r="AG51" s="67">
        <f t="shared" si="98"/>
        <v>0.67249999999999999</v>
      </c>
      <c r="AH51" s="67">
        <f t="shared" si="98"/>
        <v>0.66125</v>
      </c>
      <c r="AI51" s="67">
        <f t="shared" si="98"/>
        <v>0.67249999999999999</v>
      </c>
      <c r="AJ51" s="67">
        <f t="shared" si="98"/>
        <v>0.65249999999999997</v>
      </c>
      <c r="AK51" s="67">
        <f t="shared" ref="AK51" si="99">AK50/AK$47</f>
        <v>0.67249999999999999</v>
      </c>
      <c r="AL51" s="67">
        <f t="shared" si="98"/>
        <v>0.92249999999999999</v>
      </c>
      <c r="AM51" s="67">
        <f t="shared" si="98"/>
        <v>0.92249999999999999</v>
      </c>
      <c r="AN51" s="67">
        <f t="shared" si="98"/>
        <v>0.81382240885273438</v>
      </c>
      <c r="AO51" s="67">
        <f t="shared" si="98"/>
        <v>0.81382240885273438</v>
      </c>
      <c r="AQ51" s="67">
        <f t="shared" ref="AQ51:BI51" si="100">AQ50/AQ$47</f>
        <v>0.85499999999999987</v>
      </c>
      <c r="AR51" s="67">
        <f t="shared" si="100"/>
        <v>0.85499999999999987</v>
      </c>
      <c r="AS51" s="67">
        <f t="shared" si="100"/>
        <v>0.80499999999999994</v>
      </c>
      <c r="AT51" s="67">
        <f t="shared" si="100"/>
        <v>0.80499999999999983</v>
      </c>
      <c r="AU51" s="67">
        <f t="shared" si="100"/>
        <v>0.85499999999999976</v>
      </c>
      <c r="AV51" s="67">
        <f t="shared" si="100"/>
        <v>0.85499999999999987</v>
      </c>
      <c r="AW51" s="67">
        <f t="shared" si="100"/>
        <v>0.60499999999999987</v>
      </c>
      <c r="AX51" s="67">
        <f t="shared" si="100"/>
        <v>0.60499999999999976</v>
      </c>
      <c r="AY51" s="67">
        <f t="shared" si="100"/>
        <v>0.65500000000000003</v>
      </c>
      <c r="AZ51" s="67">
        <f t="shared" si="100"/>
        <v>0.65500000000000003</v>
      </c>
      <c r="BA51" s="67">
        <f t="shared" si="100"/>
        <v>0.67500000000000004</v>
      </c>
      <c r="BB51" s="67">
        <f t="shared" si="100"/>
        <v>0.65760736196319014</v>
      </c>
      <c r="BC51" s="67">
        <f t="shared" si="100"/>
        <v>0.67500000000000004</v>
      </c>
      <c r="BD51" s="67">
        <f t="shared" si="100"/>
        <v>0.65499999999999992</v>
      </c>
      <c r="BE51" s="67">
        <f t="shared" ref="BE51" si="101">BE50/BE$47</f>
        <v>0.67500000000000004</v>
      </c>
      <c r="BF51" s="67">
        <f t="shared" si="100"/>
        <v>0.92499999999999993</v>
      </c>
      <c r="BG51" s="67">
        <f t="shared" si="100"/>
        <v>0.92499999999999993</v>
      </c>
      <c r="BH51" s="67">
        <f t="shared" si="100"/>
        <v>0.80918728264905926</v>
      </c>
      <c r="BI51" s="67">
        <f t="shared" si="100"/>
        <v>0.80918728264905926</v>
      </c>
    </row>
    <row r="52" spans="2:61" ht="6" customHeight="1">
      <c r="B52" s="49"/>
      <c r="C52" s="3"/>
      <c r="D52" s="3"/>
      <c r="E52" s="10"/>
      <c r="F52" s="3"/>
      <c r="G52" s="10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2:61">
      <c r="B53" t="s">
        <v>162</v>
      </c>
      <c r="C53" s="91">
        <f>'1.1 Core Markets Visibility'!K13</f>
        <v>-2.6958907499999998</v>
      </c>
      <c r="D53" s="91">
        <f>'1.2 Core Markets Team expansion'!K13</f>
        <v>-0.84</v>
      </c>
      <c r="E53" s="91">
        <f>'2.1 Mark Wuttke Contact Book'!K13</f>
        <v>-94.467386705999999</v>
      </c>
      <c r="F53" s="91">
        <f>'2.2 Jaime Contact Book'!K13</f>
        <v>-59.629442460000007</v>
      </c>
      <c r="G53" s="91">
        <f>'2.3 US Visibility'!K13</f>
        <v>-6.3453657400000001</v>
      </c>
      <c r="H53" s="91">
        <f>'2.4 US Team Expansion'!K13</f>
        <v>-5.88</v>
      </c>
      <c r="I53" s="91">
        <f>'3.1 China'!K13</f>
        <v>-8.75</v>
      </c>
      <c r="J53" s="91">
        <f>'3.2 Lane Crawford'!K13</f>
        <v>-3.5000000000000004</v>
      </c>
      <c r="K53" s="91">
        <f>'4.1 Nadim ME'!K13</f>
        <v>-0.35000000000000003</v>
      </c>
      <c r="L53" s="91">
        <f>'4.2 ME Retail'!K13</f>
        <v>-0.5</v>
      </c>
      <c r="M53" s="91">
        <f>'5.1 Mingo'!K13</f>
        <v>0</v>
      </c>
      <c r="N53" s="91">
        <f>'5.2 Juan'!K13</f>
        <v>0</v>
      </c>
      <c r="O53" s="91">
        <f>'5.3 Vishal_India'!K13</f>
        <v>0</v>
      </c>
      <c r="P53" s="91">
        <f>'5.4 Export Event'!K13</f>
        <v>0</v>
      </c>
      <c r="Q53" s="91">
        <f>'5.5 ABC Brokers'!K13</f>
        <v>0</v>
      </c>
      <c r="R53" s="91">
        <f>'6.1 eComm Growth EU'!K13</f>
        <v>-7.5809999999999995</v>
      </c>
      <c r="S53" s="91">
        <f>'6.2 eComm Growth US'!K13</f>
        <v>-4.7879999999999994</v>
      </c>
      <c r="T53" s="91">
        <f>'7.1 Cambrium NPD'!K13</f>
        <v>-3.0369185110799997</v>
      </c>
      <c r="U53" s="91">
        <f>'7.2 Social Media_Mkting'!K13</f>
        <v>-4.0492246814400001</v>
      </c>
      <c r="W53" s="91">
        <f>'1.1 Core Markets Visibility'!L13</f>
        <v>-6.5132733749999998</v>
      </c>
      <c r="X53" s="91">
        <f>'1.2 Core Markets Team expansion'!L13</f>
        <v>-3.36</v>
      </c>
      <c r="Y53" s="91">
        <f>'2.1 Mark Wuttke Contact Book'!L13</f>
        <v>-206.70680271780003</v>
      </c>
      <c r="Z53" s="91">
        <f>'2.2 Jaime Contact Book'!L13</f>
        <v>-145.70527519799998</v>
      </c>
      <c r="AA53" s="91">
        <f>'2.3 US Visibility'!L13</f>
        <v>-22.703975461999999</v>
      </c>
      <c r="AB53" s="91">
        <f>'2.4 US Team Expansion'!L13</f>
        <v>-23.52</v>
      </c>
      <c r="AC53" s="91">
        <f>'3.1 China'!L13</f>
        <v>-12.250000000000002</v>
      </c>
      <c r="AD53" s="91">
        <f>'3.2 Lane Crawford'!L13</f>
        <v>-7.0000000000000009</v>
      </c>
      <c r="AE53" s="91">
        <f>'4.1 Nadim ME'!L13</f>
        <v>-0.875</v>
      </c>
      <c r="AF53" s="91">
        <f>'4.2 ME Retail'!L13</f>
        <v>-0.75</v>
      </c>
      <c r="AG53" s="91">
        <f>'5.1 Mingo'!L13</f>
        <v>0</v>
      </c>
      <c r="AH53" s="91">
        <f>'5.2 Juan'!L13</f>
        <v>0</v>
      </c>
      <c r="AI53" s="91">
        <f>'5.3 Vishal_India'!L13</f>
        <v>0</v>
      </c>
      <c r="AJ53" s="91">
        <f>'5.4 Export Event'!L13</f>
        <v>0</v>
      </c>
      <c r="AK53" s="91">
        <f>'5.5 ABC Brokers'!L13</f>
        <v>0</v>
      </c>
      <c r="AL53" s="91">
        <f>'6.1 eComm Growth EU'!L13</f>
        <v>-10.818149999999999</v>
      </c>
      <c r="AM53" s="91">
        <f>'6.2 eComm Growth US'!L13</f>
        <v>-8.3061999999999987</v>
      </c>
      <c r="AN53" s="91">
        <f>'7.1 Cambrium NPD'!L13</f>
        <v>-12.149906966100001</v>
      </c>
      <c r="AO53" s="91">
        <f>'7.2 Social Media_Mkting'!L13</f>
        <v>-6.0749534830500007</v>
      </c>
      <c r="AQ53" s="91">
        <f>'1.1 Core Markets Visibility'!M13</f>
        <v>-11.212643224999999</v>
      </c>
      <c r="AR53" s="91">
        <f>'1.2 Core Markets Team expansion'!M13</f>
        <v>-6.44</v>
      </c>
      <c r="AS53" s="91">
        <f>'2.1 Mark Wuttke Contact Book'!M13</f>
        <v>-272.94996326135998</v>
      </c>
      <c r="AT53" s="91">
        <f>'2.2 Jaime Contact Book'!M13</f>
        <v>-194.16633023760002</v>
      </c>
      <c r="AU53" s="91">
        <f>'2.3 US Visibility'!M13</f>
        <v>-43.904770554400002</v>
      </c>
      <c r="AV53" s="91">
        <f>'2.4 US Team Expansion'!M13</f>
        <v>-45.08</v>
      </c>
      <c r="AW53" s="91">
        <f>'3.1 China'!M13</f>
        <v>-17.5</v>
      </c>
      <c r="AX53" s="91">
        <f>'3.2 Lane Crawford'!M13</f>
        <v>-10.500000000000002</v>
      </c>
      <c r="AY53" s="91">
        <f>'4.1 Nadim ME'!M13</f>
        <v>-1.6625000000000001</v>
      </c>
      <c r="AZ53" s="91">
        <f>'4.2 ME Retail'!M13</f>
        <v>-1.25</v>
      </c>
      <c r="BA53" s="91">
        <f>'5.1 Mingo'!M13</f>
        <v>0</v>
      </c>
      <c r="BB53" s="91">
        <f>'5.2 Juan'!M13</f>
        <v>0</v>
      </c>
      <c r="BC53" s="91">
        <f>'5.3 Vishal_India'!M13</f>
        <v>0</v>
      </c>
      <c r="BD53" s="91">
        <f>'5.4 Export Event'!M13</f>
        <v>0</v>
      </c>
      <c r="BE53" s="91">
        <f>'5.5 ABC Brokers'!M13</f>
        <v>0</v>
      </c>
      <c r="BF53" s="91">
        <f>'6.1 eComm Growth EU'!M13</f>
        <v>-14.540872499999995</v>
      </c>
      <c r="BG53" s="91">
        <f>'6.2 eComm Growth US'!M13</f>
        <v>-12.352129999999997</v>
      </c>
      <c r="BH53" s="91">
        <f>'7.1 Cambrium NPD'!M13</f>
        <v>-16.402806607319999</v>
      </c>
      <c r="BI53" s="91">
        <f>'7.2 Social Media_Mkting'!M13</f>
        <v>-8.2014033036599994</v>
      </c>
    </row>
    <row r="54" spans="2:61">
      <c r="B54" t="s">
        <v>163</v>
      </c>
      <c r="C54" s="91">
        <f>'1.1 Core Markets Visibility'!K14</f>
        <v>0</v>
      </c>
      <c r="D54" s="91">
        <f>'1.2 Core Markets Team expansion'!K14</f>
        <v>0</v>
      </c>
      <c r="E54" s="91">
        <f>'2.1 Mark Wuttke Contact Book'!K14</f>
        <v>-65.999999999999986</v>
      </c>
      <c r="F54" s="91">
        <f>'2.2 Jaime Contact Book'!K14</f>
        <v>-42.15</v>
      </c>
      <c r="G54" s="91">
        <f>'2.3 US Visibility'!K14</f>
        <v>0</v>
      </c>
      <c r="H54" s="91">
        <f>'2.4 US Team Expansion'!K14</f>
        <v>0</v>
      </c>
      <c r="I54" s="91">
        <f>'3.1 China'!K14</f>
        <v>0</v>
      </c>
      <c r="J54" s="91">
        <f>'3.2 Lane Crawford'!K14</f>
        <v>0</v>
      </c>
      <c r="K54" s="91">
        <f>'4.1 Nadim ME'!K14</f>
        <v>0</v>
      </c>
      <c r="L54" s="91">
        <f>'4.2 ME Retail'!K14</f>
        <v>0</v>
      </c>
      <c r="M54" s="91">
        <f>'5.1 Mingo'!K14</f>
        <v>0</v>
      </c>
      <c r="N54" s="91">
        <f>'5.2 Juan'!K14</f>
        <v>0</v>
      </c>
      <c r="O54" s="91">
        <f>'5.3 Vishal_India'!K14</f>
        <v>0</v>
      </c>
      <c r="P54" s="91">
        <f>'5.4 Export Event'!K14</f>
        <v>0</v>
      </c>
      <c r="Q54" s="91">
        <f>'5.5 ABC Brokers'!K14</f>
        <v>0</v>
      </c>
      <c r="R54" s="91">
        <f>'6.1 eComm Growth EU'!K14</f>
        <v>0</v>
      </c>
      <c r="S54" s="91">
        <f>'6.2 eComm Growth US'!K14</f>
        <v>0</v>
      </c>
      <c r="T54" s="91">
        <f>'7.1 Cambrium NPD'!K14</f>
        <v>-2.0355679687499997</v>
      </c>
      <c r="U54" s="91">
        <f>'7.2 Social Media_Mkting'!K14</f>
        <v>-2.7140906249999999</v>
      </c>
      <c r="W54" s="91">
        <f>'1.1 Core Markets Visibility'!L14</f>
        <v>-19.539820124999999</v>
      </c>
      <c r="X54" s="91">
        <f>'1.2 Core Markets Team expansion'!L14</f>
        <v>-10.079999999999998</v>
      </c>
      <c r="Y54" s="91">
        <f>'2.1 Mark Wuttke Contact Book'!L14</f>
        <v>-144.37499999999997</v>
      </c>
      <c r="Z54" s="91">
        <f>'2.2 Jaime Contact Book'!L14</f>
        <v>-103.5</v>
      </c>
      <c r="AA54" s="91">
        <f>'2.3 US Visibility'!L14</f>
        <v>0</v>
      </c>
      <c r="AB54" s="91">
        <f>'2.4 US Team Expansion'!L14</f>
        <v>0</v>
      </c>
      <c r="AC54" s="91">
        <f>'3.1 China'!L14</f>
        <v>0</v>
      </c>
      <c r="AD54" s="91">
        <f>'3.2 Lane Crawford'!L14</f>
        <v>0</v>
      </c>
      <c r="AE54" s="91">
        <f>'4.1 Nadim ME'!L14</f>
        <v>0</v>
      </c>
      <c r="AF54" s="91">
        <f>'4.2 ME Retail'!L14</f>
        <v>0</v>
      </c>
      <c r="AG54" s="91">
        <f>'5.1 Mingo'!L14</f>
        <v>0</v>
      </c>
      <c r="AH54" s="91">
        <f>'5.2 Juan'!L14</f>
        <v>0</v>
      </c>
      <c r="AI54" s="91">
        <f>'5.3 Vishal_India'!L14</f>
        <v>0</v>
      </c>
      <c r="AJ54" s="91">
        <f>'5.4 Export Event'!L14</f>
        <v>0</v>
      </c>
      <c r="AK54" s="91">
        <f>'5.5 ABC Brokers'!L14</f>
        <v>0</v>
      </c>
      <c r="AL54" s="91">
        <f>'6.1 eComm Growth EU'!L14</f>
        <v>0</v>
      </c>
      <c r="AM54" s="91">
        <f>'6.2 eComm Growth US'!L14</f>
        <v>0</v>
      </c>
      <c r="AN54" s="91">
        <f>'7.1 Cambrium NPD'!L14</f>
        <v>-7.9833632812500008</v>
      </c>
      <c r="AO54" s="91">
        <f>'7.2 Social Media_Mkting'!L14</f>
        <v>-3.9916816406250004</v>
      </c>
      <c r="AQ54" s="91">
        <f>'1.1 Core Markets Visibility'!M14</f>
        <v>-33.637929674999995</v>
      </c>
      <c r="AR54" s="91">
        <f>'1.2 Core Markets Team expansion'!M14</f>
        <v>-19.319999999999997</v>
      </c>
      <c r="AS54" s="91">
        <f>'2.1 Mark Wuttke Contact Book'!M14</f>
        <v>-189.74999999999997</v>
      </c>
      <c r="AT54" s="91">
        <f>'2.2 Jaime Contact Book'!M14</f>
        <v>-138</v>
      </c>
      <c r="AU54" s="91">
        <f>'2.3 US Visibility'!M14</f>
        <v>0</v>
      </c>
      <c r="AV54" s="91">
        <f>'2.4 US Team Expansion'!M14</f>
        <v>0</v>
      </c>
      <c r="AW54" s="91">
        <f>'3.1 China'!M14</f>
        <v>0</v>
      </c>
      <c r="AX54" s="91">
        <f>'3.2 Lane Crawford'!M14</f>
        <v>0</v>
      </c>
      <c r="AY54" s="91">
        <f>'4.1 Nadim ME'!M14</f>
        <v>0</v>
      </c>
      <c r="AZ54" s="91">
        <f>'4.2 ME Retail'!M14</f>
        <v>0</v>
      </c>
      <c r="BA54" s="91">
        <f>'5.1 Mingo'!M14</f>
        <v>0</v>
      </c>
      <c r="BB54" s="91">
        <f>'5.2 Juan'!M14</f>
        <v>0</v>
      </c>
      <c r="BC54" s="91">
        <f>'5.3 Vishal_India'!M14</f>
        <v>0</v>
      </c>
      <c r="BD54" s="91">
        <f>'5.4 Export Event'!M14</f>
        <v>0</v>
      </c>
      <c r="BE54" s="91">
        <f>'5.5 ABC Brokers'!M14</f>
        <v>0</v>
      </c>
      <c r="BF54" s="91">
        <f>'6.1 eComm Growth EU'!M14</f>
        <v>0</v>
      </c>
      <c r="BG54" s="91">
        <f>'6.2 eComm Growth US'!M14</f>
        <v>0</v>
      </c>
      <c r="BH54" s="91">
        <f>'7.1 Cambrium NPD'!M14</f>
        <v>-10.380231562500001</v>
      </c>
      <c r="BI54" s="91">
        <f>'7.2 Social Media_Mkting'!M14</f>
        <v>-5.1901157812500003</v>
      </c>
    </row>
    <row r="55" spans="2:61" ht="6" customHeight="1">
      <c r="B55" s="49"/>
      <c r="C55" s="3"/>
      <c r="D55" s="3"/>
      <c r="E55" s="10"/>
      <c r="F55" s="3"/>
      <c r="G55" s="10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2:61">
      <c r="B56" s="65" t="s">
        <v>166</v>
      </c>
      <c r="C56" s="121">
        <f t="shared" ref="C56:U56" si="102">SUM(C50,C53:C54)</f>
        <v>226.45482299999998</v>
      </c>
      <c r="D56" s="121">
        <f t="shared" si="102"/>
        <v>70.56</v>
      </c>
      <c r="E56" s="121">
        <f t="shared" si="102"/>
        <v>919.15988993400003</v>
      </c>
      <c r="F56" s="121">
        <f t="shared" si="102"/>
        <v>579.69989994000014</v>
      </c>
      <c r="G56" s="121">
        <f t="shared" si="102"/>
        <v>70.705503959999987</v>
      </c>
      <c r="H56" s="121">
        <f t="shared" si="102"/>
        <v>65.52000000000001</v>
      </c>
      <c r="I56" s="121">
        <f t="shared" si="102"/>
        <v>66.25</v>
      </c>
      <c r="J56" s="121">
        <f t="shared" si="102"/>
        <v>26.5</v>
      </c>
      <c r="K56" s="121">
        <f t="shared" si="102"/>
        <v>22.4</v>
      </c>
      <c r="L56" s="121">
        <f t="shared" si="102"/>
        <v>32</v>
      </c>
      <c r="M56" s="121">
        <f t="shared" si="102"/>
        <v>25.125</v>
      </c>
      <c r="N56" s="121">
        <f t="shared" si="102"/>
        <v>79.499999999999986</v>
      </c>
      <c r="O56" s="121">
        <f t="shared" si="102"/>
        <v>16.75</v>
      </c>
      <c r="P56" s="121">
        <f t="shared" si="102"/>
        <v>23.698593750000001</v>
      </c>
      <c r="Q56" s="121">
        <f t="shared" ref="Q56" si="103">SUM(Q50,Q53:Q54)</f>
        <v>167.5</v>
      </c>
      <c r="R56" s="121">
        <f t="shared" si="102"/>
        <v>224.90300000000002</v>
      </c>
      <c r="S56" s="121">
        <f t="shared" si="102"/>
        <v>105.336</v>
      </c>
      <c r="T56" s="121">
        <f t="shared" si="102"/>
        <v>120.19508540441998</v>
      </c>
      <c r="U56" s="121">
        <f t="shared" si="102"/>
        <v>160.26011387256</v>
      </c>
      <c r="W56" s="121">
        <f t="shared" ref="W56:AO56" si="104">SUM(W50,W53:W54)</f>
        <v>529.20346171874996</v>
      </c>
      <c r="X56" s="121">
        <f t="shared" si="104"/>
        <v>273</v>
      </c>
      <c r="Y56" s="121">
        <f t="shared" si="104"/>
        <v>2018.6640427255497</v>
      </c>
      <c r="Z56" s="121">
        <f t="shared" si="104"/>
        <v>1421.2016297504995</v>
      </c>
      <c r="AA56" s="121">
        <f t="shared" si="104"/>
        <v>253.79801141449994</v>
      </c>
      <c r="AB56" s="121">
        <f t="shared" si="104"/>
        <v>262.92</v>
      </c>
      <c r="AC56" s="121">
        <f t="shared" si="104"/>
        <v>93.187499999999986</v>
      </c>
      <c r="AD56" s="121">
        <f t="shared" si="104"/>
        <v>53.249999999999993</v>
      </c>
      <c r="AE56" s="121">
        <f t="shared" si="104"/>
        <v>56.21875</v>
      </c>
      <c r="AF56" s="121">
        <f t="shared" si="104"/>
        <v>48.1875</v>
      </c>
      <c r="AG56" s="121">
        <f t="shared" si="104"/>
        <v>33.625</v>
      </c>
      <c r="AH56" s="121">
        <f t="shared" si="104"/>
        <v>158.69999999999996</v>
      </c>
      <c r="AI56" s="121">
        <f t="shared" si="104"/>
        <v>25.21875</v>
      </c>
      <c r="AJ56" s="121">
        <f t="shared" si="104"/>
        <v>25.8879375</v>
      </c>
      <c r="AK56" s="121">
        <f t="shared" ref="AK56" si="105">SUM(AK50,AK53:AK54)</f>
        <v>336.25</v>
      </c>
      <c r="AL56" s="121">
        <f t="shared" si="104"/>
        <v>321.83996249999996</v>
      </c>
      <c r="AM56" s="121">
        <f t="shared" si="104"/>
        <v>183.25553749999997</v>
      </c>
      <c r="AN56" s="121">
        <f t="shared" si="104"/>
        <v>460.15622775060001</v>
      </c>
      <c r="AO56" s="121">
        <f t="shared" si="104"/>
        <v>230.07811387530001</v>
      </c>
      <c r="AQ56" s="121">
        <f t="shared" ref="AQ56:BI56" si="106">SUM(AQ50,AQ53:AQ54)</f>
        <v>913.83042283749978</v>
      </c>
      <c r="AR56" s="121">
        <f t="shared" si="106"/>
        <v>524.85999999999979</v>
      </c>
      <c r="AS56" s="121">
        <f t="shared" si="106"/>
        <v>2676.2246142442791</v>
      </c>
      <c r="AT56" s="121">
        <f t="shared" si="106"/>
        <v>1900.7464674947996</v>
      </c>
      <c r="AU56" s="121">
        <f t="shared" si="106"/>
        <v>492.36064121719983</v>
      </c>
      <c r="AV56" s="121">
        <f t="shared" si="106"/>
        <v>505.53999999999991</v>
      </c>
      <c r="AW56" s="121">
        <f t="shared" si="106"/>
        <v>133.74999999999997</v>
      </c>
      <c r="AX56" s="121">
        <f t="shared" si="106"/>
        <v>80.249999999999972</v>
      </c>
      <c r="AY56" s="121">
        <f t="shared" si="106"/>
        <v>107.23125</v>
      </c>
      <c r="AZ56" s="121">
        <f t="shared" si="106"/>
        <v>80.625</v>
      </c>
      <c r="BA56" s="121">
        <f t="shared" si="106"/>
        <v>50.625</v>
      </c>
      <c r="BB56" s="121">
        <f t="shared" si="106"/>
        <v>214.37999999999994</v>
      </c>
      <c r="BC56" s="121">
        <f t="shared" si="106"/>
        <v>33.75</v>
      </c>
      <c r="BD56" s="121">
        <f t="shared" si="106"/>
        <v>28.983749999999997</v>
      </c>
      <c r="BE56" s="121">
        <f t="shared" ref="BE56" si="107">SUM(BE50,BE53:BE54)</f>
        <v>675</v>
      </c>
      <c r="BF56" s="121">
        <f t="shared" si="106"/>
        <v>433.80269624999994</v>
      </c>
      <c r="BG56" s="121">
        <f t="shared" si="106"/>
        <v>273.29087624999994</v>
      </c>
      <c r="BH56" s="121">
        <f t="shared" si="106"/>
        <v>628.76473763525973</v>
      </c>
      <c r="BI56" s="121">
        <f t="shared" si="106"/>
        <v>314.38236881762987</v>
      </c>
    </row>
    <row r="57" spans="2:61">
      <c r="B57" s="66" t="s">
        <v>167</v>
      </c>
      <c r="C57" s="67">
        <f t="shared" ref="C57:U57" si="108">C56/C$47</f>
        <v>0.84</v>
      </c>
      <c r="D57" s="67">
        <f t="shared" si="108"/>
        <v>0.84000000000000008</v>
      </c>
      <c r="E57" s="67">
        <f t="shared" si="108"/>
        <v>0.68109423303538297</v>
      </c>
      <c r="F57" s="67">
        <f t="shared" si="108"/>
        <v>0.68051940990427306</v>
      </c>
      <c r="G57" s="67">
        <f t="shared" si="108"/>
        <v>0.77999999999999992</v>
      </c>
      <c r="H57" s="67">
        <f t="shared" si="108"/>
        <v>0.78000000000000014</v>
      </c>
      <c r="I57" s="67">
        <f t="shared" si="108"/>
        <v>0.53</v>
      </c>
      <c r="J57" s="67">
        <f t="shared" si="108"/>
        <v>0.53</v>
      </c>
      <c r="K57" s="67">
        <f t="shared" si="108"/>
        <v>0.64</v>
      </c>
      <c r="L57" s="67">
        <f t="shared" si="108"/>
        <v>0.64</v>
      </c>
      <c r="M57" s="67">
        <f t="shared" si="108"/>
        <v>0.67</v>
      </c>
      <c r="N57" s="67">
        <f t="shared" si="108"/>
        <v>0.66250000000000009</v>
      </c>
      <c r="O57" s="67">
        <f t="shared" si="108"/>
        <v>0.67</v>
      </c>
      <c r="P57" s="67">
        <f t="shared" si="108"/>
        <v>0.65</v>
      </c>
      <c r="Q57" s="67">
        <f t="shared" ref="Q57" si="109">Q56/Q$47</f>
        <v>0.67</v>
      </c>
      <c r="R57" s="67">
        <f t="shared" si="108"/>
        <v>0.89000000000000012</v>
      </c>
      <c r="S57" s="67">
        <f t="shared" si="108"/>
        <v>0.88000000000000012</v>
      </c>
      <c r="T57" s="67">
        <f t="shared" si="108"/>
        <v>0.77837746369553895</v>
      </c>
      <c r="U57" s="67">
        <f t="shared" si="108"/>
        <v>0.77837746369553895</v>
      </c>
      <c r="W57" s="67">
        <f t="shared" ref="W57:AO57" si="110">W56/W$47</f>
        <v>0.8125</v>
      </c>
      <c r="X57" s="67">
        <f t="shared" si="110"/>
        <v>0.8125</v>
      </c>
      <c r="Y57" s="67">
        <f t="shared" si="110"/>
        <v>0.68360828542107899</v>
      </c>
      <c r="Z57" s="67">
        <f t="shared" si="110"/>
        <v>0.68277633700869966</v>
      </c>
      <c r="AA57" s="67">
        <f t="shared" si="110"/>
        <v>0.78249999999999986</v>
      </c>
      <c r="AB57" s="67">
        <f t="shared" si="110"/>
        <v>0.78250000000000008</v>
      </c>
      <c r="AC57" s="67">
        <f t="shared" si="110"/>
        <v>0.53249999999999997</v>
      </c>
      <c r="AD57" s="67">
        <f t="shared" si="110"/>
        <v>0.53249999999999997</v>
      </c>
      <c r="AE57" s="67">
        <f t="shared" si="110"/>
        <v>0.64249999999999996</v>
      </c>
      <c r="AF57" s="67">
        <f t="shared" si="110"/>
        <v>0.64249999999999996</v>
      </c>
      <c r="AG57" s="67">
        <f t="shared" si="110"/>
        <v>0.67249999999999999</v>
      </c>
      <c r="AH57" s="67">
        <f t="shared" si="110"/>
        <v>0.66125</v>
      </c>
      <c r="AI57" s="67">
        <f t="shared" si="110"/>
        <v>0.67249999999999999</v>
      </c>
      <c r="AJ57" s="67">
        <f t="shared" si="110"/>
        <v>0.65249999999999997</v>
      </c>
      <c r="AK57" s="67">
        <f t="shared" ref="AK57" si="111">AK56/AK$47</f>
        <v>0.67249999999999999</v>
      </c>
      <c r="AL57" s="67">
        <f t="shared" si="110"/>
        <v>0.89249999999999996</v>
      </c>
      <c r="AM57" s="67">
        <f t="shared" si="110"/>
        <v>0.88249999999999995</v>
      </c>
      <c r="AN57" s="67">
        <f t="shared" si="110"/>
        <v>0.77970776225088134</v>
      </c>
      <c r="AO57" s="67">
        <f t="shared" si="110"/>
        <v>0.77970776225088134</v>
      </c>
      <c r="AQ57" s="67">
        <f t="shared" ref="AQ57:BI57" si="112">AQ56/AQ$47</f>
        <v>0.81499999999999984</v>
      </c>
      <c r="AR57" s="67">
        <f t="shared" si="112"/>
        <v>0.81499999999999961</v>
      </c>
      <c r="AS57" s="67">
        <f t="shared" si="112"/>
        <v>0.68633723470304508</v>
      </c>
      <c r="AT57" s="67">
        <f t="shared" si="112"/>
        <v>0.68524884083569404</v>
      </c>
      <c r="AU57" s="67">
        <f t="shared" si="112"/>
        <v>0.78499999999999981</v>
      </c>
      <c r="AV57" s="67">
        <f t="shared" si="112"/>
        <v>0.78499999999999981</v>
      </c>
      <c r="AW57" s="67">
        <f t="shared" si="112"/>
        <v>0.53499999999999992</v>
      </c>
      <c r="AX57" s="67">
        <f t="shared" si="112"/>
        <v>0.53499999999999981</v>
      </c>
      <c r="AY57" s="67">
        <f t="shared" si="112"/>
        <v>0.64500000000000002</v>
      </c>
      <c r="AZ57" s="67">
        <f t="shared" si="112"/>
        <v>0.64500000000000002</v>
      </c>
      <c r="BA57" s="67">
        <f t="shared" si="112"/>
        <v>0.67500000000000004</v>
      </c>
      <c r="BB57" s="67">
        <f t="shared" si="112"/>
        <v>0.65760736196319014</v>
      </c>
      <c r="BC57" s="67">
        <f t="shared" si="112"/>
        <v>0.67500000000000004</v>
      </c>
      <c r="BD57" s="67">
        <f t="shared" si="112"/>
        <v>0.65499999999999992</v>
      </c>
      <c r="BE57" s="67">
        <f t="shared" ref="BE57" si="113">BE56/BE$47</f>
        <v>0.67500000000000004</v>
      </c>
      <c r="BF57" s="67">
        <f t="shared" si="112"/>
        <v>0.89500000000000002</v>
      </c>
      <c r="BG57" s="67">
        <f t="shared" si="112"/>
        <v>0.88500000000000001</v>
      </c>
      <c r="BH57" s="67">
        <f t="shared" si="112"/>
        <v>0.77612715388711406</v>
      </c>
      <c r="BI57" s="67">
        <f t="shared" si="112"/>
        <v>0.77612715388711406</v>
      </c>
    </row>
    <row r="58" spans="2:61" ht="6" customHeight="1">
      <c r="B58" s="49"/>
      <c r="C58" s="3"/>
      <c r="D58" s="3"/>
      <c r="E58" s="10"/>
      <c r="F58" s="3"/>
      <c r="G58" s="10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2:61">
      <c r="B59" t="s">
        <v>168</v>
      </c>
      <c r="C59" s="91">
        <f>'1.1 Core Markets Visibility'!K19</f>
        <v>-542.9</v>
      </c>
      <c r="D59" s="91">
        <f>'1.2 Core Markets Team expansion'!K19</f>
        <v>0</v>
      </c>
      <c r="E59" s="91">
        <f>'2.1 Mark Wuttke Contact Book'!K19</f>
        <v>-40.486022874</v>
      </c>
      <c r="F59" s="91">
        <f>'2.2 Jaime Contact Book'!K19</f>
        <v>-25.555475340000001</v>
      </c>
      <c r="G59" s="91">
        <f>'2.3 US Visibility'!K19</f>
        <v>-127.5</v>
      </c>
      <c r="H59" s="91">
        <f>'2.4 US Team Expansion'!K19</f>
        <v>0</v>
      </c>
      <c r="I59" s="91">
        <f>'3.1 China'!K19</f>
        <v>-100</v>
      </c>
      <c r="J59" s="91">
        <f>'3.2 Lane Crawford'!K19</f>
        <v>-50</v>
      </c>
      <c r="K59" s="91">
        <f>'4.1 Nadim ME'!K19</f>
        <v>0</v>
      </c>
      <c r="L59" s="91">
        <f>'4.2 ME Retail'!K19</f>
        <v>-50</v>
      </c>
      <c r="M59" s="91">
        <f>'5.1 Mingo'!K19</f>
        <v>0</v>
      </c>
      <c r="N59" s="91">
        <f>'5.2 Juan'!K19</f>
        <v>0</v>
      </c>
      <c r="O59" s="91">
        <f>'5.3 Vishal_India'!K19</f>
        <v>0</v>
      </c>
      <c r="P59" s="91">
        <f>'5.4 Export Event'!K19</f>
        <v>0</v>
      </c>
      <c r="Q59" s="91">
        <f>'5.5 ABC Brokers'!K19</f>
        <v>0</v>
      </c>
      <c r="R59" s="91">
        <f>'6.1 eComm Growth EU'!K19</f>
        <v>-271.19600000000003</v>
      </c>
      <c r="S59" s="91">
        <f>'6.2 eComm Growth US'!K19</f>
        <v>-113.28</v>
      </c>
      <c r="T59" s="91">
        <f>'7.1 Cambrium NPD'!K19</f>
        <v>-50</v>
      </c>
      <c r="U59" s="91">
        <f>'7.2 Social Media_Mkting'!K19</f>
        <v>-311</v>
      </c>
      <c r="W59" s="91">
        <f>'1.1 Core Markets Visibility'!L19</f>
        <v>-597.19000000000005</v>
      </c>
      <c r="X59" s="91">
        <f>'1.2 Core Markets Team expansion'!L19</f>
        <v>0</v>
      </c>
      <c r="Y59" s="91">
        <f>'2.1 Mark Wuttke Contact Book'!L19</f>
        <v>-88.588629736199991</v>
      </c>
      <c r="Z59" s="91">
        <f>'2.2 Jaime Contact Book'!L19</f>
        <v>-62.445117941999989</v>
      </c>
      <c r="AA59" s="91">
        <f>'2.3 US Visibility'!L19</f>
        <v>-140.25</v>
      </c>
      <c r="AB59" s="91">
        <f>'2.4 US Team Expansion'!L19</f>
        <v>0</v>
      </c>
      <c r="AC59" s="91">
        <f>'3.1 China'!L19</f>
        <v>-100</v>
      </c>
      <c r="AD59" s="91">
        <f>'3.2 Lane Crawford'!L19</f>
        <v>-60</v>
      </c>
      <c r="AE59" s="91">
        <f>'4.1 Nadim ME'!L19</f>
        <v>0</v>
      </c>
      <c r="AF59" s="91">
        <f>'4.2 ME Retail'!L19</f>
        <v>-50</v>
      </c>
      <c r="AG59" s="91">
        <f>'5.1 Mingo'!L19</f>
        <v>0</v>
      </c>
      <c r="AH59" s="91">
        <f>'5.2 Juan'!L19</f>
        <v>0</v>
      </c>
      <c r="AI59" s="91">
        <f>'5.3 Vishal_India'!L19</f>
        <v>0</v>
      </c>
      <c r="AJ59" s="91">
        <f>'5.4 Export Event'!L19</f>
        <v>0</v>
      </c>
      <c r="AK59" s="91">
        <f>'5.5 ABC Brokers'!L19</f>
        <v>0</v>
      </c>
      <c r="AL59" s="91">
        <f>'6.1 eComm Growth EU'!L19</f>
        <v>-284.75580000000002</v>
      </c>
      <c r="AM59" s="91">
        <f>'6.2 eComm Growth US'!L19</f>
        <v>-118.944</v>
      </c>
      <c r="AN59" s="91">
        <f>'7.1 Cambrium NPD'!L19</f>
        <v>-240</v>
      </c>
      <c r="AO59" s="91">
        <f>'7.2 Social Media_Mkting'!L19</f>
        <v>-186.60000000000002</v>
      </c>
      <c r="AQ59" s="91">
        <f>'1.1 Core Markets Visibility'!M19</f>
        <v>-656.90900000000011</v>
      </c>
      <c r="AR59" s="91">
        <f>'1.2 Core Markets Team expansion'!M19</f>
        <v>0</v>
      </c>
      <c r="AS59" s="91">
        <f>'2.1 Mark Wuttke Contact Book'!M19</f>
        <v>-116.97855568343998</v>
      </c>
      <c r="AT59" s="91">
        <f>'2.2 Jaime Contact Book'!M19</f>
        <v>-83.214141530399999</v>
      </c>
      <c r="AU59" s="91">
        <f>'2.3 US Visibility'!M19</f>
        <v>-154.27500000000001</v>
      </c>
      <c r="AV59" s="91">
        <f>'2.4 US Team Expansion'!M19</f>
        <v>0</v>
      </c>
      <c r="AW59" s="91">
        <f>'3.1 China'!M19</f>
        <v>-100</v>
      </c>
      <c r="AX59" s="91">
        <f>'3.2 Lane Crawford'!M19</f>
        <v>-70</v>
      </c>
      <c r="AY59" s="91">
        <f>'4.1 Nadim ME'!M19</f>
        <v>0</v>
      </c>
      <c r="AZ59" s="91">
        <f>'4.2 ME Retail'!M19</f>
        <v>-50</v>
      </c>
      <c r="BA59" s="91">
        <f>'5.1 Mingo'!M19</f>
        <v>0</v>
      </c>
      <c r="BB59" s="91">
        <f>'5.2 Juan'!M19</f>
        <v>0</v>
      </c>
      <c r="BC59" s="91">
        <f>'5.3 Vishal_India'!M19</f>
        <v>0</v>
      </c>
      <c r="BD59" s="91">
        <f>'5.4 Export Event'!M19</f>
        <v>0</v>
      </c>
      <c r="BE59" s="91">
        <f>'5.5 ABC Brokers'!M19</f>
        <v>0</v>
      </c>
      <c r="BF59" s="91">
        <f>'6.1 eComm Growth EU'!M19</f>
        <v>-298.99359000000004</v>
      </c>
      <c r="BG59" s="91">
        <f>'6.2 eComm Growth US'!M19</f>
        <v>-124.89120000000001</v>
      </c>
      <c r="BH59" s="91">
        <f>'7.1 Cambrium NPD'!M19</f>
        <v>0</v>
      </c>
      <c r="BI59" s="91">
        <f>'7.2 Social Media_Mkting'!M19</f>
        <v>-233.25</v>
      </c>
    </row>
    <row r="60" spans="2:61">
      <c r="B60" t="s">
        <v>169</v>
      </c>
      <c r="C60" s="91">
        <f>'1.1 Core Markets Visibility'!K20</f>
        <v>-120</v>
      </c>
      <c r="D60" s="91">
        <f>'1.2 Core Markets Team expansion'!K20</f>
        <v>0</v>
      </c>
      <c r="E60" s="91">
        <f>'2.1 Mark Wuttke Contact Book'!K20</f>
        <v>-20.243011437</v>
      </c>
      <c r="F60" s="91">
        <f>'2.2 Jaime Contact Book'!K20</f>
        <v>-12.77773767</v>
      </c>
      <c r="G60" s="91">
        <f>'2.3 US Visibility'!K20</f>
        <v>-80</v>
      </c>
      <c r="H60" s="91">
        <f>'2.4 US Team Expansion'!K20</f>
        <v>0</v>
      </c>
      <c r="I60" s="91">
        <f>'3.1 China'!K20</f>
        <v>0</v>
      </c>
      <c r="J60" s="91">
        <f>'3.2 Lane Crawford'!K20</f>
        <v>0</v>
      </c>
      <c r="K60" s="91">
        <f>'4.1 Nadim ME'!K20</f>
        <v>0</v>
      </c>
      <c r="L60" s="91">
        <f>'4.2 ME Retail'!K20</f>
        <v>0</v>
      </c>
      <c r="M60" s="91">
        <f>'5.1 Mingo'!K20</f>
        <v>0</v>
      </c>
      <c r="N60" s="91">
        <f>'5.2 Juan'!K20</f>
        <v>0</v>
      </c>
      <c r="O60" s="91">
        <f>'5.3 Vishal_India'!K20</f>
        <v>-36</v>
      </c>
      <c r="P60" s="91">
        <f>'5.4 Export Event'!K20</f>
        <v>-120</v>
      </c>
      <c r="Q60" s="91">
        <f>'5.5 ABC Brokers'!K20</f>
        <v>0</v>
      </c>
      <c r="R60" s="91">
        <f>'6.1 eComm Growth EU'!K20</f>
        <v>0</v>
      </c>
      <c r="S60" s="91">
        <f>'6.2 eComm Growth US'!K20</f>
        <v>0</v>
      </c>
      <c r="T60" s="91">
        <f>'7.1 Cambrium NPD'!K20</f>
        <v>-30</v>
      </c>
      <c r="U60" s="91">
        <f>'7.2 Social Media_Mkting'!K20</f>
        <v>0</v>
      </c>
      <c r="W60" s="91">
        <f>'1.1 Core Markets Visibility'!L20</f>
        <v>-132</v>
      </c>
      <c r="X60" s="91">
        <f>'1.2 Core Markets Team expansion'!L20</f>
        <v>0</v>
      </c>
      <c r="Y60" s="91">
        <f>'2.1 Mark Wuttke Contact Book'!L20</f>
        <v>-44.294314868099995</v>
      </c>
      <c r="Z60" s="91">
        <f>'2.2 Jaime Contact Book'!L20</f>
        <v>-31.222558970999994</v>
      </c>
      <c r="AA60" s="91">
        <f>'2.3 US Visibility'!L20</f>
        <v>-88</v>
      </c>
      <c r="AB60" s="91">
        <f>'2.4 US Team Expansion'!L20</f>
        <v>0</v>
      </c>
      <c r="AC60" s="91">
        <f>'3.1 China'!L20</f>
        <v>0</v>
      </c>
      <c r="AD60" s="91">
        <f>'3.2 Lane Crawford'!L20</f>
        <v>0</v>
      </c>
      <c r="AE60" s="91">
        <f>'4.1 Nadim ME'!L20</f>
        <v>0</v>
      </c>
      <c r="AF60" s="91">
        <f>'4.2 ME Retail'!L20</f>
        <v>0</v>
      </c>
      <c r="AG60" s="91">
        <f>'5.1 Mingo'!L20</f>
        <v>0</v>
      </c>
      <c r="AH60" s="91">
        <f>'5.2 Juan'!L20</f>
        <v>0</v>
      </c>
      <c r="AI60" s="91">
        <f>'5.3 Vishal_India'!L20</f>
        <v>-39.6</v>
      </c>
      <c r="AJ60" s="91">
        <f>'5.4 Export Event'!L20</f>
        <v>0</v>
      </c>
      <c r="AK60" s="91">
        <f>'5.5 ABC Brokers'!L20</f>
        <v>0</v>
      </c>
      <c r="AL60" s="91">
        <f>'6.1 eComm Growth EU'!L20</f>
        <v>0</v>
      </c>
      <c r="AM60" s="91">
        <f>'6.2 eComm Growth US'!L20</f>
        <v>0</v>
      </c>
      <c r="AN60" s="91">
        <f>'7.1 Cambrium NPD'!L20</f>
        <v>-160</v>
      </c>
      <c r="AO60" s="91">
        <f>'7.2 Social Media_Mkting'!L20</f>
        <v>0</v>
      </c>
      <c r="AQ60" s="91">
        <f>'1.1 Core Markets Visibility'!M20</f>
        <v>-145.20000000000002</v>
      </c>
      <c r="AR60" s="91">
        <f>'1.2 Core Markets Team expansion'!M20</f>
        <v>0</v>
      </c>
      <c r="AS60" s="91">
        <f>'2.1 Mark Wuttke Contact Book'!M20</f>
        <v>-58.489277841719989</v>
      </c>
      <c r="AT60" s="91">
        <f>'2.2 Jaime Contact Book'!M20</f>
        <v>-41.6070707652</v>
      </c>
      <c r="AU60" s="91">
        <f>'2.3 US Visibility'!M20</f>
        <v>-96.800000000000011</v>
      </c>
      <c r="AV60" s="91">
        <f>'2.4 US Team Expansion'!M20</f>
        <v>0</v>
      </c>
      <c r="AW60" s="91">
        <f>'3.1 China'!M20</f>
        <v>0</v>
      </c>
      <c r="AX60" s="91">
        <f>'3.2 Lane Crawford'!M20</f>
        <v>0</v>
      </c>
      <c r="AY60" s="91">
        <f>'4.1 Nadim ME'!M20</f>
        <v>0</v>
      </c>
      <c r="AZ60" s="91">
        <f>'4.2 ME Retail'!M20</f>
        <v>0</v>
      </c>
      <c r="BA60" s="91">
        <f>'5.1 Mingo'!M20</f>
        <v>0</v>
      </c>
      <c r="BB60" s="91">
        <f>'5.2 Juan'!M20</f>
        <v>0</v>
      </c>
      <c r="BC60" s="91">
        <f>'5.3 Vishal_India'!M20</f>
        <v>-43.56</v>
      </c>
      <c r="BD60" s="91">
        <f>'5.4 Export Event'!M20</f>
        <v>-132</v>
      </c>
      <c r="BE60" s="91">
        <f>'5.5 ABC Brokers'!M20</f>
        <v>0</v>
      </c>
      <c r="BF60" s="91">
        <f>'6.1 eComm Growth EU'!M20</f>
        <v>0</v>
      </c>
      <c r="BG60" s="91">
        <f>'6.2 eComm Growth US'!M20</f>
        <v>0</v>
      </c>
      <c r="BH60" s="91">
        <f>'7.1 Cambrium NPD'!M20</f>
        <v>0</v>
      </c>
      <c r="BI60" s="91">
        <f>'7.2 Social Media_Mkting'!M20</f>
        <v>0</v>
      </c>
    </row>
    <row r="61" spans="2:61" ht="6" customHeight="1">
      <c r="B61" s="49"/>
      <c r="C61" s="3"/>
      <c r="D61" s="3"/>
      <c r="E61" s="10"/>
      <c r="F61" s="3"/>
      <c r="G61" s="10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2:61">
      <c r="B62" s="65" t="s">
        <v>170</v>
      </c>
      <c r="C62" s="121">
        <f t="shared" ref="C62:U62" si="114">SUM(C56,C59:C60)</f>
        <v>-436.445177</v>
      </c>
      <c r="D62" s="121">
        <f t="shared" si="114"/>
        <v>70.56</v>
      </c>
      <c r="E62" s="121">
        <f t="shared" si="114"/>
        <v>858.43085562300007</v>
      </c>
      <c r="F62" s="121">
        <f t="shared" si="114"/>
        <v>541.36668693000013</v>
      </c>
      <c r="G62" s="121">
        <f t="shared" si="114"/>
        <v>-136.79449604000001</v>
      </c>
      <c r="H62" s="121">
        <f t="shared" si="114"/>
        <v>65.52000000000001</v>
      </c>
      <c r="I62" s="121">
        <f t="shared" si="114"/>
        <v>-33.75</v>
      </c>
      <c r="J62" s="121">
        <f t="shared" si="114"/>
        <v>-23.5</v>
      </c>
      <c r="K62" s="121">
        <f t="shared" si="114"/>
        <v>22.4</v>
      </c>
      <c r="L62" s="121">
        <f t="shared" si="114"/>
        <v>-18</v>
      </c>
      <c r="M62" s="121">
        <f t="shared" si="114"/>
        <v>25.125</v>
      </c>
      <c r="N62" s="121">
        <f t="shared" si="114"/>
        <v>79.499999999999986</v>
      </c>
      <c r="O62" s="121">
        <f t="shared" si="114"/>
        <v>-19.25</v>
      </c>
      <c r="P62" s="121">
        <f t="shared" si="114"/>
        <v>-96.301406249999999</v>
      </c>
      <c r="Q62" s="121">
        <f t="shared" ref="Q62" si="115">SUM(Q56,Q59:Q60)</f>
        <v>167.5</v>
      </c>
      <c r="R62" s="121">
        <f t="shared" si="114"/>
        <v>-46.293000000000006</v>
      </c>
      <c r="S62" s="121">
        <f t="shared" si="114"/>
        <v>-7.9440000000000026</v>
      </c>
      <c r="T62" s="121">
        <f t="shared" si="114"/>
        <v>40.195085404419984</v>
      </c>
      <c r="U62" s="121">
        <f t="shared" si="114"/>
        <v>-150.73988612744</v>
      </c>
      <c r="W62" s="121">
        <f t="shared" ref="W62:AO62" si="116">SUM(W56,W59:W60)</f>
        <v>-199.98653828125009</v>
      </c>
      <c r="X62" s="121">
        <f t="shared" si="116"/>
        <v>273</v>
      </c>
      <c r="Y62" s="121">
        <f t="shared" si="116"/>
        <v>1885.7810981212499</v>
      </c>
      <c r="Z62" s="121">
        <f t="shared" si="116"/>
        <v>1327.5339528374996</v>
      </c>
      <c r="AA62" s="121">
        <f t="shared" si="116"/>
        <v>25.548011414499939</v>
      </c>
      <c r="AB62" s="121">
        <f t="shared" si="116"/>
        <v>262.92</v>
      </c>
      <c r="AC62" s="121">
        <f t="shared" si="116"/>
        <v>-6.8125000000000142</v>
      </c>
      <c r="AD62" s="121">
        <f t="shared" si="116"/>
        <v>-6.7500000000000071</v>
      </c>
      <c r="AE62" s="121">
        <f t="shared" si="116"/>
        <v>56.21875</v>
      </c>
      <c r="AF62" s="121">
        <f t="shared" si="116"/>
        <v>-1.8125</v>
      </c>
      <c r="AG62" s="121">
        <f t="shared" si="116"/>
        <v>33.625</v>
      </c>
      <c r="AH62" s="121">
        <f t="shared" si="116"/>
        <v>158.69999999999996</v>
      </c>
      <c r="AI62" s="121">
        <f t="shared" si="116"/>
        <v>-14.381250000000001</v>
      </c>
      <c r="AJ62" s="121">
        <f t="shared" si="116"/>
        <v>25.8879375</v>
      </c>
      <c r="AK62" s="121">
        <f t="shared" ref="AK62" si="117">SUM(AK56,AK59:AK60)</f>
        <v>336.25</v>
      </c>
      <c r="AL62" s="121">
        <f t="shared" si="116"/>
        <v>37.084162499999934</v>
      </c>
      <c r="AM62" s="121">
        <f t="shared" si="116"/>
        <v>64.311537499999972</v>
      </c>
      <c r="AN62" s="121">
        <f t="shared" si="116"/>
        <v>60.15622775060001</v>
      </c>
      <c r="AO62" s="121">
        <f t="shared" si="116"/>
        <v>43.478113875299982</v>
      </c>
      <c r="AQ62" s="121">
        <f t="shared" ref="AQ62:BI62" si="118">SUM(AQ56,AQ59:AQ60)</f>
        <v>111.72142283749966</v>
      </c>
      <c r="AR62" s="121">
        <f t="shared" si="118"/>
        <v>524.85999999999979</v>
      </c>
      <c r="AS62" s="121">
        <f t="shared" si="118"/>
        <v>2500.756780719119</v>
      </c>
      <c r="AT62" s="121">
        <f t="shared" si="118"/>
        <v>1775.9252551991997</v>
      </c>
      <c r="AU62" s="121">
        <f t="shared" si="118"/>
        <v>241.28564121719984</v>
      </c>
      <c r="AV62" s="121">
        <f t="shared" si="118"/>
        <v>505.53999999999991</v>
      </c>
      <c r="AW62" s="121">
        <f t="shared" si="118"/>
        <v>33.749999999999972</v>
      </c>
      <c r="AX62" s="121">
        <f t="shared" si="118"/>
        <v>10.249999999999972</v>
      </c>
      <c r="AY62" s="121">
        <f t="shared" si="118"/>
        <v>107.23125</v>
      </c>
      <c r="AZ62" s="121">
        <f t="shared" si="118"/>
        <v>30.625</v>
      </c>
      <c r="BA62" s="121">
        <f t="shared" si="118"/>
        <v>50.625</v>
      </c>
      <c r="BB62" s="121">
        <f t="shared" si="118"/>
        <v>214.37999999999994</v>
      </c>
      <c r="BC62" s="121">
        <f t="shared" si="118"/>
        <v>-9.8100000000000023</v>
      </c>
      <c r="BD62" s="121">
        <f t="shared" si="118"/>
        <v>-103.01625</v>
      </c>
      <c r="BE62" s="121">
        <f t="shared" ref="BE62" si="119">SUM(BE56,BE59:BE60)</f>
        <v>675</v>
      </c>
      <c r="BF62" s="121">
        <f t="shared" si="118"/>
        <v>134.8091062499999</v>
      </c>
      <c r="BG62" s="121">
        <f t="shared" si="118"/>
        <v>148.39967624999991</v>
      </c>
      <c r="BH62" s="121">
        <f t="shared" si="118"/>
        <v>628.76473763525973</v>
      </c>
      <c r="BI62" s="121">
        <f t="shared" si="118"/>
        <v>81.132368817629867</v>
      </c>
    </row>
    <row r="63" spans="2:61">
      <c r="B63" s="66" t="s">
        <v>171</v>
      </c>
      <c r="C63" s="67">
        <f t="shared" ref="C63:U63" si="120">C62/C$47</f>
        <v>-1.6189275362883309</v>
      </c>
      <c r="D63" s="67">
        <f t="shared" si="120"/>
        <v>0.84000000000000008</v>
      </c>
      <c r="E63" s="67">
        <f t="shared" si="120"/>
        <v>0.63609423303538304</v>
      </c>
      <c r="F63" s="67">
        <f t="shared" si="120"/>
        <v>0.63551940990427314</v>
      </c>
      <c r="G63" s="67">
        <f t="shared" si="120"/>
        <v>-1.5090721504730793</v>
      </c>
      <c r="H63" s="67">
        <f t="shared" si="120"/>
        <v>0.78000000000000014</v>
      </c>
      <c r="I63" s="67">
        <f t="shared" si="120"/>
        <v>-0.27</v>
      </c>
      <c r="J63" s="67">
        <f t="shared" si="120"/>
        <v>-0.47</v>
      </c>
      <c r="K63" s="67">
        <f t="shared" si="120"/>
        <v>0.64</v>
      </c>
      <c r="L63" s="67">
        <f t="shared" si="120"/>
        <v>-0.36</v>
      </c>
      <c r="M63" s="67">
        <f t="shared" si="120"/>
        <v>0.67</v>
      </c>
      <c r="N63" s="67">
        <f t="shared" si="120"/>
        <v>0.66250000000000009</v>
      </c>
      <c r="O63" s="67">
        <f t="shared" si="120"/>
        <v>-0.77</v>
      </c>
      <c r="P63" s="67">
        <f t="shared" si="120"/>
        <v>-2.6413345332990485</v>
      </c>
      <c r="Q63" s="67">
        <f t="shared" ref="Q63" si="121">Q62/Q$47</f>
        <v>0.67</v>
      </c>
      <c r="R63" s="67">
        <f t="shared" si="120"/>
        <v>-0.18319351009101706</v>
      </c>
      <c r="S63" s="67">
        <f t="shared" si="120"/>
        <v>-6.6365914786967448E-2</v>
      </c>
      <c r="T63" s="67">
        <f t="shared" si="120"/>
        <v>0.26030139689028814</v>
      </c>
      <c r="U63" s="67">
        <f t="shared" si="120"/>
        <v>-0.73213806858352026</v>
      </c>
      <c r="W63" s="67">
        <f t="shared" ref="W63:AO63" si="122">W62/W$47</f>
        <v>-0.30704459457952676</v>
      </c>
      <c r="X63" s="67">
        <f t="shared" si="122"/>
        <v>0.8125</v>
      </c>
      <c r="Y63" s="67">
        <f t="shared" si="122"/>
        <v>0.63860828542107906</v>
      </c>
      <c r="Z63" s="67">
        <f t="shared" si="122"/>
        <v>0.63777633700869973</v>
      </c>
      <c r="AA63" s="67">
        <f t="shared" si="122"/>
        <v>7.8768619267061996E-2</v>
      </c>
      <c r="AB63" s="67">
        <f t="shared" si="122"/>
        <v>0.78250000000000008</v>
      </c>
      <c r="AC63" s="67">
        <f t="shared" si="122"/>
        <v>-3.8928571428571507E-2</v>
      </c>
      <c r="AD63" s="67">
        <f t="shared" si="122"/>
        <v>-6.7500000000000074E-2</v>
      </c>
      <c r="AE63" s="67">
        <f t="shared" si="122"/>
        <v>0.64249999999999996</v>
      </c>
      <c r="AF63" s="67">
        <f t="shared" si="122"/>
        <v>-2.4166666666666666E-2</v>
      </c>
      <c r="AG63" s="67">
        <f t="shared" si="122"/>
        <v>0.67249999999999999</v>
      </c>
      <c r="AH63" s="67">
        <f t="shared" si="122"/>
        <v>0.66125</v>
      </c>
      <c r="AI63" s="67">
        <f t="shared" si="122"/>
        <v>-0.38350000000000006</v>
      </c>
      <c r="AJ63" s="67">
        <f t="shared" si="122"/>
        <v>0.65249999999999997</v>
      </c>
      <c r="AK63" s="67">
        <f t="shared" ref="AK63" si="123">AK62/AK$47</f>
        <v>0.67249999999999999</v>
      </c>
      <c r="AL63" s="67">
        <f t="shared" si="122"/>
        <v>0.10283873629040068</v>
      </c>
      <c r="AM63" s="67">
        <f t="shared" si="122"/>
        <v>0.30970377549300515</v>
      </c>
      <c r="AN63" s="67">
        <f t="shared" si="122"/>
        <v>0.10193120270078437</v>
      </c>
      <c r="AO63" s="67">
        <f t="shared" si="122"/>
        <v>0.1473422321906408</v>
      </c>
      <c r="AQ63" s="67">
        <f t="shared" ref="AQ63:BI63" si="124">AQ62/AQ$47</f>
        <v>9.9638792205929361E-2</v>
      </c>
      <c r="AR63" s="67">
        <f t="shared" si="124"/>
        <v>0.81499999999999961</v>
      </c>
      <c r="AS63" s="67">
        <f t="shared" si="124"/>
        <v>0.64133723470304504</v>
      </c>
      <c r="AT63" s="67">
        <f t="shared" si="124"/>
        <v>0.64024884083569411</v>
      </c>
      <c r="AU63" s="67">
        <f t="shared" si="124"/>
        <v>0.38469612007826171</v>
      </c>
      <c r="AV63" s="67">
        <f t="shared" si="124"/>
        <v>0.78499999999999981</v>
      </c>
      <c r="AW63" s="67">
        <f t="shared" si="124"/>
        <v>0.1349999999999999</v>
      </c>
      <c r="AX63" s="67">
        <f t="shared" si="124"/>
        <v>6.8333333333333149E-2</v>
      </c>
      <c r="AY63" s="67">
        <f t="shared" si="124"/>
        <v>0.64500000000000002</v>
      </c>
      <c r="AZ63" s="67">
        <f t="shared" si="124"/>
        <v>0.245</v>
      </c>
      <c r="BA63" s="67">
        <f t="shared" si="124"/>
        <v>0.67500000000000004</v>
      </c>
      <c r="BB63" s="67">
        <f t="shared" si="124"/>
        <v>0.65760736196319014</v>
      </c>
      <c r="BC63" s="67">
        <f t="shared" si="124"/>
        <v>-0.19620000000000004</v>
      </c>
      <c r="BD63" s="67">
        <f t="shared" si="124"/>
        <v>-2.3280508474576269</v>
      </c>
      <c r="BE63" s="67">
        <f t="shared" ref="BE63" si="125">BE62/BE$47</f>
        <v>0.67500000000000004</v>
      </c>
      <c r="BF63" s="67">
        <f t="shared" si="124"/>
        <v>0.27813139737660153</v>
      </c>
      <c r="BG63" s="67">
        <f t="shared" si="124"/>
        <v>0.48056384202562619</v>
      </c>
      <c r="BH63" s="67">
        <f t="shared" si="124"/>
        <v>0.77612715388711406</v>
      </c>
      <c r="BI63" s="67">
        <f t="shared" si="124"/>
        <v>0.20029442088425267</v>
      </c>
    </row>
    <row r="64" spans="2:61" ht="6" customHeight="1">
      <c r="B64" s="49"/>
      <c r="C64" s="3"/>
      <c r="D64" s="3"/>
      <c r="E64" s="10"/>
      <c r="F64" s="3"/>
      <c r="G64" s="10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2:61">
      <c r="B65" t="s">
        <v>172</v>
      </c>
      <c r="C65" s="91">
        <f>'1.1 Core Markets Visibility'!K25</f>
        <v>-26.958907499999999</v>
      </c>
      <c r="D65" s="91">
        <f>'1.2 Core Markets Team expansion'!K25</f>
        <v>-128.4</v>
      </c>
      <c r="E65" s="91">
        <f>'2.1 Mark Wuttke Contact Book'!K25</f>
        <v>-125</v>
      </c>
      <c r="F65" s="91">
        <f>'2.2 Jaime Contact Book'!K25</f>
        <v>-112.5</v>
      </c>
      <c r="G65" s="91">
        <f>'2.3 US Visibility'!K25</f>
        <v>-9.0648081999999999</v>
      </c>
      <c r="H65" s="91">
        <f>'2.4 US Team Expansion'!K25</f>
        <v>-208.4</v>
      </c>
      <c r="I65" s="91">
        <f>'3.1 China'!K25</f>
        <v>0</v>
      </c>
      <c r="J65" s="91">
        <f>'3.2 Lane Crawford'!K25</f>
        <v>0</v>
      </c>
      <c r="K65" s="91">
        <f>'4.1 Nadim ME'!K25</f>
        <v>0</v>
      </c>
      <c r="L65" s="91">
        <f>'4.2 ME Retail'!K25</f>
        <v>0</v>
      </c>
      <c r="M65" s="91">
        <f>'5.1 Mingo'!K25</f>
        <v>0</v>
      </c>
      <c r="N65" s="91">
        <f>'5.2 Juan'!K25</f>
        <v>0</v>
      </c>
      <c r="O65" s="91">
        <f>'5.3 Vishal_India'!K25</f>
        <v>0</v>
      </c>
      <c r="P65" s="91">
        <f>'5.4 Export Event'!K25</f>
        <v>0</v>
      </c>
      <c r="Q65" s="91">
        <f>'5.5 ABC Brokers'!K25</f>
        <v>0</v>
      </c>
      <c r="R65" s="91">
        <f>'6.1 eComm Growth EU'!K25</f>
        <v>0</v>
      </c>
      <c r="S65" s="91">
        <f>'6.2 eComm Growth US'!K25</f>
        <v>0</v>
      </c>
      <c r="T65" s="91">
        <f>'7.1 Cambrium NPD'!K25</f>
        <v>-7.7208739339500001</v>
      </c>
      <c r="U65" s="91">
        <f>'7.2 Social Media_Mkting'!K25</f>
        <v>-10.294498578600003</v>
      </c>
      <c r="W65" s="91">
        <f>'1.1 Core Markets Visibility'!L25</f>
        <v>-65.13273375</v>
      </c>
      <c r="X65" s="91">
        <f>'1.2 Core Markets Team expansion'!L25</f>
        <v>-165.6</v>
      </c>
      <c r="Y65" s="91">
        <f>'2.1 Mark Wuttke Contact Book'!L25</f>
        <v>-250</v>
      </c>
      <c r="Z65" s="91">
        <f>'2.2 Jaime Contact Book'!L25</f>
        <v>-225</v>
      </c>
      <c r="AA65" s="91">
        <f>'2.3 US Visibility'!L25</f>
        <v>-32.434250659999996</v>
      </c>
      <c r="AB65" s="91">
        <f>'2.4 US Team Expansion'!L25</f>
        <v>-253.60000000000002</v>
      </c>
      <c r="AC65" s="91">
        <f>'3.1 China'!L25</f>
        <v>0</v>
      </c>
      <c r="AD65" s="91">
        <f>'3.2 Lane Crawford'!L25</f>
        <v>0</v>
      </c>
      <c r="AE65" s="91">
        <f>'4.1 Nadim ME'!L25</f>
        <v>0</v>
      </c>
      <c r="AF65" s="91">
        <f>'4.2 ME Retail'!L25</f>
        <v>0</v>
      </c>
      <c r="AG65" s="91">
        <f>'5.1 Mingo'!L25</f>
        <v>0</v>
      </c>
      <c r="AH65" s="91">
        <f>'5.2 Juan'!L25</f>
        <v>0</v>
      </c>
      <c r="AI65" s="91">
        <f>'5.3 Vishal_India'!L25</f>
        <v>0</v>
      </c>
      <c r="AJ65" s="91">
        <f>'5.4 Export Event'!L25</f>
        <v>0</v>
      </c>
      <c r="AK65" s="91">
        <f>'5.5 ABC Brokers'!L25</f>
        <v>0</v>
      </c>
      <c r="AL65" s="91">
        <f>'6.1 eComm Growth EU'!L25</f>
        <v>0</v>
      </c>
      <c r="AM65" s="91">
        <f>'6.2 eComm Growth US'!L25</f>
        <v>0</v>
      </c>
      <c r="AN65" s="91">
        <f>'7.1 Cambrium NPD'!L25</f>
        <v>-29.508249759000002</v>
      </c>
      <c r="AO65" s="91">
        <f>'7.2 Social Media_Mkting'!L25</f>
        <v>-14.754124879500001</v>
      </c>
      <c r="AQ65" s="91">
        <f>'1.1 Core Markets Visibility'!M25</f>
        <v>-112.12643224999999</v>
      </c>
      <c r="AR65" s="91">
        <f>'1.2 Core Markets Team expansion'!M25</f>
        <v>-209.60000000000002</v>
      </c>
      <c r="AS65" s="91">
        <f>'2.1 Mark Wuttke Contact Book'!M25</f>
        <v>-300</v>
      </c>
      <c r="AT65" s="91">
        <f>'2.2 Jaime Contact Book'!M25</f>
        <v>-300</v>
      </c>
      <c r="AU65" s="91">
        <f>'2.3 US Visibility'!M25</f>
        <v>-62.721100791999994</v>
      </c>
      <c r="AV65" s="91">
        <f>'2.4 US Team Expansion'!M25</f>
        <v>-306.40000000000003</v>
      </c>
      <c r="AW65" s="91">
        <f>'3.1 China'!M25</f>
        <v>0</v>
      </c>
      <c r="AX65" s="91">
        <f>'3.2 Lane Crawford'!M25</f>
        <v>0</v>
      </c>
      <c r="AY65" s="91">
        <f>'4.1 Nadim ME'!M25</f>
        <v>0</v>
      </c>
      <c r="AZ65" s="91">
        <f>'4.2 ME Retail'!M25</f>
        <v>0</v>
      </c>
      <c r="BA65" s="91">
        <f>'5.1 Mingo'!M25</f>
        <v>0</v>
      </c>
      <c r="BB65" s="91">
        <f>'5.2 Juan'!M25</f>
        <v>0</v>
      </c>
      <c r="BC65" s="91">
        <f>'5.3 Vishal_India'!M25</f>
        <v>0</v>
      </c>
      <c r="BD65" s="91">
        <f>'5.4 Export Event'!M25</f>
        <v>0</v>
      </c>
      <c r="BE65" s="91">
        <f>'5.5 ABC Brokers'!M25</f>
        <v>0</v>
      </c>
      <c r="BF65" s="91">
        <f>'6.1 eComm Growth EU'!M25</f>
        <v>0</v>
      </c>
      <c r="BG65" s="91">
        <f>'6.2 eComm Growth US'!M25</f>
        <v>0</v>
      </c>
      <c r="BH65" s="91">
        <f>'7.1 Cambrium NPD'!M25</f>
        <v>-40.506554530800003</v>
      </c>
      <c r="BI65" s="91">
        <f>'7.2 Social Media_Mkting'!M25</f>
        <v>-20.253277265400001</v>
      </c>
    </row>
    <row r="66" spans="2:61">
      <c r="B66" t="s">
        <v>173</v>
      </c>
      <c r="C66" s="91">
        <f>'1.1 Core Markets Visibility'!K26</f>
        <v>-5</v>
      </c>
      <c r="D66" s="91">
        <f>'1.2 Core Markets Team expansion'!K26</f>
        <v>-15</v>
      </c>
      <c r="E66" s="91">
        <f>'2.1 Mark Wuttke Contact Book'!K26</f>
        <v>-50</v>
      </c>
      <c r="F66" s="91">
        <f>'2.2 Jaime Contact Book'!K26</f>
        <v>-20</v>
      </c>
      <c r="G66" s="91">
        <f>'2.3 US Visibility'!K26</f>
        <v>-5</v>
      </c>
      <c r="H66" s="91">
        <f>'2.4 US Team Expansion'!K26</f>
        <v>-15</v>
      </c>
      <c r="I66" s="91">
        <f>'3.1 China'!K26</f>
        <v>0</v>
      </c>
      <c r="J66" s="91">
        <f>'3.2 Lane Crawford'!K26</f>
        <v>0</v>
      </c>
      <c r="K66" s="91">
        <f>'4.1 Nadim ME'!K26</f>
        <v>0</v>
      </c>
      <c r="L66" s="91">
        <f>'4.2 ME Retail'!K26</f>
        <v>0</v>
      </c>
      <c r="M66" s="91">
        <f>'5.1 Mingo'!K26</f>
        <v>0</v>
      </c>
      <c r="N66" s="91">
        <f>'5.2 Juan'!K26</f>
        <v>-10</v>
      </c>
      <c r="O66" s="91">
        <f>'5.3 Vishal_India'!K26</f>
        <v>0</v>
      </c>
      <c r="P66" s="91">
        <f>'5.4 Export Event'!K26</f>
        <v>-5</v>
      </c>
      <c r="Q66" s="91">
        <f>'5.5 ABC Brokers'!K26</f>
        <v>-10</v>
      </c>
      <c r="R66" s="91">
        <f>'6.1 eComm Growth EU'!K26</f>
        <v>0</v>
      </c>
      <c r="S66" s="91">
        <f>'6.2 eComm Growth US'!K26</f>
        <v>0</v>
      </c>
      <c r="T66" s="91">
        <f>'7.1 Cambrium NPD'!K26</f>
        <v>-10</v>
      </c>
      <c r="U66" s="91">
        <f>'7.2 Social Media_Mkting'!K26</f>
        <v>0</v>
      </c>
      <c r="W66" s="91">
        <f>'1.1 Core Markets Visibility'!L26</f>
        <v>-5</v>
      </c>
      <c r="X66" s="91">
        <f>'1.2 Core Markets Team expansion'!L26</f>
        <v>-20</v>
      </c>
      <c r="Y66" s="91">
        <f>'2.1 Mark Wuttke Contact Book'!L26</f>
        <v>-65</v>
      </c>
      <c r="Z66" s="91">
        <f>'2.2 Jaime Contact Book'!L26</f>
        <v>-26</v>
      </c>
      <c r="AA66" s="91">
        <f>'2.3 US Visibility'!L26</f>
        <v>-5</v>
      </c>
      <c r="AB66" s="91">
        <f>'2.4 US Team Expansion'!L26</f>
        <v>-20</v>
      </c>
      <c r="AC66" s="91">
        <f>'3.1 China'!L26</f>
        <v>0</v>
      </c>
      <c r="AD66" s="91">
        <f>'3.2 Lane Crawford'!L26</f>
        <v>0</v>
      </c>
      <c r="AE66" s="91">
        <f>'4.1 Nadim ME'!L26</f>
        <v>0</v>
      </c>
      <c r="AF66" s="91">
        <f>'4.2 ME Retail'!L26</f>
        <v>0</v>
      </c>
      <c r="AG66" s="91">
        <f>'5.1 Mingo'!L26</f>
        <v>0</v>
      </c>
      <c r="AH66" s="91">
        <f>'5.2 Juan'!L26</f>
        <v>-15</v>
      </c>
      <c r="AI66" s="91">
        <f>'5.3 Vishal_India'!L26</f>
        <v>0</v>
      </c>
      <c r="AJ66" s="91">
        <f>'5.4 Export Event'!L26</f>
        <v>0</v>
      </c>
      <c r="AK66" s="91">
        <f>'5.5 ABC Brokers'!L26</f>
        <v>-15</v>
      </c>
      <c r="AL66" s="91">
        <f>'6.1 eComm Growth EU'!L26</f>
        <v>0</v>
      </c>
      <c r="AM66" s="91">
        <f>'6.2 eComm Growth US'!L26</f>
        <v>0</v>
      </c>
      <c r="AN66" s="91">
        <f>'7.1 Cambrium NPD'!L26</f>
        <v>-12</v>
      </c>
      <c r="AO66" s="91">
        <f>'7.2 Social Media_Mkting'!L26</f>
        <v>0</v>
      </c>
      <c r="AQ66" s="91">
        <f>'1.1 Core Markets Visibility'!M26</f>
        <v>-5</v>
      </c>
      <c r="AR66" s="91">
        <f>'1.2 Core Markets Team expansion'!M26</f>
        <v>-22</v>
      </c>
      <c r="AS66" s="91">
        <f>'2.1 Mark Wuttke Contact Book'!M26</f>
        <v>-84.5</v>
      </c>
      <c r="AT66" s="91">
        <f>'2.2 Jaime Contact Book'!M26</f>
        <v>-33.800000000000004</v>
      </c>
      <c r="AU66" s="91">
        <f>'2.3 US Visibility'!M26</f>
        <v>-5</v>
      </c>
      <c r="AV66" s="91">
        <f>'2.4 US Team Expansion'!M26</f>
        <v>-22</v>
      </c>
      <c r="AW66" s="91">
        <f>'3.1 China'!M26</f>
        <v>0</v>
      </c>
      <c r="AX66" s="91">
        <f>'3.2 Lane Crawford'!M26</f>
        <v>0</v>
      </c>
      <c r="AY66" s="91">
        <f>'4.1 Nadim ME'!M26</f>
        <v>0</v>
      </c>
      <c r="AZ66" s="91">
        <f>'4.2 ME Retail'!M26</f>
        <v>0</v>
      </c>
      <c r="BA66" s="91">
        <f>'5.1 Mingo'!M26</f>
        <v>0</v>
      </c>
      <c r="BB66" s="91">
        <f>'5.2 Juan'!M26</f>
        <v>-20</v>
      </c>
      <c r="BC66" s="91">
        <f>'5.3 Vishal_India'!M26</f>
        <v>0</v>
      </c>
      <c r="BD66" s="91">
        <f>'5.4 Export Event'!M26</f>
        <v>-5</v>
      </c>
      <c r="BE66" s="91">
        <f>'5.5 ABC Brokers'!M26</f>
        <v>-20</v>
      </c>
      <c r="BF66" s="91">
        <f>'6.1 eComm Growth EU'!M26</f>
        <v>0</v>
      </c>
      <c r="BG66" s="91">
        <f>'6.2 eComm Growth US'!M26</f>
        <v>0</v>
      </c>
      <c r="BH66" s="91">
        <f>'7.1 Cambrium NPD'!M26</f>
        <v>-15</v>
      </c>
      <c r="BI66" s="91">
        <f>'7.2 Social Media_Mkting'!M26</f>
        <v>0</v>
      </c>
    </row>
    <row r="67" spans="2:61" ht="6" customHeight="1">
      <c r="B67" s="49"/>
      <c r="C67" s="3"/>
      <c r="D67" s="3"/>
      <c r="E67" s="10"/>
      <c r="F67" s="3"/>
      <c r="G67" s="10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2:61">
      <c r="B68" s="65" t="s">
        <v>174</v>
      </c>
      <c r="C68" s="121">
        <f t="shared" ref="C68:U68" si="126">SUM(C62,C65:C66)</f>
        <v>-468.40408450000001</v>
      </c>
      <c r="D68" s="121">
        <f t="shared" si="126"/>
        <v>-72.84</v>
      </c>
      <c r="E68" s="121">
        <f t="shared" si="126"/>
        <v>683.43085562300007</v>
      </c>
      <c r="F68" s="121">
        <f t="shared" si="126"/>
        <v>408.86668693000013</v>
      </c>
      <c r="G68" s="121">
        <f t="shared" si="126"/>
        <v>-150.85930424</v>
      </c>
      <c r="H68" s="121">
        <f t="shared" si="126"/>
        <v>-157.88</v>
      </c>
      <c r="I68" s="121">
        <f t="shared" si="126"/>
        <v>-33.75</v>
      </c>
      <c r="J68" s="121">
        <f t="shared" si="126"/>
        <v>-23.5</v>
      </c>
      <c r="K68" s="121">
        <f t="shared" si="126"/>
        <v>22.4</v>
      </c>
      <c r="L68" s="121">
        <f t="shared" si="126"/>
        <v>-18</v>
      </c>
      <c r="M68" s="121">
        <f t="shared" si="126"/>
        <v>25.125</v>
      </c>
      <c r="N68" s="121">
        <f t="shared" si="126"/>
        <v>69.499999999999986</v>
      </c>
      <c r="O68" s="121">
        <f t="shared" si="126"/>
        <v>-19.25</v>
      </c>
      <c r="P68" s="121">
        <f t="shared" si="126"/>
        <v>-101.30140625</v>
      </c>
      <c r="Q68" s="121">
        <f t="shared" ref="Q68" si="127">SUM(Q62,Q65:Q66)</f>
        <v>157.5</v>
      </c>
      <c r="R68" s="121">
        <f t="shared" si="126"/>
        <v>-46.293000000000006</v>
      </c>
      <c r="S68" s="121">
        <f t="shared" si="126"/>
        <v>-7.9440000000000026</v>
      </c>
      <c r="T68" s="121">
        <f t="shared" si="126"/>
        <v>22.474211470469982</v>
      </c>
      <c r="U68" s="121">
        <f t="shared" si="126"/>
        <v>-161.03438470604002</v>
      </c>
      <c r="W68" s="121">
        <f t="shared" ref="W68:AO68" si="128">SUM(W62,W65:W66)</f>
        <v>-270.11927203125009</v>
      </c>
      <c r="X68" s="121">
        <f t="shared" si="128"/>
        <v>87.4</v>
      </c>
      <c r="Y68" s="121">
        <f t="shared" si="128"/>
        <v>1570.7810981212499</v>
      </c>
      <c r="Z68" s="121">
        <f t="shared" si="128"/>
        <v>1076.5339528374996</v>
      </c>
      <c r="AA68" s="121">
        <f t="shared" si="128"/>
        <v>-11.886239245500057</v>
      </c>
      <c r="AB68" s="121">
        <f t="shared" si="128"/>
        <v>-10.680000000000007</v>
      </c>
      <c r="AC68" s="121">
        <f t="shared" si="128"/>
        <v>-6.8125000000000142</v>
      </c>
      <c r="AD68" s="121">
        <f t="shared" si="128"/>
        <v>-6.7500000000000071</v>
      </c>
      <c r="AE68" s="121">
        <f t="shared" si="128"/>
        <v>56.21875</v>
      </c>
      <c r="AF68" s="121">
        <f t="shared" si="128"/>
        <v>-1.8125</v>
      </c>
      <c r="AG68" s="121">
        <f t="shared" si="128"/>
        <v>33.625</v>
      </c>
      <c r="AH68" s="121">
        <f t="shared" si="128"/>
        <v>143.69999999999996</v>
      </c>
      <c r="AI68" s="121">
        <f t="shared" si="128"/>
        <v>-14.381250000000001</v>
      </c>
      <c r="AJ68" s="121">
        <f t="shared" si="128"/>
        <v>25.8879375</v>
      </c>
      <c r="AK68" s="121">
        <f t="shared" ref="AK68" si="129">SUM(AK62,AK65:AK66)</f>
        <v>321.25</v>
      </c>
      <c r="AL68" s="121">
        <f t="shared" si="128"/>
        <v>37.084162499999934</v>
      </c>
      <c r="AM68" s="121">
        <f t="shared" si="128"/>
        <v>64.311537499999972</v>
      </c>
      <c r="AN68" s="121">
        <f t="shared" si="128"/>
        <v>18.647977991600008</v>
      </c>
      <c r="AO68" s="121">
        <f t="shared" si="128"/>
        <v>28.723988995799981</v>
      </c>
      <c r="AQ68" s="121">
        <f t="shared" ref="AQ68:BI68" si="130">SUM(AQ62,AQ65:AQ66)</f>
        <v>-5.4050094125003341</v>
      </c>
      <c r="AR68" s="121">
        <f t="shared" si="130"/>
        <v>293.25999999999976</v>
      </c>
      <c r="AS68" s="121">
        <f t="shared" si="130"/>
        <v>2116.256780719119</v>
      </c>
      <c r="AT68" s="121">
        <f t="shared" si="130"/>
        <v>1442.1252551991997</v>
      </c>
      <c r="AU68" s="121">
        <f t="shared" si="130"/>
        <v>173.56454042519985</v>
      </c>
      <c r="AV68" s="121">
        <f t="shared" si="130"/>
        <v>177.13999999999987</v>
      </c>
      <c r="AW68" s="121">
        <f t="shared" si="130"/>
        <v>33.749999999999972</v>
      </c>
      <c r="AX68" s="121">
        <f t="shared" si="130"/>
        <v>10.249999999999972</v>
      </c>
      <c r="AY68" s="121">
        <f t="shared" si="130"/>
        <v>107.23125</v>
      </c>
      <c r="AZ68" s="121">
        <f t="shared" si="130"/>
        <v>30.625</v>
      </c>
      <c r="BA68" s="121">
        <f t="shared" si="130"/>
        <v>50.625</v>
      </c>
      <c r="BB68" s="121">
        <f t="shared" si="130"/>
        <v>194.37999999999994</v>
      </c>
      <c r="BC68" s="121">
        <f t="shared" si="130"/>
        <v>-9.8100000000000023</v>
      </c>
      <c r="BD68" s="121">
        <f t="shared" si="130"/>
        <v>-108.01625</v>
      </c>
      <c r="BE68" s="121">
        <f t="shared" ref="BE68" si="131">SUM(BE62,BE65:BE66)</f>
        <v>655</v>
      </c>
      <c r="BF68" s="121">
        <f t="shared" si="130"/>
        <v>134.8091062499999</v>
      </c>
      <c r="BG68" s="121">
        <f t="shared" si="130"/>
        <v>148.39967624999991</v>
      </c>
      <c r="BH68" s="121">
        <f t="shared" si="130"/>
        <v>573.2581831044597</v>
      </c>
      <c r="BI68" s="121">
        <f t="shared" si="130"/>
        <v>60.879091552229866</v>
      </c>
    </row>
    <row r="69" spans="2:61">
      <c r="B69" s="66" t="s">
        <v>175</v>
      </c>
      <c r="C69" s="67">
        <f t="shared" ref="C69:U69" si="132">C68/C$47</f>
        <v>-1.7374742819233311</v>
      </c>
      <c r="D69" s="67">
        <f t="shared" si="132"/>
        <v>-0.86714285714285722</v>
      </c>
      <c r="E69" s="67">
        <f t="shared" si="132"/>
        <v>0.50641985093223174</v>
      </c>
      <c r="F69" s="67">
        <f t="shared" si="132"/>
        <v>0.47997544341118104</v>
      </c>
      <c r="G69" s="67">
        <f t="shared" si="132"/>
        <v>-1.6642305155447197</v>
      </c>
      <c r="H69" s="67">
        <f t="shared" si="132"/>
        <v>-1.8795238095238094</v>
      </c>
      <c r="I69" s="67">
        <f t="shared" si="132"/>
        <v>-0.27</v>
      </c>
      <c r="J69" s="67">
        <f t="shared" si="132"/>
        <v>-0.47</v>
      </c>
      <c r="K69" s="67">
        <f t="shared" si="132"/>
        <v>0.64</v>
      </c>
      <c r="L69" s="67">
        <f t="shared" si="132"/>
        <v>-0.36</v>
      </c>
      <c r="M69" s="67">
        <f t="shared" si="132"/>
        <v>0.67</v>
      </c>
      <c r="N69" s="67">
        <f t="shared" si="132"/>
        <v>0.57916666666666672</v>
      </c>
      <c r="O69" s="67">
        <f t="shared" si="132"/>
        <v>-0.77</v>
      </c>
      <c r="P69" s="67">
        <f t="shared" si="132"/>
        <v>-2.778473472186509</v>
      </c>
      <c r="Q69" s="67">
        <f t="shared" ref="Q69" si="133">Q68/Q$47</f>
        <v>0.63</v>
      </c>
      <c r="R69" s="67">
        <f t="shared" si="132"/>
        <v>-0.18319351009101706</v>
      </c>
      <c r="S69" s="67">
        <f t="shared" si="132"/>
        <v>-6.6365914786967448E-2</v>
      </c>
      <c r="T69" s="67">
        <f t="shared" si="132"/>
        <v>0.14554188853963176</v>
      </c>
      <c r="U69" s="67">
        <f t="shared" si="132"/>
        <v>-0.78213806858352031</v>
      </c>
      <c r="W69" s="67">
        <f t="shared" ref="W69:AO69" si="134">W68/W$47</f>
        <v>-0.41472122614729046</v>
      </c>
      <c r="X69" s="67">
        <f t="shared" si="134"/>
        <v>0.26011904761904764</v>
      </c>
      <c r="Y69" s="67">
        <f t="shared" si="134"/>
        <v>0.53193545361252415</v>
      </c>
      <c r="Z69" s="67">
        <f t="shared" si="134"/>
        <v>0.51719044898148869</v>
      </c>
      <c r="AA69" s="67">
        <f t="shared" si="134"/>
        <v>-3.6647183158632156E-2</v>
      </c>
      <c r="AB69" s="67">
        <f t="shared" si="134"/>
        <v>-3.1785714285714306E-2</v>
      </c>
      <c r="AC69" s="67">
        <f t="shared" si="134"/>
        <v>-3.8928571428571507E-2</v>
      </c>
      <c r="AD69" s="67">
        <f t="shared" si="134"/>
        <v>-6.7500000000000074E-2</v>
      </c>
      <c r="AE69" s="67">
        <f t="shared" si="134"/>
        <v>0.64249999999999996</v>
      </c>
      <c r="AF69" s="67">
        <f t="shared" si="134"/>
        <v>-2.4166666666666666E-2</v>
      </c>
      <c r="AG69" s="67">
        <f t="shared" si="134"/>
        <v>0.67249999999999999</v>
      </c>
      <c r="AH69" s="67">
        <f t="shared" si="134"/>
        <v>0.59875</v>
      </c>
      <c r="AI69" s="67">
        <f t="shared" si="134"/>
        <v>-0.38350000000000006</v>
      </c>
      <c r="AJ69" s="67">
        <f t="shared" si="134"/>
        <v>0.65249999999999997</v>
      </c>
      <c r="AK69" s="67">
        <f t="shared" ref="AK69" si="135">AK68/AK$47</f>
        <v>0.64249999999999996</v>
      </c>
      <c r="AL69" s="67">
        <f t="shared" si="134"/>
        <v>0.10283873629040068</v>
      </c>
      <c r="AM69" s="67">
        <f t="shared" si="134"/>
        <v>0.30970377549300515</v>
      </c>
      <c r="AN69" s="67">
        <f t="shared" si="134"/>
        <v>3.1597905914281452E-2</v>
      </c>
      <c r="AO69" s="67">
        <f t="shared" si="134"/>
        <v>9.7342232190640796E-2</v>
      </c>
      <c r="AQ69" s="67">
        <f t="shared" ref="AQ69:BI69" si="136">AQ68/AQ$47</f>
        <v>-4.8204596401044721E-3</v>
      </c>
      <c r="AR69" s="67">
        <f t="shared" si="136"/>
        <v>0.45537267080745303</v>
      </c>
      <c r="AS69" s="67">
        <f t="shared" si="136"/>
        <v>0.54272941780355022</v>
      </c>
      <c r="AT69" s="67">
        <f t="shared" si="136"/>
        <v>0.5199087181614529</v>
      </c>
      <c r="AU69" s="67">
        <f t="shared" si="136"/>
        <v>0.27672432121493923</v>
      </c>
      <c r="AV69" s="67">
        <f t="shared" si="136"/>
        <v>0.27506211180124202</v>
      </c>
      <c r="AW69" s="67">
        <f t="shared" si="136"/>
        <v>0.1349999999999999</v>
      </c>
      <c r="AX69" s="67">
        <f t="shared" si="136"/>
        <v>6.8333333333333149E-2</v>
      </c>
      <c r="AY69" s="67">
        <f t="shared" si="136"/>
        <v>0.64500000000000002</v>
      </c>
      <c r="AZ69" s="67">
        <f t="shared" si="136"/>
        <v>0.245</v>
      </c>
      <c r="BA69" s="67">
        <f t="shared" si="136"/>
        <v>0.67500000000000004</v>
      </c>
      <c r="BB69" s="67">
        <f t="shared" si="136"/>
        <v>0.59625766871165631</v>
      </c>
      <c r="BC69" s="67">
        <f t="shared" si="136"/>
        <v>-0.19620000000000004</v>
      </c>
      <c r="BD69" s="67">
        <f t="shared" si="136"/>
        <v>-2.4410451977401131</v>
      </c>
      <c r="BE69" s="67">
        <f t="shared" ref="BE69" si="137">BE68/BE$47</f>
        <v>0.65500000000000003</v>
      </c>
      <c r="BF69" s="67">
        <f t="shared" si="136"/>
        <v>0.27813139737660153</v>
      </c>
      <c r="BG69" s="67">
        <f t="shared" si="136"/>
        <v>0.48056384202562619</v>
      </c>
      <c r="BH69" s="67">
        <f t="shared" si="136"/>
        <v>0.70761163192560728</v>
      </c>
      <c r="BI69" s="67">
        <f t="shared" si="136"/>
        <v>0.15029442088425266</v>
      </c>
    </row>
    <row r="70" spans="2:61" ht="6" customHeight="1">
      <c r="B70" s="49"/>
      <c r="C70" s="3"/>
      <c r="D70" s="3"/>
      <c r="E70" s="10"/>
      <c r="F70" s="3"/>
      <c r="G70" s="1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2:61">
      <c r="B71" t="s">
        <v>176</v>
      </c>
      <c r="C71" s="91">
        <f>'1.1 Core Markets Visibility'!K31</f>
        <v>0</v>
      </c>
      <c r="D71" s="91">
        <f>'1.2 Core Markets Team expansion'!K31</f>
        <v>0</v>
      </c>
      <c r="E71" s="91">
        <f>'2.1 Mark Wuttke Contact Book'!K31</f>
        <v>-270</v>
      </c>
      <c r="F71" s="91">
        <f>'2.2 Jaime Contact Book'!K31</f>
        <v>-138.5924589</v>
      </c>
      <c r="G71" s="91">
        <f>'2.3 US Visibility'!K31</f>
        <v>0</v>
      </c>
      <c r="H71" s="91">
        <f>'2.4 US Team Expansion'!K31</f>
        <v>0</v>
      </c>
      <c r="I71" s="91">
        <f>'3.1 China'!K31</f>
        <v>0</v>
      </c>
      <c r="J71" s="91">
        <f>'3.2 Lane Crawford'!K31</f>
        <v>0</v>
      </c>
      <c r="K71" s="91">
        <f>'4.1 Nadim ME'!K31</f>
        <v>-30</v>
      </c>
      <c r="L71" s="91">
        <f>'4.2 ME Retail'!K31</f>
        <v>0</v>
      </c>
      <c r="M71" s="91">
        <f>'5.1 Mingo'!K31</f>
        <v>-3.75</v>
      </c>
      <c r="N71" s="91">
        <f>'5.2 Juan'!K31</f>
        <v>-132</v>
      </c>
      <c r="O71" s="91">
        <f>'5.3 Vishal_India'!K31</f>
        <v>0</v>
      </c>
      <c r="P71" s="91">
        <f>'5.4 Export Event'!K31</f>
        <v>0</v>
      </c>
      <c r="Q71" s="91">
        <f>'5.5 ABC Brokers'!K31</f>
        <v>-145</v>
      </c>
      <c r="R71" s="91">
        <f>'6.1 eComm Growth EU'!K31</f>
        <v>0</v>
      </c>
      <c r="S71" s="91">
        <f>'6.2 eComm Growth US'!K31</f>
        <v>0</v>
      </c>
      <c r="T71" s="91">
        <f>'7.1 Cambrium NPD'!K31</f>
        <v>-300</v>
      </c>
      <c r="U71" s="91">
        <f>'7.2 Social Media_Mkting'!K31</f>
        <v>0</v>
      </c>
      <c r="W71" s="91">
        <f>'1.1 Core Markets Visibility'!L31</f>
        <v>0</v>
      </c>
      <c r="X71" s="91">
        <f>'1.2 Core Markets Team expansion'!L31</f>
        <v>0</v>
      </c>
      <c r="Y71" s="91">
        <f>'2.1 Mark Wuttke Contact Book'!L31</f>
        <v>-270</v>
      </c>
      <c r="Z71" s="91">
        <f>'2.2 Jaime Contact Book'!L31</f>
        <v>-209.67519657</v>
      </c>
      <c r="AA71" s="91">
        <f>'2.3 US Visibility'!L31</f>
        <v>0</v>
      </c>
      <c r="AB71" s="91">
        <f>'2.4 US Team Expansion'!L31</f>
        <v>0</v>
      </c>
      <c r="AC71" s="91">
        <f>'3.1 China'!L31</f>
        <v>0</v>
      </c>
      <c r="AD71" s="91">
        <f>'3.2 Lane Crawford'!L31</f>
        <v>0</v>
      </c>
      <c r="AE71" s="91">
        <f>'4.1 Nadim ME'!L31</f>
        <v>0</v>
      </c>
      <c r="AF71" s="91">
        <f>'4.2 ME Retail'!L31</f>
        <v>0</v>
      </c>
      <c r="AG71" s="91">
        <f>'5.1 Mingo'!L31</f>
        <v>-5</v>
      </c>
      <c r="AH71" s="91">
        <f>'5.2 Juan'!L31</f>
        <v>-156</v>
      </c>
      <c r="AI71" s="91">
        <f>'5.3 Vishal_India'!L31</f>
        <v>0</v>
      </c>
      <c r="AJ71" s="91">
        <f>'5.4 Export Event'!L31</f>
        <v>0</v>
      </c>
      <c r="AK71" s="91">
        <f>'5.5 ABC Brokers'!L31</f>
        <v>-182</v>
      </c>
      <c r="AL71" s="91">
        <f>'6.1 eComm Growth EU'!L31</f>
        <v>0</v>
      </c>
      <c r="AM71" s="91">
        <f>'6.2 eComm Growth US'!L31</f>
        <v>0</v>
      </c>
      <c r="AN71" s="91">
        <f>'7.1 Cambrium NPD'!L31</f>
        <v>-150</v>
      </c>
      <c r="AO71" s="91">
        <f>'7.2 Social Media_Mkting'!L31</f>
        <v>0</v>
      </c>
      <c r="AQ71" s="91">
        <f>'1.1 Core Markets Visibility'!M31</f>
        <v>0</v>
      </c>
      <c r="AR71" s="91">
        <f>'1.2 Core Markets Team expansion'!M31</f>
        <v>0</v>
      </c>
      <c r="AS71" s="91">
        <f>'2.1 Mark Wuttke Contact Book'!M31</f>
        <v>-150</v>
      </c>
      <c r="AT71" s="91">
        <f>'2.2 Jaime Contact Book'!M31</f>
        <v>-254.85023588400003</v>
      </c>
      <c r="AU71" s="91">
        <f>'2.3 US Visibility'!M31</f>
        <v>0</v>
      </c>
      <c r="AV71" s="91">
        <f>'2.4 US Team Expansion'!M31</f>
        <v>0</v>
      </c>
      <c r="AW71" s="91">
        <f>'3.1 China'!M31</f>
        <v>0</v>
      </c>
      <c r="AX71" s="91">
        <f>'3.2 Lane Crawford'!M31</f>
        <v>0</v>
      </c>
      <c r="AY71" s="91">
        <f>'4.1 Nadim ME'!M31</f>
        <v>0</v>
      </c>
      <c r="AZ71" s="91">
        <f>'4.2 ME Retail'!M31</f>
        <v>0</v>
      </c>
      <c r="BA71" s="91">
        <f>'5.1 Mingo'!M31</f>
        <v>-7.5</v>
      </c>
      <c r="BB71" s="91">
        <f>'5.2 Juan'!M31</f>
        <v>-177.8</v>
      </c>
      <c r="BC71" s="91">
        <f>'5.3 Vishal_India'!M31</f>
        <v>0</v>
      </c>
      <c r="BD71" s="91">
        <f>'5.4 Export Event'!M31</f>
        <v>0</v>
      </c>
      <c r="BE71" s="91">
        <f>'5.5 ABC Brokers'!M31</f>
        <v>-245.20000000000002</v>
      </c>
      <c r="BF71" s="91">
        <f>'6.1 eComm Growth EU'!M31</f>
        <v>0</v>
      </c>
      <c r="BG71" s="91">
        <f>'6.2 eComm Growth US'!M31</f>
        <v>0</v>
      </c>
      <c r="BH71" s="91">
        <f>'7.1 Cambrium NPD'!M31</f>
        <v>0</v>
      </c>
      <c r="BI71" s="91">
        <f>'7.2 Social Media_Mkting'!M31</f>
        <v>0</v>
      </c>
    </row>
    <row r="72" spans="2:61" ht="6" customHeight="1">
      <c r="B72" s="49"/>
      <c r="C72" s="3"/>
      <c r="D72" s="3"/>
      <c r="E72" s="10"/>
      <c r="F72" s="3"/>
      <c r="G72" s="10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2:61">
      <c r="B73" s="65" t="s">
        <v>177</v>
      </c>
      <c r="C73" s="121">
        <f t="shared" ref="C73:U73" si="138">SUM(C68,C71)</f>
        <v>-468.40408450000001</v>
      </c>
      <c r="D73" s="121">
        <f t="shared" si="138"/>
        <v>-72.84</v>
      </c>
      <c r="E73" s="121">
        <f t="shared" si="138"/>
        <v>413.43085562300007</v>
      </c>
      <c r="F73" s="121">
        <f t="shared" si="138"/>
        <v>270.27422803000013</v>
      </c>
      <c r="G73" s="121">
        <f t="shared" si="138"/>
        <v>-150.85930424</v>
      </c>
      <c r="H73" s="121">
        <f t="shared" si="138"/>
        <v>-157.88</v>
      </c>
      <c r="I73" s="121">
        <f t="shared" si="138"/>
        <v>-33.75</v>
      </c>
      <c r="J73" s="121">
        <f t="shared" si="138"/>
        <v>-23.5</v>
      </c>
      <c r="K73" s="121">
        <f t="shared" si="138"/>
        <v>-7.6000000000000014</v>
      </c>
      <c r="L73" s="121">
        <f t="shared" si="138"/>
        <v>-18</v>
      </c>
      <c r="M73" s="121">
        <f t="shared" si="138"/>
        <v>21.375</v>
      </c>
      <c r="N73" s="121">
        <f t="shared" si="138"/>
        <v>-62.500000000000014</v>
      </c>
      <c r="O73" s="121">
        <f t="shared" si="138"/>
        <v>-19.25</v>
      </c>
      <c r="P73" s="121">
        <f t="shared" si="138"/>
        <v>-101.30140625</v>
      </c>
      <c r="Q73" s="121">
        <f t="shared" ref="Q73" si="139">SUM(Q68,Q71)</f>
        <v>12.5</v>
      </c>
      <c r="R73" s="121">
        <f t="shared" si="138"/>
        <v>-46.293000000000006</v>
      </c>
      <c r="S73" s="121">
        <f t="shared" si="138"/>
        <v>-7.9440000000000026</v>
      </c>
      <c r="T73" s="121">
        <f t="shared" si="138"/>
        <v>-277.52578852953002</v>
      </c>
      <c r="U73" s="121">
        <f t="shared" si="138"/>
        <v>-161.03438470604002</v>
      </c>
      <c r="W73" s="121">
        <f t="shared" ref="W73:AO73" si="140">SUM(W68,W71)</f>
        <v>-270.11927203125009</v>
      </c>
      <c r="X73" s="121">
        <f t="shared" si="140"/>
        <v>87.4</v>
      </c>
      <c r="Y73" s="121">
        <f t="shared" si="140"/>
        <v>1300.7810981212499</v>
      </c>
      <c r="Z73" s="121">
        <f t="shared" si="140"/>
        <v>866.85875626749953</v>
      </c>
      <c r="AA73" s="121">
        <f t="shared" si="140"/>
        <v>-11.886239245500057</v>
      </c>
      <c r="AB73" s="121">
        <f t="shared" si="140"/>
        <v>-10.680000000000007</v>
      </c>
      <c r="AC73" s="121">
        <f t="shared" si="140"/>
        <v>-6.8125000000000142</v>
      </c>
      <c r="AD73" s="121">
        <f t="shared" si="140"/>
        <v>-6.7500000000000071</v>
      </c>
      <c r="AE73" s="121">
        <f t="shared" si="140"/>
        <v>56.21875</v>
      </c>
      <c r="AF73" s="121">
        <f t="shared" si="140"/>
        <v>-1.8125</v>
      </c>
      <c r="AG73" s="121">
        <f t="shared" si="140"/>
        <v>28.625</v>
      </c>
      <c r="AH73" s="121">
        <f t="shared" si="140"/>
        <v>-12.30000000000004</v>
      </c>
      <c r="AI73" s="121">
        <f t="shared" si="140"/>
        <v>-14.381250000000001</v>
      </c>
      <c r="AJ73" s="121">
        <f t="shared" si="140"/>
        <v>25.8879375</v>
      </c>
      <c r="AK73" s="121">
        <f t="shared" ref="AK73" si="141">SUM(AK68,AK71)</f>
        <v>139.25</v>
      </c>
      <c r="AL73" s="121">
        <f t="shared" si="140"/>
        <v>37.084162499999934</v>
      </c>
      <c r="AM73" s="121">
        <f t="shared" si="140"/>
        <v>64.311537499999972</v>
      </c>
      <c r="AN73" s="121">
        <f t="shared" si="140"/>
        <v>-131.35202200839998</v>
      </c>
      <c r="AO73" s="121">
        <f t="shared" si="140"/>
        <v>28.723988995799981</v>
      </c>
      <c r="AQ73" s="121">
        <f t="shared" ref="AQ73:BI73" si="142">SUM(AQ68,AQ71)</f>
        <v>-5.4050094125003341</v>
      </c>
      <c r="AR73" s="121">
        <f t="shared" si="142"/>
        <v>293.25999999999976</v>
      </c>
      <c r="AS73" s="121">
        <f t="shared" si="142"/>
        <v>1966.256780719119</v>
      </c>
      <c r="AT73" s="121">
        <f t="shared" si="142"/>
        <v>1187.2750193151996</v>
      </c>
      <c r="AU73" s="121">
        <f t="shared" si="142"/>
        <v>173.56454042519985</v>
      </c>
      <c r="AV73" s="121">
        <f t="shared" si="142"/>
        <v>177.13999999999987</v>
      </c>
      <c r="AW73" s="121">
        <f t="shared" si="142"/>
        <v>33.749999999999972</v>
      </c>
      <c r="AX73" s="121">
        <f t="shared" si="142"/>
        <v>10.249999999999972</v>
      </c>
      <c r="AY73" s="121">
        <f t="shared" si="142"/>
        <v>107.23125</v>
      </c>
      <c r="AZ73" s="121">
        <f t="shared" si="142"/>
        <v>30.625</v>
      </c>
      <c r="BA73" s="121">
        <f t="shared" si="142"/>
        <v>43.125</v>
      </c>
      <c r="BB73" s="121">
        <f t="shared" si="142"/>
        <v>16.579999999999927</v>
      </c>
      <c r="BC73" s="121">
        <f t="shared" si="142"/>
        <v>-9.8100000000000023</v>
      </c>
      <c r="BD73" s="121">
        <f t="shared" si="142"/>
        <v>-108.01625</v>
      </c>
      <c r="BE73" s="121">
        <f t="shared" ref="BE73" si="143">SUM(BE68,BE71)</f>
        <v>409.79999999999995</v>
      </c>
      <c r="BF73" s="121">
        <f t="shared" si="142"/>
        <v>134.8091062499999</v>
      </c>
      <c r="BG73" s="121">
        <f t="shared" si="142"/>
        <v>148.39967624999991</v>
      </c>
      <c r="BH73" s="121">
        <f t="shared" si="142"/>
        <v>573.2581831044597</v>
      </c>
      <c r="BI73" s="121">
        <f t="shared" si="142"/>
        <v>60.879091552229866</v>
      </c>
    </row>
    <row r="74" spans="2:61">
      <c r="B74" s="66" t="s">
        <v>178</v>
      </c>
      <c r="C74" s="67">
        <f t="shared" ref="C74:U74" si="144">C73/C$47</f>
        <v>-1.7374742819233311</v>
      </c>
      <c r="D74" s="67">
        <f t="shared" si="144"/>
        <v>-0.86714285714285722</v>
      </c>
      <c r="E74" s="67">
        <f t="shared" si="144"/>
        <v>0.30635080425879824</v>
      </c>
      <c r="F74" s="67">
        <f t="shared" si="144"/>
        <v>0.31727943749920495</v>
      </c>
      <c r="G74" s="67">
        <f t="shared" si="144"/>
        <v>-1.6642305155447197</v>
      </c>
      <c r="H74" s="67">
        <f t="shared" si="144"/>
        <v>-1.8795238095238094</v>
      </c>
      <c r="I74" s="67">
        <f t="shared" si="144"/>
        <v>-0.27</v>
      </c>
      <c r="J74" s="67">
        <f t="shared" si="144"/>
        <v>-0.47</v>
      </c>
      <c r="K74" s="67">
        <f t="shared" si="144"/>
        <v>-0.21714285714285719</v>
      </c>
      <c r="L74" s="67">
        <f t="shared" si="144"/>
        <v>-0.36</v>
      </c>
      <c r="M74" s="67">
        <f t="shared" si="144"/>
        <v>0.56999999999999995</v>
      </c>
      <c r="N74" s="67">
        <f t="shared" si="144"/>
        <v>-0.52083333333333359</v>
      </c>
      <c r="O74" s="67">
        <f t="shared" si="144"/>
        <v>-0.77</v>
      </c>
      <c r="P74" s="67">
        <f t="shared" si="144"/>
        <v>-2.778473472186509</v>
      </c>
      <c r="Q74" s="67">
        <f t="shared" ref="Q74" si="145">Q73/Q$47</f>
        <v>0.05</v>
      </c>
      <c r="R74" s="67">
        <f t="shared" si="144"/>
        <v>-0.18319351009101706</v>
      </c>
      <c r="S74" s="67">
        <f t="shared" si="144"/>
        <v>-6.6365914786967448E-2</v>
      </c>
      <c r="T74" s="67">
        <f t="shared" si="144"/>
        <v>-1.797243361980059</v>
      </c>
      <c r="U74" s="67">
        <f t="shared" si="144"/>
        <v>-0.78213806858352031</v>
      </c>
      <c r="W74" s="67">
        <f t="shared" ref="W74:AO74" si="146">W73/W$47</f>
        <v>-0.41472122614729046</v>
      </c>
      <c r="X74" s="67">
        <f t="shared" si="146"/>
        <v>0.26011904761904764</v>
      </c>
      <c r="Y74" s="67">
        <f t="shared" si="146"/>
        <v>0.44050159777662007</v>
      </c>
      <c r="Z74" s="67">
        <f t="shared" si="146"/>
        <v>0.41645790007442296</v>
      </c>
      <c r="AA74" s="67">
        <f t="shared" si="146"/>
        <v>-3.6647183158632156E-2</v>
      </c>
      <c r="AB74" s="67">
        <f t="shared" si="146"/>
        <v>-3.1785714285714306E-2</v>
      </c>
      <c r="AC74" s="67">
        <f t="shared" si="146"/>
        <v>-3.8928571428571507E-2</v>
      </c>
      <c r="AD74" s="67">
        <f t="shared" si="146"/>
        <v>-6.7500000000000074E-2</v>
      </c>
      <c r="AE74" s="67">
        <f t="shared" si="146"/>
        <v>0.64249999999999996</v>
      </c>
      <c r="AF74" s="67">
        <f t="shared" si="146"/>
        <v>-2.4166666666666666E-2</v>
      </c>
      <c r="AG74" s="67">
        <f t="shared" si="146"/>
        <v>0.57250000000000001</v>
      </c>
      <c r="AH74" s="67">
        <f t="shared" si="146"/>
        <v>-5.1250000000000177E-2</v>
      </c>
      <c r="AI74" s="67">
        <f t="shared" si="146"/>
        <v>-0.38350000000000006</v>
      </c>
      <c r="AJ74" s="67">
        <f t="shared" si="146"/>
        <v>0.65249999999999997</v>
      </c>
      <c r="AK74" s="67">
        <f t="shared" ref="AK74" si="147">AK73/AK$47</f>
        <v>0.27850000000000003</v>
      </c>
      <c r="AL74" s="67">
        <f t="shared" si="146"/>
        <v>0.10283873629040068</v>
      </c>
      <c r="AM74" s="67">
        <f t="shared" si="146"/>
        <v>0.30970377549300515</v>
      </c>
      <c r="AN74" s="67">
        <f t="shared" si="146"/>
        <v>-0.22256830391700491</v>
      </c>
      <c r="AO74" s="67">
        <f t="shared" si="146"/>
        <v>9.7342232190640796E-2</v>
      </c>
      <c r="AQ74" s="67">
        <f t="shared" ref="AQ74:BI74" si="148">AQ73/AQ$47</f>
        <v>-4.8204596401044721E-3</v>
      </c>
      <c r="AR74" s="67">
        <f t="shared" si="148"/>
        <v>0.45537267080745303</v>
      </c>
      <c r="AS74" s="67">
        <f t="shared" si="148"/>
        <v>0.50426082863599708</v>
      </c>
      <c r="AT74" s="67">
        <f t="shared" si="148"/>
        <v>0.42803122070836769</v>
      </c>
      <c r="AU74" s="67">
        <f t="shared" si="148"/>
        <v>0.27672432121493923</v>
      </c>
      <c r="AV74" s="67">
        <f t="shared" si="148"/>
        <v>0.27506211180124202</v>
      </c>
      <c r="AW74" s="67">
        <f t="shared" si="148"/>
        <v>0.1349999999999999</v>
      </c>
      <c r="AX74" s="67">
        <f t="shared" si="148"/>
        <v>6.8333333333333149E-2</v>
      </c>
      <c r="AY74" s="67">
        <f t="shared" si="148"/>
        <v>0.64500000000000002</v>
      </c>
      <c r="AZ74" s="67">
        <f t="shared" si="148"/>
        <v>0.245</v>
      </c>
      <c r="BA74" s="67">
        <f t="shared" si="148"/>
        <v>0.57499999999999996</v>
      </c>
      <c r="BB74" s="67">
        <f t="shared" si="148"/>
        <v>5.0858895705521261E-2</v>
      </c>
      <c r="BC74" s="67">
        <f t="shared" si="148"/>
        <v>-0.19620000000000004</v>
      </c>
      <c r="BD74" s="67">
        <f t="shared" si="148"/>
        <v>-2.4410451977401131</v>
      </c>
      <c r="BE74" s="67">
        <f t="shared" ref="BE74" si="149">BE73/BE$47</f>
        <v>0.40979999999999994</v>
      </c>
      <c r="BF74" s="67">
        <f t="shared" si="148"/>
        <v>0.27813139737660153</v>
      </c>
      <c r="BG74" s="67">
        <f t="shared" si="148"/>
        <v>0.48056384202562619</v>
      </c>
      <c r="BH74" s="67">
        <f t="shared" si="148"/>
        <v>0.70761163192560728</v>
      </c>
      <c r="BI74" s="67">
        <f t="shared" si="148"/>
        <v>0.15029442088425266</v>
      </c>
    </row>
    <row r="77" spans="2:61">
      <c r="B77" t="s">
        <v>256</v>
      </c>
      <c r="C77" s="91">
        <f>'1.1 Core Markets Visibility'!K37</f>
        <v>-445.73999999999995</v>
      </c>
      <c r="D77" s="91">
        <f>'1.2 Core Markets Team expansion'!K37</f>
        <v>-71.7</v>
      </c>
      <c r="E77" s="91">
        <f>'2.1 Mark Wuttke Contact Book'!K37</f>
        <v>-95.121505718500003</v>
      </c>
      <c r="F77" s="91">
        <f>'2.2 Jaime Contact Book'!K37</f>
        <v>-166.79622945</v>
      </c>
      <c r="G77" s="91">
        <f>'2.3 US Visibility'!K37</f>
        <v>-156.5</v>
      </c>
      <c r="H77" s="91">
        <f>'2.4 US Team Expansion'!K37</f>
        <v>-111.7</v>
      </c>
      <c r="I77" s="91">
        <f>'3.1 China'!K37</f>
        <v>-100</v>
      </c>
      <c r="J77" s="91">
        <f>'3.2 Lane Crawford'!K37</f>
        <v>-30</v>
      </c>
      <c r="K77" s="91">
        <f>'4.1 Nadim ME'!K37</f>
        <v>-15</v>
      </c>
      <c r="L77" s="91">
        <f>'4.2 ME Retail'!K37</f>
        <v>0</v>
      </c>
      <c r="M77" s="91">
        <f>'5.1 Mingo'!K37</f>
        <v>0</v>
      </c>
      <c r="N77" s="91">
        <f>'5.2 Juan'!K37</f>
        <v>-33</v>
      </c>
      <c r="O77" s="91">
        <f>'5.3 Vishal_India'!K37</f>
        <v>-18</v>
      </c>
      <c r="P77" s="91">
        <f>'5.4 Export Event'!K37</f>
        <v>-125</v>
      </c>
      <c r="Q77" s="91">
        <f>'5.5 ABC Brokers'!K37</f>
        <v>-8</v>
      </c>
      <c r="R77" s="91">
        <f>'6.1 eComm Growth EU'!K37</f>
        <v>-22.599666666666668</v>
      </c>
      <c r="S77" s="91">
        <f>'6.2 eComm Growth US'!K37</f>
        <v>-9.44</v>
      </c>
      <c r="T77" s="91">
        <f>'7.1 Cambrium NPD'!K37</f>
        <v>-300</v>
      </c>
      <c r="U77" s="91">
        <f>'7.2 Social Media_Mkting'!K37</f>
        <v>-311</v>
      </c>
      <c r="W77" s="91">
        <f>'1.1 Core Markets Visibility'!L37</f>
        <v>0</v>
      </c>
      <c r="X77" s="91">
        <f>'1.2 Core Markets Team expansion'!L37</f>
        <v>0</v>
      </c>
      <c r="Y77" s="91">
        <f>'2.1 Mark Wuttke Contact Book'!L37</f>
        <v>0</v>
      </c>
      <c r="Z77" s="91">
        <f>'2.2 Jaime Contact Book'!L37</f>
        <v>0</v>
      </c>
      <c r="AA77" s="91">
        <f>'2.3 US Visibility'!L37</f>
        <v>0</v>
      </c>
      <c r="AB77" s="91">
        <f>'2.4 US Team Expansion'!L37</f>
        <v>0</v>
      </c>
      <c r="AC77" s="91">
        <f>'3.1 China'!L37</f>
        <v>0</v>
      </c>
      <c r="AD77" s="91">
        <f>'3.2 Lane Crawford'!L37</f>
        <v>0</v>
      </c>
      <c r="AE77" s="91">
        <f>'4.1 Nadim ME'!L37</f>
        <v>0</v>
      </c>
      <c r="AF77" s="91">
        <f>'4.2 ME Retail'!L37</f>
        <v>0</v>
      </c>
      <c r="AG77" s="91">
        <f>'5.1 Mingo'!L37</f>
        <v>0</v>
      </c>
      <c r="AH77" s="91">
        <f>'5.2 Juan'!L37</f>
        <v>0</v>
      </c>
      <c r="AI77" s="91">
        <f>'5.3 Vishal_India'!L37</f>
        <v>0</v>
      </c>
      <c r="AJ77" s="91">
        <f>'5.4 Export Event'!L37</f>
        <v>0</v>
      </c>
      <c r="AK77" s="91"/>
      <c r="AL77" s="91">
        <f>'6.1 eComm Growth EU'!L37</f>
        <v>0</v>
      </c>
      <c r="AM77" s="91">
        <f>'6.2 eComm Growth US'!L37</f>
        <v>0</v>
      </c>
      <c r="AN77" s="91">
        <f>'7.1 Cambrium NPD'!L37</f>
        <v>0</v>
      </c>
      <c r="AO77" s="91">
        <f>'7.2 Social Media_Mkting'!L37</f>
        <v>0</v>
      </c>
      <c r="AQ77" s="91">
        <f>'1.1 Core Markets Visibility'!M37</f>
        <v>0</v>
      </c>
      <c r="AR77" s="91">
        <f>'1.2 Core Markets Team expansion'!M37</f>
        <v>0</v>
      </c>
      <c r="AS77" s="91">
        <f>'2.1 Mark Wuttke Contact Book'!M37</f>
        <v>0</v>
      </c>
      <c r="AT77" s="91">
        <f>'2.2 Jaime Contact Book'!M37</f>
        <v>0</v>
      </c>
      <c r="AU77" s="91">
        <f>'2.3 US Visibility'!M37</f>
        <v>0</v>
      </c>
      <c r="AV77" s="91">
        <f>'2.4 US Team Expansion'!M37</f>
        <v>0</v>
      </c>
      <c r="AW77" s="91">
        <f>'3.1 China'!M37</f>
        <v>0</v>
      </c>
      <c r="AX77" s="91">
        <f>'3.2 Lane Crawford'!M37</f>
        <v>0</v>
      </c>
      <c r="AY77" s="91">
        <f>'4.1 Nadim ME'!M37</f>
        <v>0</v>
      </c>
      <c r="AZ77" s="91">
        <f>'4.2 ME Retail'!M37</f>
        <v>0</v>
      </c>
      <c r="BA77" s="91">
        <f>'5.1 Mingo'!M37</f>
        <v>0</v>
      </c>
      <c r="BB77" s="91">
        <f>'5.2 Juan'!M37</f>
        <v>0</v>
      </c>
      <c r="BC77" s="91">
        <f>'5.3 Vishal_India'!M37</f>
        <v>0</v>
      </c>
      <c r="BD77" s="91">
        <f>'5.4 Export Event'!M37</f>
        <v>0</v>
      </c>
      <c r="BE77" s="91"/>
      <c r="BF77" s="91">
        <f>'6.1 eComm Growth EU'!M37</f>
        <v>0</v>
      </c>
      <c r="BG77" s="91">
        <f>'6.2 eComm Growth US'!M37</f>
        <v>0</v>
      </c>
      <c r="BH77" s="91">
        <f>'7.1 Cambrium NPD'!M37</f>
        <v>0</v>
      </c>
      <c r="BI77" s="91">
        <f>'7.2 Social Media_Mkting'!M37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040E-9C82-4EFA-BCBA-59DC4553BC94}">
  <sheetPr>
    <tabColor theme="1"/>
  </sheetPr>
  <dimension ref="A1"/>
  <sheetViews>
    <sheetView showGridLines="0" topLeftCell="A5" workbookViewId="0">
      <selection activeCell="Q36" sqref="Q36:Q39"/>
    </sheetView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324E-20DB-46CE-9D20-349F0DC83A7E}">
  <sheetPr>
    <tabColor rgb="FF92D050"/>
    <pageSetUpPr fitToPage="1"/>
  </sheetPr>
  <dimension ref="B1:S63"/>
  <sheetViews>
    <sheetView showGridLines="0" workbookViewId="0">
      <selection activeCell="B55" sqref="B55:K62"/>
    </sheetView>
  </sheetViews>
  <sheetFormatPr defaultRowHeight="15"/>
  <cols>
    <col min="2" max="2" width="24.7109375" bestFit="1" customWidth="1"/>
    <col min="3" max="7" width="0" hidden="1" customWidth="1"/>
    <col min="8" max="8" width="8.7109375" bestFit="1" customWidth="1"/>
    <col min="9" max="9" width="9.7109375" bestFit="1" customWidth="1"/>
    <col min="10" max="12" width="12.140625" customWidth="1"/>
    <col min="15" max="15" width="9.5703125" bestFit="1" customWidth="1"/>
    <col min="16" max="16" width="10.140625" bestFit="1" customWidth="1"/>
    <col min="17" max="17" width="21.7109375" bestFit="1" customWidth="1"/>
    <col min="18" max="18" width="16.7109375" bestFit="1" customWidth="1"/>
    <col min="19" max="19" width="15.42578125" bestFit="1" customWidth="1"/>
  </cols>
  <sheetData>
    <row r="1" spans="2:13">
      <c r="C1">
        <v>2026</v>
      </c>
      <c r="D1">
        <v>2027</v>
      </c>
      <c r="E1">
        <v>2028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</row>
    <row r="2" spans="2:13" ht="8.25" customHeight="1"/>
    <row r="3" spans="2:13">
      <c r="B3" s="47" t="s">
        <v>31</v>
      </c>
      <c r="C3" s="151">
        <f>'1.1 Core Markets Visibility'!C7+'1.2 Core Markets Team expansion'!C7</f>
        <v>505.12725</v>
      </c>
      <c r="D3" s="151">
        <f>'1.1 Core Markets Visibility'!D7+'1.2 Core Markets Team expansion'!D7</f>
        <v>1410.467625</v>
      </c>
      <c r="E3" s="151">
        <f>'1.1 Core Markets Visibility'!E7+'1.2 Core Markets Team expansion'!E7</f>
        <v>2521.8061750000002</v>
      </c>
      <c r="H3" s="151">
        <f>'3YP'!D11</f>
        <v>7275.3369099999991</v>
      </c>
      <c r="I3" s="151">
        <f>'3YP'!G11</f>
        <v>9226.8725000000013</v>
      </c>
      <c r="J3" s="151">
        <f>'1.1 Core Markets Visibility'!M7+'1.2 Core Markets Team expansion'!M7</f>
        <v>1765.2643224999999</v>
      </c>
      <c r="K3" s="151">
        <f>E3</f>
        <v>2521.8061750000002</v>
      </c>
      <c r="L3" s="151"/>
      <c r="M3" s="3"/>
    </row>
    <row r="4" spans="2:13">
      <c r="B4" s="49"/>
      <c r="C4" s="152"/>
      <c r="D4" s="152"/>
      <c r="E4" s="152"/>
      <c r="H4" s="152"/>
      <c r="I4" s="152"/>
      <c r="J4" s="152"/>
      <c r="K4" s="152"/>
      <c r="L4" s="152"/>
      <c r="M4" s="3"/>
    </row>
    <row r="5" spans="2:13">
      <c r="B5" s="51" t="s">
        <v>236</v>
      </c>
      <c r="C5" s="151"/>
      <c r="D5" s="151"/>
      <c r="E5" s="151"/>
      <c r="H5" s="151">
        <f>+'3YP'!D15</f>
        <v>378.59728180000002</v>
      </c>
      <c r="I5" s="151">
        <f>+'3YP'!G15</f>
        <v>850.56999999999994</v>
      </c>
      <c r="J5" s="151">
        <v>0</v>
      </c>
      <c r="K5" s="151">
        <f>E5</f>
        <v>0</v>
      </c>
      <c r="L5" s="151"/>
      <c r="M5" s="3"/>
    </row>
    <row r="6" spans="2:13">
      <c r="B6" s="49"/>
      <c r="C6" s="152"/>
      <c r="D6" s="152"/>
      <c r="E6" s="152"/>
      <c r="H6" s="152"/>
      <c r="I6" s="152"/>
      <c r="J6" s="152"/>
      <c r="K6" s="152"/>
      <c r="L6" s="152"/>
      <c r="M6" s="3"/>
    </row>
    <row r="7" spans="2:13">
      <c r="B7" s="47" t="s">
        <v>238</v>
      </c>
      <c r="C7" s="151">
        <f>'2.1 Mark Wuttke Contact Book'!C7+'2.2 Jaime Contact Book'!C7+'2.3 US Visibility'!C7+'2.4 US Team Expansion'!C7</f>
        <v>5758.7431500000002</v>
      </c>
      <c r="D7" s="151">
        <f>'2.1 Mark Wuttke Contact Book'!D7+'2.2 Jaime Contact Book'!D7+'2.3 US Visibility'!D7+'2.4 US Team Expansion'!D7</f>
        <v>13360.866095000001</v>
      </c>
      <c r="E7" s="151">
        <f>'2.1 Mark Wuttke Contact Book'!E7+'2.2 Jaime Contact Book'!E7+'2.3 US Visibility'!E7+'2.4 US Team Expansion'!E7</f>
        <v>18255.039313999998</v>
      </c>
      <c r="H7" s="151">
        <f>'3YP'!D19</f>
        <v>759.68615419999992</v>
      </c>
      <c r="I7" s="151">
        <f>'3YP'!G19</f>
        <v>1553.85752</v>
      </c>
      <c r="J7" s="151">
        <f>'2.1 Mark Wuttke Contact Book'!M7+'2.2 Jaime Contact Book'!M7+'2.3 US Visibility'!M7+'2.4 US Team Expansion'!M7</f>
        <v>7944.3009150480002</v>
      </c>
      <c r="K7" s="151">
        <f>E7</f>
        <v>18255.039313999998</v>
      </c>
      <c r="L7" s="151"/>
      <c r="M7" s="3"/>
    </row>
    <row r="8" spans="2:13">
      <c r="B8" s="49"/>
      <c r="C8" s="152"/>
      <c r="D8" s="152"/>
      <c r="E8" s="152"/>
      <c r="H8" s="152"/>
      <c r="I8" s="152"/>
      <c r="J8" s="152"/>
      <c r="K8" s="152"/>
      <c r="L8" s="152"/>
      <c r="M8" s="3"/>
    </row>
    <row r="9" spans="2:13">
      <c r="B9" s="47" t="s">
        <v>100</v>
      </c>
      <c r="C9" s="151">
        <f>'5.4 Export Event'!C7</f>
        <v>48.612500000000004</v>
      </c>
      <c r="D9" s="151">
        <f>'5.4 Export Event'!D7</f>
        <v>52.900000000000006</v>
      </c>
      <c r="E9" s="151">
        <f>'5.4 Export Event'!E7</f>
        <v>59</v>
      </c>
      <c r="H9" s="151">
        <f>'3YP'!D28</f>
        <v>1817.5264900000002</v>
      </c>
      <c r="I9" s="151">
        <f>'3YP'!G28</f>
        <v>2360</v>
      </c>
      <c r="J9" s="151">
        <f>'5.4 Export Event'!M7</f>
        <v>44.25</v>
      </c>
      <c r="K9" s="151">
        <f>E9</f>
        <v>59</v>
      </c>
      <c r="L9" s="151"/>
      <c r="M9" s="3"/>
    </row>
    <row r="10" spans="2:13">
      <c r="B10" s="49"/>
      <c r="C10" s="152"/>
      <c r="D10" s="152"/>
      <c r="E10" s="152"/>
      <c r="H10" s="152"/>
      <c r="I10" s="152"/>
      <c r="J10" s="152"/>
      <c r="K10" s="152"/>
      <c r="L10" s="152"/>
      <c r="M10" s="3"/>
    </row>
    <row r="11" spans="2:13" ht="15.75" thickBot="1">
      <c r="B11" s="52" t="s">
        <v>246</v>
      </c>
      <c r="C11" s="153">
        <f>SUM(C3:C9)</f>
        <v>6312.4829</v>
      </c>
      <c r="D11" s="153">
        <f t="shared" ref="D11:E11" si="0">SUM(D3:D9)</f>
        <v>14824.23372</v>
      </c>
      <c r="E11" s="153">
        <f t="shared" si="0"/>
        <v>20835.845488999999</v>
      </c>
      <c r="H11" s="153">
        <f t="shared" ref="H11:L11" si="1">SUM(H3:H9)</f>
        <v>10231.146836</v>
      </c>
      <c r="I11" s="153">
        <f t="shared" si="1"/>
        <v>13991.300020000001</v>
      </c>
      <c r="J11" s="153">
        <f t="shared" si="1"/>
        <v>9753.8152375480004</v>
      </c>
      <c r="K11" s="153">
        <f t="shared" si="1"/>
        <v>20835.845488999999</v>
      </c>
      <c r="L11" s="153">
        <f t="shared" si="1"/>
        <v>0</v>
      </c>
      <c r="M11" s="3"/>
    </row>
    <row r="12" spans="2:13">
      <c r="B12" s="49"/>
      <c r="C12" s="152"/>
      <c r="D12" s="152"/>
      <c r="E12" s="152"/>
      <c r="H12" s="152"/>
      <c r="I12" s="152"/>
      <c r="J12" s="152"/>
      <c r="K12" s="152"/>
      <c r="L12" s="152"/>
      <c r="M12" s="3"/>
    </row>
    <row r="13" spans="2:13">
      <c r="B13" t="s">
        <v>247</v>
      </c>
      <c r="C13" s="3">
        <f>'3.1 China'!C7+'3.2 Lane Crawford'!C7</f>
        <v>350</v>
      </c>
      <c r="D13" s="3">
        <f>'3.1 China'!D7+'3.2 Lane Crawford'!D7</f>
        <v>550</v>
      </c>
      <c r="E13" s="3">
        <f>'3.1 China'!E7+'3.2 Lane Crawford'!E7</f>
        <v>800</v>
      </c>
      <c r="H13" s="3">
        <f>'3YP'!D32</f>
        <v>500.90406999999993</v>
      </c>
      <c r="I13" s="3">
        <f>'3YP'!G32</f>
        <v>1600</v>
      </c>
      <c r="J13" s="3">
        <f>'3.1 China'!M7+'3.2 Lane Crawford'!M7</f>
        <v>400</v>
      </c>
      <c r="K13" s="3">
        <f>E13</f>
        <v>800</v>
      </c>
      <c r="L13" s="3"/>
      <c r="M13" s="3"/>
    </row>
    <row r="14" spans="2:13">
      <c r="B14" t="s">
        <v>248</v>
      </c>
      <c r="C14" s="3">
        <f>'4.1 Nadim ME'!C7+'4.2 ME Retail'!C7</f>
        <v>150</v>
      </c>
      <c r="D14" s="3">
        <f>'4.1 Nadim ME'!D7+'4.2 ME Retail'!D7</f>
        <v>275</v>
      </c>
      <c r="E14" s="3">
        <f>'4.1 Nadim ME'!E7+'4.2 ME Retail'!E7</f>
        <v>487.5</v>
      </c>
      <c r="H14" s="3">
        <f>'3YP'!D33</f>
        <v>105.64609</v>
      </c>
      <c r="I14" s="3">
        <f>'3YP'!G33</f>
        <v>500</v>
      </c>
      <c r="J14" s="3">
        <f>'4.1 Nadim ME'!M7+'4.2 ME Retail'!M7</f>
        <v>291.25</v>
      </c>
      <c r="K14" s="3">
        <f t="shared" ref="K14:K15" si="2">E14</f>
        <v>487.5</v>
      </c>
      <c r="L14" s="3"/>
      <c r="M14" s="3"/>
    </row>
    <row r="15" spans="2:13">
      <c r="B15" t="s">
        <v>249</v>
      </c>
      <c r="C15" s="3">
        <f>'5.1 Mingo'!C7+'5.2 Juan'!C7+'5.3 Vishal_India'!C7</f>
        <v>1400</v>
      </c>
      <c r="D15" s="3">
        <f>'5.1 Mingo'!D7+'5.2 Juan'!D7+'5.3 Vishal_India'!D7</f>
        <v>2675</v>
      </c>
      <c r="E15" s="3">
        <f>'5.1 Mingo'!E7+'5.2 Juan'!E7+'5.3 Vishal_India'!E7</f>
        <v>3660</v>
      </c>
      <c r="H15" s="3">
        <f>'3YP'!D34</f>
        <v>0</v>
      </c>
      <c r="I15" s="3">
        <f>'3YP'!G34</f>
        <v>375</v>
      </c>
      <c r="J15" s="3">
        <f>'5.1 Mingo'!M7+'5.2 Juan'!M7+'5.3 Vishal_India'!M7</f>
        <v>450.99999999999994</v>
      </c>
      <c r="K15" s="3">
        <f t="shared" si="2"/>
        <v>3660</v>
      </c>
      <c r="L15" s="3"/>
      <c r="M15" s="3"/>
    </row>
    <row r="16" spans="2:13">
      <c r="B16" s="49"/>
      <c r="C16" s="152"/>
      <c r="D16" s="152"/>
      <c r="E16" s="152"/>
      <c r="H16" s="152"/>
      <c r="I16" s="152"/>
      <c r="J16" s="152"/>
      <c r="K16" s="152"/>
      <c r="L16" s="152"/>
      <c r="M16" s="3"/>
    </row>
    <row r="17" spans="2:19" ht="15.75" thickBot="1">
      <c r="B17" s="52" t="s">
        <v>250</v>
      </c>
      <c r="C17" s="153">
        <f>SUM(C13:C15)</f>
        <v>1900</v>
      </c>
      <c r="D17" s="153">
        <f t="shared" ref="D17:E17" si="3">SUM(D13:D15)</f>
        <v>3500</v>
      </c>
      <c r="E17" s="153">
        <f t="shared" si="3"/>
        <v>4947.5</v>
      </c>
      <c r="H17" s="153">
        <f t="shared" ref="H17:L17" si="4">SUM(H13:H15)</f>
        <v>606.55015999999989</v>
      </c>
      <c r="I17" s="153">
        <f t="shared" si="4"/>
        <v>2475</v>
      </c>
      <c r="J17" s="153">
        <f t="shared" si="4"/>
        <v>1142.25</v>
      </c>
      <c r="K17" s="153">
        <f t="shared" si="4"/>
        <v>4947.5</v>
      </c>
      <c r="L17" s="153">
        <f t="shared" si="4"/>
        <v>0</v>
      </c>
      <c r="M17" s="3"/>
    </row>
    <row r="18" spans="2:19">
      <c r="B18" s="49"/>
      <c r="C18" s="152"/>
      <c r="D18" s="152"/>
      <c r="E18" s="152"/>
      <c r="H18" s="152"/>
      <c r="I18" s="152"/>
      <c r="J18" s="152"/>
      <c r="K18" s="152"/>
      <c r="L18" s="152"/>
      <c r="M18" s="3"/>
    </row>
    <row r="19" spans="2:19">
      <c r="B19" t="s">
        <v>251</v>
      </c>
      <c r="C19" s="3">
        <f>'6.1 eComm Growth EU'!C7</f>
        <v>361</v>
      </c>
      <c r="D19" s="3">
        <f>'6.1 eComm Growth EU'!D7</f>
        <v>515.15</v>
      </c>
      <c r="E19" s="3">
        <f>'6.1 eComm Growth EU'!E7</f>
        <v>692.4224999999999</v>
      </c>
      <c r="H19" s="3">
        <f>'3YP'!D38</f>
        <v>660.48169199999995</v>
      </c>
      <c r="I19" s="3">
        <f>'3YP'!G38</f>
        <v>888.62400000000014</v>
      </c>
      <c r="J19" s="3">
        <f>'6.1 eComm Growth EU'!M7</f>
        <v>484.69574999999992</v>
      </c>
      <c r="K19" s="3">
        <f t="shared" ref="K19:K20" si="5">E19</f>
        <v>692.4224999999999</v>
      </c>
      <c r="L19" s="3"/>
      <c r="M19" s="3"/>
    </row>
    <row r="20" spans="2:19">
      <c r="B20" t="s">
        <v>252</v>
      </c>
      <c r="C20" s="3">
        <f>'6.2 eComm Growth US'!C7</f>
        <v>171</v>
      </c>
      <c r="D20" s="3">
        <f>'6.2 eComm Growth US'!D7</f>
        <v>296.64999999999998</v>
      </c>
      <c r="E20" s="3">
        <f>'6.2 eComm Growth US'!E7</f>
        <v>441.14749999999992</v>
      </c>
      <c r="H20" s="3">
        <f>'3YP'!D39</f>
        <v>396.49359879999997</v>
      </c>
      <c r="I20" s="3">
        <f>'3YP'!G39</f>
        <v>482.32800000000003</v>
      </c>
      <c r="J20" s="3">
        <f>'6.2 eComm Growth US'!M7</f>
        <v>308.80324999999993</v>
      </c>
      <c r="K20" s="3">
        <f t="shared" si="5"/>
        <v>441.14749999999992</v>
      </c>
      <c r="L20" s="3"/>
      <c r="M20" s="3"/>
    </row>
    <row r="21" spans="2:19">
      <c r="B21" t="s">
        <v>137</v>
      </c>
      <c r="C21" s="3"/>
      <c r="D21" s="3"/>
      <c r="E21" s="3"/>
      <c r="H21" s="3">
        <f>'3YP'!D40</f>
        <v>105.87025999999999</v>
      </c>
      <c r="I21" s="3">
        <f>'3YP'!G40</f>
        <v>130.68000000000004</v>
      </c>
      <c r="J21" s="3"/>
      <c r="K21" s="3"/>
      <c r="L21" s="3"/>
      <c r="M21" s="3"/>
    </row>
    <row r="22" spans="2:19">
      <c r="B22" t="s">
        <v>253</v>
      </c>
      <c r="C22" s="3"/>
      <c r="D22" s="3"/>
      <c r="E22" s="3"/>
      <c r="H22" s="3">
        <f>'3YP'!D41</f>
        <v>34.981104799999997</v>
      </c>
      <c r="I22" s="3">
        <f>'3YP'!G41</f>
        <v>34.981104799999997</v>
      </c>
      <c r="J22" s="3"/>
      <c r="K22" s="3"/>
      <c r="L22" s="3"/>
      <c r="M22" s="3"/>
    </row>
    <row r="23" spans="2:19">
      <c r="B23" s="49"/>
      <c r="C23" s="152"/>
      <c r="D23" s="152"/>
      <c r="E23" s="152"/>
      <c r="H23" s="152"/>
      <c r="I23" s="152"/>
      <c r="J23" s="152"/>
      <c r="K23" s="152"/>
      <c r="L23" s="152"/>
      <c r="M23" s="3"/>
    </row>
    <row r="24" spans="2:19" ht="15.75" thickBot="1">
      <c r="B24" s="52" t="s">
        <v>254</v>
      </c>
      <c r="C24" s="153">
        <f>SUM(C19:C22)</f>
        <v>532</v>
      </c>
      <c r="D24" s="153">
        <f t="shared" ref="D24:E24" si="6">SUM(D19:D22)</f>
        <v>811.8</v>
      </c>
      <c r="E24" s="153">
        <f t="shared" si="6"/>
        <v>1133.5699999999997</v>
      </c>
      <c r="H24" s="153">
        <f t="shared" ref="H24:L24" si="7">SUM(H19:H22)</f>
        <v>1197.8266555999999</v>
      </c>
      <c r="I24" s="153">
        <f t="shared" si="7"/>
        <v>1536.6131048000002</v>
      </c>
      <c r="J24" s="153">
        <f t="shared" si="7"/>
        <v>793.4989999999998</v>
      </c>
      <c r="K24" s="153">
        <f t="shared" si="7"/>
        <v>1133.5699999999997</v>
      </c>
      <c r="L24" s="153">
        <f t="shared" si="7"/>
        <v>0</v>
      </c>
      <c r="M24" s="3"/>
    </row>
    <row r="25" spans="2:19">
      <c r="B25" s="49"/>
      <c r="C25" s="152"/>
      <c r="D25" s="152"/>
      <c r="E25" s="152"/>
      <c r="H25" s="152"/>
      <c r="I25" s="152"/>
      <c r="J25" s="152"/>
      <c r="K25" s="152"/>
      <c r="L25" s="152"/>
      <c r="M25" s="3"/>
    </row>
    <row r="26" spans="2:19">
      <c r="B26" s="45" t="s">
        <v>262</v>
      </c>
      <c r="C26" s="154">
        <f>'7.1 Cambrium NPD'!C7+'7.2 Social Media_Mkting'!C7</f>
        <v>480.40993366800001</v>
      </c>
      <c r="D26" s="154">
        <f>'7.1 Cambrium NPD'!D7+'7.2 Social Media_Mkting'!D7</f>
        <v>1180.32999036</v>
      </c>
      <c r="E26" s="154">
        <f>'7.1 Cambrium NPD'!E7+'7.2 Social Media_Mkting'!E7</f>
        <v>1620.2621812319999</v>
      </c>
      <c r="H26" s="154">
        <v>0</v>
      </c>
      <c r="I26" s="154">
        <v>0</v>
      </c>
      <c r="J26" s="154">
        <f>SUM('7.1 Cambrium NPD'!M7,'7.2 Social Media_Mkting'!M7)</f>
        <v>1215.196635924</v>
      </c>
      <c r="K26" s="3">
        <f t="shared" ref="K26" si="8">E26</f>
        <v>1620.2621812319999</v>
      </c>
      <c r="L26" s="156"/>
      <c r="M26" s="3"/>
    </row>
    <row r="27" spans="2:19">
      <c r="B27" s="45"/>
      <c r="C27" s="154"/>
      <c r="D27" s="154"/>
      <c r="E27" s="154"/>
      <c r="H27" s="154"/>
      <c r="I27" s="154"/>
      <c r="J27" s="154"/>
      <c r="K27" s="154"/>
      <c r="L27" s="154"/>
      <c r="M27" s="3"/>
    </row>
    <row r="28" spans="2:19" ht="16.5" thickBot="1">
      <c r="B28" s="54" t="s">
        <v>255</v>
      </c>
      <c r="C28" s="155">
        <f>SUM(C11,C17,C24,C26)</f>
        <v>9224.8928336679983</v>
      </c>
      <c r="D28" s="155">
        <f t="shared" ref="D28:E28" si="9">SUM(D11,D17,D24,D26)</f>
        <v>20316.363710359998</v>
      </c>
      <c r="E28" s="155">
        <f t="shared" si="9"/>
        <v>28537.177670231998</v>
      </c>
      <c r="H28" s="155">
        <f t="shared" ref="H28:L28" si="10">SUM(H11,H17,H24,H26)</f>
        <v>12035.5236516</v>
      </c>
      <c r="I28" s="155">
        <f t="shared" si="10"/>
        <v>18002.913124800001</v>
      </c>
      <c r="J28" s="155">
        <f t="shared" si="10"/>
        <v>12904.760873472</v>
      </c>
      <c r="K28" s="155">
        <f t="shared" si="10"/>
        <v>28537.177670231998</v>
      </c>
      <c r="L28" s="155">
        <f t="shared" si="10"/>
        <v>0</v>
      </c>
      <c r="M28" s="3"/>
    </row>
    <row r="29" spans="2:19">
      <c r="H29" s="154"/>
      <c r="I29" s="154"/>
      <c r="J29" s="154"/>
      <c r="K29" s="154"/>
      <c r="L29" s="154"/>
      <c r="M29" s="3"/>
      <c r="O29" s="154"/>
      <c r="P29" s="154"/>
      <c r="Q29" s="154"/>
      <c r="R29" s="154"/>
      <c r="S29" s="154"/>
    </row>
    <row r="33" spans="2:12" ht="45">
      <c r="B33" t="s">
        <v>117</v>
      </c>
      <c r="H33" s="157" t="s">
        <v>257</v>
      </c>
      <c r="I33" s="157" t="s">
        <v>258</v>
      </c>
      <c r="J33" s="157" t="s">
        <v>259</v>
      </c>
      <c r="K33" s="157" t="s">
        <v>263</v>
      </c>
      <c r="L33" s="157" t="s">
        <v>261</v>
      </c>
    </row>
    <row r="34" spans="2:12" hidden="1"/>
    <row r="36" spans="2:12">
      <c r="B36" t="s">
        <v>264</v>
      </c>
      <c r="H36" s="4">
        <f>SUM(H3,H5,H9)</f>
        <v>9471.4606817999993</v>
      </c>
      <c r="I36" s="4">
        <f>SUM(I3,I5,I9)</f>
        <v>12437.442500000001</v>
      </c>
      <c r="J36" s="4">
        <f>SUM(J3,J5,J9)+I36</f>
        <v>14246.9568225</v>
      </c>
      <c r="K36" s="4">
        <f>SUM(K3,K5,K9)+I36</f>
        <v>15018.248675000001</v>
      </c>
      <c r="L36" s="4">
        <v>16000</v>
      </c>
    </row>
    <row r="38" spans="2:12">
      <c r="B38" t="s">
        <v>238</v>
      </c>
      <c r="H38" s="4">
        <f>H7</f>
        <v>759.68615419999992</v>
      </c>
      <c r="I38" s="4">
        <f>I7</f>
        <v>1553.85752</v>
      </c>
      <c r="J38" s="4">
        <f>J7+I38</f>
        <v>9498.1584350480007</v>
      </c>
      <c r="K38" s="4">
        <f>K7+I38</f>
        <v>19808.896833999999</v>
      </c>
      <c r="L38" s="4">
        <v>20000</v>
      </c>
    </row>
    <row r="39" spans="2:12">
      <c r="H39" s="4"/>
      <c r="I39" s="4"/>
      <c r="J39" s="4"/>
      <c r="K39" s="4"/>
      <c r="L39" s="4"/>
    </row>
    <row r="40" spans="2:12">
      <c r="B40" t="s">
        <v>71</v>
      </c>
      <c r="H40" s="4">
        <f>H13</f>
        <v>500.90406999999993</v>
      </c>
      <c r="I40" s="4">
        <f>I13</f>
        <v>1600</v>
      </c>
      <c r="J40" s="4">
        <f>J13+I40</f>
        <v>2000</v>
      </c>
      <c r="K40" s="4">
        <f>K13+I40</f>
        <v>2400</v>
      </c>
      <c r="L40" s="4">
        <v>6000</v>
      </c>
    </row>
    <row r="41" spans="2:12">
      <c r="H41" s="4"/>
      <c r="I41" s="4"/>
      <c r="J41" s="4"/>
      <c r="K41" s="4"/>
      <c r="L41" s="4"/>
    </row>
    <row r="42" spans="2:12">
      <c r="B42" t="s">
        <v>79</v>
      </c>
      <c r="H42" s="4">
        <f>H14</f>
        <v>105.64609</v>
      </c>
      <c r="I42" s="4">
        <f>I14</f>
        <v>500</v>
      </c>
      <c r="J42" s="4">
        <f>J14+I42</f>
        <v>791.25</v>
      </c>
      <c r="K42" s="4">
        <f>K14+I42</f>
        <v>987.5</v>
      </c>
      <c r="L42" s="4">
        <v>4000</v>
      </c>
    </row>
    <row r="43" spans="2:12">
      <c r="H43" s="4"/>
      <c r="I43" s="4"/>
      <c r="J43" s="4"/>
      <c r="K43" s="4"/>
      <c r="L43" s="4"/>
    </row>
    <row r="44" spans="2:12">
      <c r="B44" t="s">
        <v>87</v>
      </c>
      <c r="H44" s="4">
        <f>H15</f>
        <v>0</v>
      </c>
      <c r="I44" s="4">
        <f>I15</f>
        <v>375</v>
      </c>
      <c r="J44" s="4">
        <f>J15+I44</f>
        <v>826</v>
      </c>
      <c r="K44" s="4">
        <f>K15+I44</f>
        <v>4035</v>
      </c>
      <c r="L44" s="4">
        <v>5000</v>
      </c>
    </row>
    <row r="45" spans="2:12">
      <c r="H45" s="4"/>
      <c r="I45" s="4"/>
      <c r="J45" s="4"/>
      <c r="K45" s="4"/>
      <c r="L45" s="4"/>
    </row>
    <row r="46" spans="2:12">
      <c r="B46" t="s">
        <v>265</v>
      </c>
      <c r="H46" s="4">
        <f>H24</f>
        <v>1197.8266555999999</v>
      </c>
      <c r="I46" s="4">
        <f>I24</f>
        <v>1536.6131048000002</v>
      </c>
      <c r="J46" s="4">
        <f>J24+I46</f>
        <v>2330.1121048</v>
      </c>
      <c r="K46" s="4">
        <f>K24+I46</f>
        <v>2670.1831047999999</v>
      </c>
      <c r="L46" s="4">
        <v>9000</v>
      </c>
    </row>
    <row r="47" spans="2:12">
      <c r="H47" s="4"/>
      <c r="I47" s="4"/>
      <c r="J47" s="4"/>
      <c r="K47" s="4"/>
      <c r="L47" s="4"/>
    </row>
    <row r="48" spans="2:12">
      <c r="B48" t="s">
        <v>266</v>
      </c>
      <c r="H48" s="4">
        <f>H26</f>
        <v>0</v>
      </c>
      <c r="I48" s="4">
        <f t="shared" ref="I48:K48" si="11">I26</f>
        <v>0</v>
      </c>
      <c r="J48" s="4">
        <f t="shared" si="11"/>
        <v>1215.196635924</v>
      </c>
      <c r="K48" s="4">
        <f t="shared" si="11"/>
        <v>1620.2621812319999</v>
      </c>
      <c r="L48" s="4">
        <v>2000</v>
      </c>
    </row>
    <row r="50" spans="2:14" ht="16.5" thickBot="1">
      <c r="B50" s="54" t="s">
        <v>255</v>
      </c>
      <c r="H50" s="155">
        <f>SUM(H36:H48)</f>
        <v>12035.5236516</v>
      </c>
      <c r="I50" s="155">
        <f>SUM(I36:I48)</f>
        <v>18002.913124800001</v>
      </c>
      <c r="J50" s="155">
        <f>SUM(J36:J48)</f>
        <v>30907.673998271999</v>
      </c>
      <c r="K50" s="155">
        <f>SUM(K36:K48)</f>
        <v>46540.090795032003</v>
      </c>
      <c r="L50" s="155">
        <f>SUM(L36:L48)</f>
        <v>62000</v>
      </c>
    </row>
    <row r="53" spans="2:14">
      <c r="B53" s="15" t="s">
        <v>267</v>
      </c>
    </row>
    <row r="55" spans="2:14" ht="45">
      <c r="H55" s="157" t="s">
        <v>257</v>
      </c>
      <c r="I55" s="157" t="s">
        <v>258</v>
      </c>
      <c r="J55" s="157" t="s">
        <v>259</v>
      </c>
      <c r="K55" s="157" t="s">
        <v>263</v>
      </c>
      <c r="L55" s="157" t="s">
        <v>261</v>
      </c>
      <c r="N55" s="157" t="s">
        <v>268</v>
      </c>
    </row>
    <row r="56" spans="2:14">
      <c r="B56" t="s">
        <v>264</v>
      </c>
      <c r="H56" s="4">
        <f>H36</f>
        <v>9471.4606817999993</v>
      </c>
      <c r="I56" s="4">
        <f>I36-H36</f>
        <v>2965.9818182000017</v>
      </c>
      <c r="J56" s="4">
        <f t="shared" ref="J56:L56" si="12">J36-I36</f>
        <v>1809.5143224999993</v>
      </c>
      <c r="K56" s="4">
        <f t="shared" si="12"/>
        <v>771.29185250000046</v>
      </c>
      <c r="L56" s="4">
        <f t="shared" si="12"/>
        <v>981.75132499999927</v>
      </c>
      <c r="N56" s="4">
        <f>L36</f>
        <v>16000</v>
      </c>
    </row>
    <row r="57" spans="2:14">
      <c r="B57" t="s">
        <v>238</v>
      </c>
      <c r="H57" s="4">
        <f>H38</f>
        <v>759.68615419999992</v>
      </c>
      <c r="I57" s="4">
        <f>I38-H38</f>
        <v>794.1713658000001</v>
      </c>
      <c r="J57" s="4">
        <f>J38-I38</f>
        <v>7944.3009150480011</v>
      </c>
      <c r="K57" s="4">
        <f>K38-J38</f>
        <v>10310.738398951999</v>
      </c>
      <c r="L57" s="4">
        <f>L38-K38</f>
        <v>191.10316600000078</v>
      </c>
      <c r="N57" s="4">
        <f>L38</f>
        <v>20000</v>
      </c>
    </row>
    <row r="58" spans="2:14">
      <c r="B58" t="s">
        <v>71</v>
      </c>
      <c r="H58" s="4">
        <f>H40</f>
        <v>500.90406999999993</v>
      </c>
      <c r="I58" s="4">
        <f>I40-H40</f>
        <v>1099.09593</v>
      </c>
      <c r="J58" s="4">
        <f>J40-I40</f>
        <v>400</v>
      </c>
      <c r="K58" s="4">
        <f>K40-J40</f>
        <v>400</v>
      </c>
      <c r="L58" s="4">
        <f>L40-K40</f>
        <v>3600</v>
      </c>
      <c r="N58" s="4">
        <f>L40</f>
        <v>6000</v>
      </c>
    </row>
    <row r="59" spans="2:14">
      <c r="B59" t="s">
        <v>79</v>
      </c>
      <c r="H59" s="4">
        <f>H42</f>
        <v>105.64609</v>
      </c>
      <c r="I59" s="4">
        <f>I42-H42</f>
        <v>394.35390999999998</v>
      </c>
      <c r="J59" s="4">
        <f>J42-I42</f>
        <v>291.25</v>
      </c>
      <c r="K59" s="4">
        <f>K42-J42</f>
        <v>196.25</v>
      </c>
      <c r="L59" s="4">
        <f>L42-K42</f>
        <v>3012.5</v>
      </c>
      <c r="N59" s="4">
        <f>L42</f>
        <v>4000</v>
      </c>
    </row>
    <row r="60" spans="2:14">
      <c r="B60" t="s">
        <v>87</v>
      </c>
      <c r="H60" s="4">
        <f>H44</f>
        <v>0</v>
      </c>
      <c r="I60" s="4">
        <f>I44-H44</f>
        <v>375</v>
      </c>
      <c r="J60" s="4">
        <f>J44-I44</f>
        <v>451</v>
      </c>
      <c r="K60" s="4">
        <f>K44-J44</f>
        <v>3209</v>
      </c>
      <c r="L60" s="4">
        <f>L44-K44</f>
        <v>965</v>
      </c>
      <c r="N60" s="4">
        <f>L44</f>
        <v>5000</v>
      </c>
    </row>
    <row r="61" spans="2:14">
      <c r="B61" t="s">
        <v>265</v>
      </c>
      <c r="H61" s="4">
        <f>H46</f>
        <v>1197.8266555999999</v>
      </c>
      <c r="I61" s="4">
        <f>I46-H46</f>
        <v>338.78644920000033</v>
      </c>
      <c r="J61" s="4">
        <f>J46-I46</f>
        <v>793.4989999999998</v>
      </c>
      <c r="K61" s="4">
        <f>K46-J46</f>
        <v>340.07099999999991</v>
      </c>
      <c r="L61" s="4">
        <f>L46-K46</f>
        <v>6329.8168951999996</v>
      </c>
      <c r="N61" s="4">
        <f>L46</f>
        <v>9000</v>
      </c>
    </row>
    <row r="62" spans="2:14">
      <c r="B62" t="s">
        <v>266</v>
      </c>
      <c r="H62" s="4">
        <f>H48</f>
        <v>0</v>
      </c>
      <c r="I62" s="4">
        <f>I48-H48</f>
        <v>0</v>
      </c>
      <c r="J62" s="4">
        <f>J48-I48</f>
        <v>1215.196635924</v>
      </c>
      <c r="K62" s="4">
        <f>K48-J48</f>
        <v>405.06554530799986</v>
      </c>
      <c r="L62" s="4">
        <f>L48-K48</f>
        <v>379.73781876800012</v>
      </c>
      <c r="N62" s="4">
        <f>L48</f>
        <v>2000</v>
      </c>
    </row>
    <row r="63" spans="2:14" ht="16.5" thickBot="1">
      <c r="B63" s="54" t="s">
        <v>255</v>
      </c>
      <c r="H63" s="155">
        <f>SUM(H56:H62)</f>
        <v>12035.5236516</v>
      </c>
      <c r="I63" s="155">
        <f>SUM(I56:I62)</f>
        <v>5967.3894732000026</v>
      </c>
      <c r="J63" s="155">
        <f>SUM(J56:J62)</f>
        <v>12904.760873472</v>
      </c>
      <c r="K63" s="155">
        <f>SUM(K56:K62)</f>
        <v>15632.416796759999</v>
      </c>
      <c r="L63" s="155">
        <f>SUM(L56:L62)</f>
        <v>15459.909204968</v>
      </c>
    </row>
  </sheetData>
  <pageMargins left="0.7" right="0.7" top="0.75" bottom="0.75" header="0.3" footer="0.3"/>
  <pageSetup paperSize="9" scale="96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FE5B-4261-4B1C-8630-B405BAFF3723}">
  <sheetPr>
    <tabColor rgb="FF92D050"/>
  </sheetPr>
  <dimension ref="B1:J74"/>
  <sheetViews>
    <sheetView showGridLines="0" workbookViewId="0">
      <selection activeCell="D1" sqref="D1:D1048576"/>
    </sheetView>
  </sheetViews>
  <sheetFormatPr defaultColWidth="8.85546875" defaultRowHeight="15" outlineLevelRow="2"/>
  <cols>
    <col min="2" max="2" width="42.42578125" customWidth="1"/>
    <col min="3" max="7" width="11.42578125" customWidth="1"/>
  </cols>
  <sheetData>
    <row r="1" spans="2:10">
      <c r="J1" t="s">
        <v>269</v>
      </c>
    </row>
    <row r="2" spans="2:10">
      <c r="B2" s="74"/>
      <c r="C2" s="74" t="s">
        <v>270</v>
      </c>
      <c r="D2" s="74" t="s">
        <v>270</v>
      </c>
      <c r="E2" s="74"/>
      <c r="F2" s="74" t="s">
        <v>270</v>
      </c>
      <c r="G2" s="74"/>
    </row>
    <row r="3" spans="2:10">
      <c r="B3" s="68" t="s">
        <v>221</v>
      </c>
      <c r="C3" s="74" t="s">
        <v>257</v>
      </c>
      <c r="D3" s="74" t="s">
        <v>271</v>
      </c>
      <c r="E3" s="74" t="s">
        <v>272</v>
      </c>
      <c r="F3" s="74" t="s">
        <v>273</v>
      </c>
      <c r="G3" s="74" t="s">
        <v>274</v>
      </c>
    </row>
    <row r="4" spans="2:10" ht="6" customHeight="1" outlineLevel="2">
      <c r="B4" s="49"/>
      <c r="C4" s="63"/>
      <c r="D4" s="63"/>
      <c r="E4" s="87"/>
      <c r="F4" s="63"/>
      <c r="G4" s="87"/>
    </row>
    <row r="5" spans="2:10" outlineLevel="2">
      <c r="B5" s="45" t="s">
        <v>228</v>
      </c>
      <c r="C5" s="46">
        <f>'Sales Budget Summary'!E4</f>
        <v>4530.8243099999991</v>
      </c>
      <c r="D5" s="46">
        <f>'Sales Budget Summary'!D4</f>
        <v>4600</v>
      </c>
      <c r="E5" s="85">
        <f>C5/D5-1</f>
        <v>-1.5038193478261075E-2</v>
      </c>
      <c r="F5" s="46">
        <f>'Sales Budget Summary'!C4</f>
        <v>4327.2666800000006</v>
      </c>
      <c r="G5" s="90">
        <f>IFERROR(C5/F5-1, "N/A")</f>
        <v>4.7040694519894677E-2</v>
      </c>
    </row>
    <row r="6" spans="2:10" outlineLevel="2">
      <c r="B6" s="45" t="s">
        <v>229</v>
      </c>
      <c r="C6" s="46">
        <f>'Sales Budget Summary'!E5</f>
        <v>1906.7439800000002</v>
      </c>
      <c r="D6" s="46">
        <f>'Sales Budget Summary'!D5</f>
        <v>1900</v>
      </c>
      <c r="E6" s="85">
        <f t="shared" ref="E6:E68" si="0">C6/D6-1</f>
        <v>3.5494631578947278E-3</v>
      </c>
      <c r="F6" s="46">
        <f>'Sales Budget Summary'!C5</f>
        <v>1811.1542800000002</v>
      </c>
      <c r="G6" s="90">
        <f t="shared" ref="G6:G10" si="1">IFERROR(C6/F6-1, "N/A")</f>
        <v>5.2778330954776465E-2</v>
      </c>
    </row>
    <row r="7" spans="2:10" outlineLevel="2">
      <c r="B7" s="45" t="s">
        <v>230</v>
      </c>
      <c r="C7" s="46">
        <f>'Sales Budget Summary'!E6</f>
        <v>641.74332000000004</v>
      </c>
      <c r="D7" s="46">
        <f>'Sales Budget Summary'!D6</f>
        <v>775</v>
      </c>
      <c r="E7" s="85">
        <f t="shared" si="0"/>
        <v>-0.17194410322580644</v>
      </c>
      <c r="F7" s="46">
        <f>'Sales Budget Summary'!C6</f>
        <v>723.30100698414697</v>
      </c>
      <c r="G7" s="90">
        <f t="shared" si="1"/>
        <v>-0.11275760187892903</v>
      </c>
    </row>
    <row r="8" spans="2:10" outlineLevel="2">
      <c r="B8" s="45" t="s">
        <v>231</v>
      </c>
      <c r="C8" s="46">
        <f>'Sales Budget Summary'!E7</f>
        <v>145.07323</v>
      </c>
      <c r="D8" s="46">
        <f>'Sales Budget Summary'!D7</f>
        <v>135</v>
      </c>
      <c r="E8" s="85">
        <f t="shared" si="0"/>
        <v>7.4616518518518582E-2</v>
      </c>
      <c r="F8" s="46">
        <f>'Sales Budget Summary'!C7</f>
        <v>87.682839999999999</v>
      </c>
      <c r="G8" s="90">
        <f t="shared" si="1"/>
        <v>0.65452248125174783</v>
      </c>
    </row>
    <row r="9" spans="2:10" outlineLevel="2">
      <c r="B9" s="45" t="s">
        <v>232</v>
      </c>
      <c r="C9" s="46">
        <f>'Sales Budget Summary'!E8</f>
        <v>42.081430000000005</v>
      </c>
      <c r="D9" s="46">
        <f>'Sales Budget Summary'!D8</f>
        <v>110</v>
      </c>
      <c r="E9" s="85">
        <f t="shared" si="0"/>
        <v>-0.61744154545454544</v>
      </c>
      <c r="F9" s="46">
        <f>'Sales Budget Summary'!C8</f>
        <v>36.581779999999995</v>
      </c>
      <c r="G9" s="90">
        <f t="shared" si="1"/>
        <v>0.15033850184436104</v>
      </c>
    </row>
    <row r="10" spans="2:10" outlineLevel="2">
      <c r="B10" s="45" t="s">
        <v>233</v>
      </c>
      <c r="C10" s="46">
        <f>'Sales Budget Summary'!E9</f>
        <v>8.8706399999999999</v>
      </c>
      <c r="D10" s="46">
        <f>'Sales Budget Summary'!D9</f>
        <v>0</v>
      </c>
      <c r="E10" s="85" t="e">
        <f t="shared" si="0"/>
        <v>#DIV/0!</v>
      </c>
      <c r="F10" s="46">
        <f>'Sales Budget Summary'!C9</f>
        <v>0</v>
      </c>
      <c r="G10" s="90" t="str">
        <f t="shared" si="1"/>
        <v>N/A</v>
      </c>
    </row>
    <row r="11" spans="2:10" outlineLevel="2">
      <c r="B11" s="47" t="s">
        <v>31</v>
      </c>
      <c r="C11" s="48">
        <f>SUM(C5:C10)</f>
        <v>7275.3369099999991</v>
      </c>
      <c r="D11" s="48">
        <f>SUM(D5:D10)</f>
        <v>7520</v>
      </c>
      <c r="E11" s="86">
        <f t="shared" si="0"/>
        <v>-3.2534985372340564E-2</v>
      </c>
      <c r="F11" s="48">
        <f>SUM(F5:F10)</f>
        <v>6985.9865869841487</v>
      </c>
      <c r="G11" s="86">
        <f>C11/F11-1</f>
        <v>4.1418677149330563E-2</v>
      </c>
    </row>
    <row r="12" spans="2:10" ht="6" customHeight="1" outlineLevel="2">
      <c r="B12" s="49"/>
      <c r="C12" s="63"/>
      <c r="D12" s="63"/>
      <c r="E12" s="87"/>
      <c r="F12" s="63"/>
      <c r="G12" s="87"/>
    </row>
    <row r="13" spans="2:10" outlineLevel="2">
      <c r="B13" s="44" t="s">
        <v>234</v>
      </c>
      <c r="C13" s="46">
        <f>'Sales Budget Summary'!E12</f>
        <v>201.3082344</v>
      </c>
      <c r="D13" s="46">
        <f>'Sales Budget Summary'!D12</f>
        <v>250</v>
      </c>
      <c r="E13" s="85">
        <f t="shared" si="0"/>
        <v>-0.19476706239999997</v>
      </c>
      <c r="F13" s="46">
        <f>'Sales Budget Summary'!C12</f>
        <v>120.10185645763202</v>
      </c>
      <c r="G13" s="90">
        <f t="shared" ref="G13:G14" si="2">IFERROR(C13/F13-1, "N/A")</f>
        <v>0.67614590096710869</v>
      </c>
    </row>
    <row r="14" spans="2:10" outlineLevel="2">
      <c r="B14" s="44" t="s">
        <v>235</v>
      </c>
      <c r="C14" s="46">
        <f>'Sales Budget Summary'!E13</f>
        <v>177.28904740000002</v>
      </c>
      <c r="D14" s="46">
        <f>'Sales Budget Summary'!D13</f>
        <v>125</v>
      </c>
      <c r="E14" s="85">
        <f t="shared" si="0"/>
        <v>0.41831237920000008</v>
      </c>
      <c r="F14" s="46">
        <f>'Sales Budget Summary'!C13</f>
        <v>173.48070611518398</v>
      </c>
      <c r="G14" s="90">
        <f t="shared" si="2"/>
        <v>2.1952535069158952E-2</v>
      </c>
    </row>
    <row r="15" spans="2:10" outlineLevel="2">
      <c r="B15" s="51" t="s">
        <v>236</v>
      </c>
      <c r="C15" s="48">
        <f t="shared" ref="C15:D15" si="3">SUM(C13:C14)</f>
        <v>378.59728180000002</v>
      </c>
      <c r="D15" s="48">
        <f t="shared" si="3"/>
        <v>375</v>
      </c>
      <c r="E15" s="86">
        <f t="shared" si="0"/>
        <v>9.5927514666667157E-3</v>
      </c>
      <c r="F15" s="48">
        <f t="shared" ref="F15" si="4">SUM(F13:F14)</f>
        <v>293.58256257281602</v>
      </c>
      <c r="G15" s="86">
        <f>C15/F15-1</f>
        <v>0.28957686887857381</v>
      </c>
    </row>
    <row r="16" spans="2:10" ht="6" customHeight="1" outlineLevel="2">
      <c r="B16" s="49"/>
      <c r="C16" s="63"/>
      <c r="D16" s="63"/>
      <c r="E16" s="87"/>
      <c r="F16" s="63"/>
      <c r="G16" s="87"/>
    </row>
    <row r="17" spans="2:7" outlineLevel="2">
      <c r="B17" s="45" t="s">
        <v>237</v>
      </c>
      <c r="C17" s="46">
        <f>'Sales Budget Summary'!E16</f>
        <v>754.68615419999992</v>
      </c>
      <c r="D17" s="46">
        <f>'Sales Budget Summary'!D16</f>
        <v>1250</v>
      </c>
      <c r="E17" s="85">
        <f t="shared" si="0"/>
        <v>-0.39625107664000003</v>
      </c>
      <c r="F17" s="46">
        <f>'Sales Budget Summary'!C16</f>
        <v>723.64898508591909</v>
      </c>
      <c r="G17" s="90">
        <f t="shared" ref="G17:G18" si="5">IFERROR(C17/F17-1, "N/A")</f>
        <v>4.2889812262219662E-2</v>
      </c>
    </row>
    <row r="18" spans="2:7" outlineLevel="2">
      <c r="B18" s="45" t="s">
        <v>64</v>
      </c>
      <c r="C18" s="46">
        <f>'Sales Budget Summary'!E17</f>
        <v>5</v>
      </c>
      <c r="D18" s="46">
        <f>'Sales Budget Summary'!D17</f>
        <v>60</v>
      </c>
      <c r="E18" s="85">
        <f t="shared" si="0"/>
        <v>-0.91666666666666663</v>
      </c>
      <c r="F18" s="46">
        <f>'Sales Budget Summary'!C17</f>
        <v>35.717858636318098</v>
      </c>
      <c r="G18" s="90">
        <f t="shared" si="5"/>
        <v>-0.86001400445333598</v>
      </c>
    </row>
    <row r="19" spans="2:7" outlineLevel="2">
      <c r="B19" s="47" t="s">
        <v>238</v>
      </c>
      <c r="C19" s="48">
        <f t="shared" ref="C19:D19" si="6">SUM(C17:C18)</f>
        <v>759.68615419999992</v>
      </c>
      <c r="D19" s="48">
        <f t="shared" si="6"/>
        <v>1310</v>
      </c>
      <c r="E19" s="86">
        <f t="shared" si="0"/>
        <v>-0.4200869051908398</v>
      </c>
      <c r="F19" s="48">
        <f t="shared" ref="F19" si="7">SUM(F17:F18)</f>
        <v>759.36684372223715</v>
      </c>
      <c r="G19" s="86">
        <f>C19/F19-1</f>
        <v>4.2049568058244446E-4</v>
      </c>
    </row>
    <row r="20" spans="2:7" ht="6" customHeight="1" outlineLevel="2">
      <c r="B20" s="49"/>
      <c r="C20" s="63"/>
      <c r="D20" s="63"/>
      <c r="E20" s="87"/>
      <c r="F20" s="63"/>
      <c r="G20" s="87"/>
    </row>
    <row r="21" spans="2:7" outlineLevel="2">
      <c r="B21" s="45" t="s">
        <v>239</v>
      </c>
      <c r="C21" s="46">
        <f>'Sales Budget Summary'!E20</f>
        <v>447.78187000000008</v>
      </c>
      <c r="D21" s="46">
        <f>'Sales Budget Summary'!D20</f>
        <v>420</v>
      </c>
      <c r="E21" s="85">
        <f t="shared" si="0"/>
        <v>6.614730952380965E-2</v>
      </c>
      <c r="F21" s="46">
        <f>'Sales Budget Summary'!C20</f>
        <v>400.00112999999999</v>
      </c>
      <c r="G21" s="90">
        <f t="shared" ref="G21:G27" si="8">IFERROR(C21/F21-1, "N/A")</f>
        <v>0.11945151254947728</v>
      </c>
    </row>
    <row r="22" spans="2:7" outlineLevel="2">
      <c r="B22" s="45" t="s">
        <v>240</v>
      </c>
      <c r="C22" s="46">
        <f>'Sales Budget Summary'!E21</f>
        <v>567.51580000000001</v>
      </c>
      <c r="D22" s="46">
        <f>'Sales Budget Summary'!D21</f>
        <v>600</v>
      </c>
      <c r="E22" s="85">
        <f t="shared" si="0"/>
        <v>-5.4140333333333346E-2</v>
      </c>
      <c r="F22" s="46">
        <f>'Sales Budget Summary'!C21</f>
        <v>487.42534000000006</v>
      </c>
      <c r="G22" s="90">
        <f t="shared" si="8"/>
        <v>0.16431328744623719</v>
      </c>
    </row>
    <row r="23" spans="2:7" outlineLevel="2">
      <c r="B23" s="45" t="s">
        <v>241</v>
      </c>
      <c r="C23" s="46">
        <f>'Sales Budget Summary'!E22</f>
        <v>277.16552000000001</v>
      </c>
      <c r="D23" s="46">
        <f>'Sales Budget Summary'!D22</f>
        <v>320</v>
      </c>
      <c r="E23" s="85">
        <f t="shared" si="0"/>
        <v>-0.13385775</v>
      </c>
      <c r="F23" s="46">
        <f>'Sales Budget Summary'!C22</f>
        <v>297.28224</v>
      </c>
      <c r="G23" s="90">
        <f t="shared" si="8"/>
        <v>-6.7668758147139907E-2</v>
      </c>
    </row>
    <row r="24" spans="2:7" outlineLevel="2">
      <c r="B24" s="45" t="s">
        <v>242</v>
      </c>
      <c r="C24" s="46">
        <f>'Sales Budget Summary'!E23</f>
        <v>443.66261000000003</v>
      </c>
      <c r="D24" s="46">
        <f>'Sales Budget Summary'!D23</f>
        <v>300</v>
      </c>
      <c r="E24" s="85">
        <f t="shared" si="0"/>
        <v>0.47887536666666675</v>
      </c>
      <c r="F24" s="46">
        <f>'Sales Budget Summary'!C23</f>
        <v>245.10886000000005</v>
      </c>
      <c r="G24" s="90">
        <f t="shared" si="8"/>
        <v>0.8100635366669322</v>
      </c>
    </row>
    <row r="25" spans="2:7" outlineLevel="2">
      <c r="B25" s="45" t="s">
        <v>243</v>
      </c>
      <c r="C25" s="46">
        <f>'Sales Budget Summary'!E24</f>
        <v>34.968969999999999</v>
      </c>
      <c r="D25" s="46">
        <f>'Sales Budget Summary'!D24</f>
        <v>100</v>
      </c>
      <c r="E25" s="85">
        <f t="shared" si="0"/>
        <v>-0.65031030000000001</v>
      </c>
      <c r="F25" s="46">
        <f>'Sales Budget Summary'!C24</f>
        <v>28.565149999999996</v>
      </c>
      <c r="G25" s="90">
        <f t="shared" si="8"/>
        <v>0.22418296420638439</v>
      </c>
    </row>
    <row r="26" spans="2:7" outlineLevel="2">
      <c r="B26" s="45" t="s">
        <v>244</v>
      </c>
      <c r="C26" s="46">
        <f>'Sales Budget Summary'!E25</f>
        <v>14.61966</v>
      </c>
      <c r="D26" s="46">
        <f>'Sales Budget Summary'!D25</f>
        <v>25</v>
      </c>
      <c r="E26" s="85">
        <f t="shared" si="0"/>
        <v>-0.41521359999999996</v>
      </c>
      <c r="F26" s="46">
        <f>'Sales Budget Summary'!C25</f>
        <v>15.133949999999999</v>
      </c>
      <c r="G26" s="90">
        <f t="shared" si="8"/>
        <v>-3.3982535953931303E-2</v>
      </c>
    </row>
    <row r="27" spans="2:7" outlineLevel="2">
      <c r="B27" s="45" t="s">
        <v>245</v>
      </c>
      <c r="C27" s="46">
        <f>'Sales Budget Summary'!E26</f>
        <v>31.812060000000002</v>
      </c>
      <c r="D27" s="46">
        <f>'Sales Budget Summary'!D26</f>
        <v>60</v>
      </c>
      <c r="E27" s="85">
        <f t="shared" si="0"/>
        <v>-0.46979899999999997</v>
      </c>
      <c r="F27" s="46">
        <f>'Sales Budget Summary'!C26</f>
        <v>54.728430000000003</v>
      </c>
      <c r="G27" s="90">
        <f t="shared" si="8"/>
        <v>-0.41872880329291373</v>
      </c>
    </row>
    <row r="28" spans="2:7" outlineLevel="2">
      <c r="B28" s="47" t="s">
        <v>100</v>
      </c>
      <c r="C28" s="48">
        <f t="shared" ref="C28:D28" si="9">SUM(C21:C27)</f>
        <v>1817.5264900000002</v>
      </c>
      <c r="D28" s="48">
        <f t="shared" si="9"/>
        <v>1825</v>
      </c>
      <c r="E28" s="86">
        <f t="shared" si="0"/>
        <v>-4.0950739726026697E-3</v>
      </c>
      <c r="F28" s="48">
        <f t="shared" ref="F28" si="10">SUM(F21:F27)</f>
        <v>1528.2451000000001</v>
      </c>
      <c r="G28" s="86">
        <f>C28/F28-1</f>
        <v>0.18928991822057872</v>
      </c>
    </row>
    <row r="29" spans="2:7" ht="6" customHeight="1" outlineLevel="2">
      <c r="B29" s="49"/>
      <c r="C29" s="63"/>
      <c r="D29" s="63"/>
      <c r="E29" s="87"/>
      <c r="F29" s="63"/>
      <c r="G29" s="87"/>
    </row>
    <row r="30" spans="2:7" ht="15.75" outlineLevel="2" thickBot="1">
      <c r="B30" s="52" t="s">
        <v>246</v>
      </c>
      <c r="C30" s="53">
        <f t="shared" ref="C30:D30" si="11">SUM(C11,C15,C19,C28)</f>
        <v>10231.146836</v>
      </c>
      <c r="D30" s="53">
        <f t="shared" si="11"/>
        <v>11030</v>
      </c>
      <c r="E30" s="88">
        <f t="shared" si="0"/>
        <v>-7.2425490843155083E-2</v>
      </c>
      <c r="F30" s="53">
        <f t="shared" ref="F30" si="12">SUM(F11,F15,F19,F28)</f>
        <v>9567.1810932792014</v>
      </c>
      <c r="G30" s="88">
        <f>C30/F30-1</f>
        <v>6.9400352752518213E-2</v>
      </c>
    </row>
    <row r="31" spans="2:7" ht="6" customHeight="1" outlineLevel="1">
      <c r="B31" s="49"/>
      <c r="C31" s="63"/>
      <c r="D31" s="63"/>
      <c r="E31" s="87"/>
      <c r="F31" s="63"/>
      <c r="G31" s="87"/>
    </row>
    <row r="32" spans="2:7" outlineLevel="1">
      <c r="B32" t="s">
        <v>247</v>
      </c>
      <c r="C32" s="46">
        <f>'Sales Budget Summary'!E31</f>
        <v>500.90406999999993</v>
      </c>
      <c r="D32" s="46">
        <f>'Sales Budget Summary'!D31</f>
        <v>1000</v>
      </c>
      <c r="E32" s="85">
        <f t="shared" si="0"/>
        <v>-0.49909593000000008</v>
      </c>
      <c r="F32" s="46">
        <f>'Sales Budget Summary'!C31</f>
        <v>227.20375000000004</v>
      </c>
      <c r="G32" s="90">
        <f t="shared" ref="G32:G34" si="13">IFERROR(C32/F32-1, "N/A")</f>
        <v>1.2046470183700748</v>
      </c>
    </row>
    <row r="33" spans="2:7" outlineLevel="1">
      <c r="B33" t="s">
        <v>248</v>
      </c>
      <c r="C33" s="46">
        <f>'Sales Budget Summary'!E32</f>
        <v>105.64609</v>
      </c>
      <c r="D33" s="46">
        <f>'Sales Budget Summary'!D32</f>
        <v>600</v>
      </c>
      <c r="E33" s="85">
        <f t="shared" si="0"/>
        <v>-0.82392318333333336</v>
      </c>
      <c r="F33" s="46">
        <f>'Sales Budget Summary'!C32</f>
        <v>0</v>
      </c>
      <c r="G33" s="90" t="str">
        <f t="shared" si="13"/>
        <v>N/A</v>
      </c>
    </row>
    <row r="34" spans="2:7" outlineLevel="1">
      <c r="B34" t="s">
        <v>249</v>
      </c>
      <c r="C34" s="46">
        <f>'Sales Budget Summary'!E33</f>
        <v>0</v>
      </c>
      <c r="D34" s="46">
        <f>'Sales Budget Summary'!D33</f>
        <v>200</v>
      </c>
      <c r="E34" s="85">
        <f t="shared" si="0"/>
        <v>-1</v>
      </c>
      <c r="F34" s="46">
        <f>'Sales Budget Summary'!C33</f>
        <v>0</v>
      </c>
      <c r="G34" s="90" t="str">
        <f t="shared" si="13"/>
        <v>N/A</v>
      </c>
    </row>
    <row r="35" spans="2:7" ht="6" customHeight="1" outlineLevel="1">
      <c r="B35" s="49"/>
      <c r="C35" s="63"/>
      <c r="D35" s="63"/>
      <c r="E35" s="87"/>
      <c r="F35" s="63"/>
      <c r="G35" s="87"/>
    </row>
    <row r="36" spans="2:7" ht="15.75" outlineLevel="1" thickBot="1">
      <c r="B36" s="52" t="s">
        <v>250</v>
      </c>
      <c r="C36" s="53">
        <f t="shared" ref="C36:D36" si="14">SUM(C32:C34)</f>
        <v>606.55015999999989</v>
      </c>
      <c r="D36" s="53">
        <f t="shared" si="14"/>
        <v>1800</v>
      </c>
      <c r="E36" s="88">
        <f t="shared" si="0"/>
        <v>-0.66302768888888897</v>
      </c>
      <c r="F36" s="53">
        <f t="shared" ref="F36" si="15">SUM(F32:F34)</f>
        <v>227.20375000000004</v>
      </c>
      <c r="G36" s="88">
        <f>C36/F36-1</f>
        <v>1.6696309369893751</v>
      </c>
    </row>
    <row r="37" spans="2:7" ht="6" customHeight="1" outlineLevel="1">
      <c r="B37" s="49"/>
      <c r="C37" s="63"/>
      <c r="D37" s="63"/>
      <c r="E37" s="87"/>
      <c r="F37" s="63"/>
      <c r="G37" s="87"/>
    </row>
    <row r="38" spans="2:7" outlineLevel="1">
      <c r="B38" t="s">
        <v>251</v>
      </c>
      <c r="C38" s="46">
        <f>'Sales Budget Summary'!E37</f>
        <v>660.48169199999995</v>
      </c>
      <c r="D38" s="46">
        <f>'Sales Budget Summary'!D37</f>
        <v>800</v>
      </c>
      <c r="E38" s="85">
        <f t="shared" si="0"/>
        <v>-0.17439788500000009</v>
      </c>
      <c r="F38" s="46">
        <f>'Sales Budget Summary'!C37</f>
        <v>394.85068254782402</v>
      </c>
      <c r="G38" s="90">
        <f t="shared" ref="G38:G41" si="16">IFERROR(C38/F38-1, "N/A")</f>
        <v>0.67273787584247846</v>
      </c>
    </row>
    <row r="39" spans="2:7" outlineLevel="1">
      <c r="B39" t="s">
        <v>252</v>
      </c>
      <c r="C39" s="46">
        <f>'Sales Budget Summary'!E38</f>
        <v>396.49359879999997</v>
      </c>
      <c r="D39" s="46">
        <f>'Sales Budget Summary'!D38</f>
        <v>338.14843261491563</v>
      </c>
      <c r="E39" s="85">
        <f t="shared" si="0"/>
        <v>0.17254306262459584</v>
      </c>
      <c r="F39" s="46">
        <f>'Sales Budget Summary'!C38</f>
        <v>306.28693608745948</v>
      </c>
      <c r="G39" s="90">
        <f t="shared" si="16"/>
        <v>0.29451684706128711</v>
      </c>
    </row>
    <row r="40" spans="2:7" outlineLevel="1">
      <c r="B40" t="s">
        <v>137</v>
      </c>
      <c r="C40" s="46">
        <f>'Sales Budget Summary'!E39</f>
        <v>105.87025999999999</v>
      </c>
      <c r="D40" s="46">
        <f>'Sales Budget Summary'!D39</f>
        <v>57.713886811179577</v>
      </c>
      <c r="E40" s="85">
        <f t="shared" si="0"/>
        <v>0.8343983718575716</v>
      </c>
      <c r="F40" s="46">
        <f>'Sales Budget Summary'!C39</f>
        <v>20.505599999999998</v>
      </c>
      <c r="G40" s="90">
        <f t="shared" si="16"/>
        <v>4.1629925483770291</v>
      </c>
    </row>
    <row r="41" spans="2:7" outlineLevel="1">
      <c r="B41" t="s">
        <v>253</v>
      </c>
      <c r="C41" s="46">
        <f>'Sales Budget Summary'!E40</f>
        <v>34.981104799999997</v>
      </c>
      <c r="D41" s="46">
        <f>'Sales Budget Summary'!D40</f>
        <v>30</v>
      </c>
      <c r="E41" s="85">
        <f t="shared" si="0"/>
        <v>0.16603682666666653</v>
      </c>
      <c r="F41" s="46">
        <f>'Sales Budget Summary'!C40</f>
        <v>16.666325470512</v>
      </c>
      <c r="G41" s="90">
        <f t="shared" si="16"/>
        <v>1.0989092563860363</v>
      </c>
    </row>
    <row r="42" spans="2:7" ht="6" customHeight="1" outlineLevel="1">
      <c r="B42" s="49"/>
      <c r="C42" s="63"/>
      <c r="D42" s="63"/>
      <c r="E42" s="87"/>
      <c r="F42" s="63"/>
      <c r="G42" s="87"/>
    </row>
    <row r="43" spans="2:7" ht="15.75" outlineLevel="1" thickBot="1">
      <c r="B43" s="52" t="s">
        <v>254</v>
      </c>
      <c r="C43" s="53">
        <f t="shared" ref="C43:D43" si="17">SUM(C38:C41)</f>
        <v>1197.8266555999999</v>
      </c>
      <c r="D43" s="53">
        <f t="shared" si="17"/>
        <v>1225.8623194260954</v>
      </c>
      <c r="E43" s="88">
        <f t="shared" si="0"/>
        <v>-2.2870157098246358E-2</v>
      </c>
      <c r="F43" s="53">
        <f t="shared" ref="F43" si="18">SUM(F38:F41)</f>
        <v>738.30954410579545</v>
      </c>
      <c r="G43" s="88">
        <f>C43/F43-1</f>
        <v>0.62239085917648418</v>
      </c>
    </row>
    <row r="44" spans="2:7" ht="6" customHeight="1" outlineLevel="1">
      <c r="B44" s="49"/>
      <c r="C44" s="63"/>
      <c r="D44" s="63"/>
      <c r="E44" s="87"/>
      <c r="F44" s="63"/>
      <c r="G44" s="87"/>
    </row>
    <row r="45" spans="2:7" ht="16.5" outlineLevel="1" thickBot="1">
      <c r="B45" s="54" t="s">
        <v>255</v>
      </c>
      <c r="C45" s="55">
        <f t="shared" ref="C45:D45" si="19">SUM(C30,C36,C43)</f>
        <v>12035.5236516</v>
      </c>
      <c r="D45" s="55">
        <f t="shared" si="19"/>
        <v>14055.862319426094</v>
      </c>
      <c r="E45" s="89">
        <f t="shared" si="0"/>
        <v>-0.14373637290355767</v>
      </c>
      <c r="F45" s="55">
        <f t="shared" ref="F45" si="20">SUM(F30,F36,F43)</f>
        <v>10532.694387384998</v>
      </c>
      <c r="G45" s="89">
        <f>C45/F45-1</f>
        <v>0.14268231935172637</v>
      </c>
    </row>
    <row r="46" spans="2:7" ht="6" customHeight="1">
      <c r="E46" s="10"/>
      <c r="G46" s="10"/>
    </row>
    <row r="47" spans="2:7">
      <c r="B47" s="64" t="s">
        <v>155</v>
      </c>
      <c r="C47" s="93">
        <f>C45</f>
        <v>12035.5236516</v>
      </c>
      <c r="D47" s="93">
        <f>D45</f>
        <v>14055.862319426094</v>
      </c>
      <c r="E47" s="10">
        <f t="shared" si="0"/>
        <v>-0.14373637290355767</v>
      </c>
      <c r="F47" s="93">
        <f>F45</f>
        <v>10532.694387384998</v>
      </c>
      <c r="G47" s="10">
        <f>C47/F47-1</f>
        <v>0.14268231935172637</v>
      </c>
    </row>
    <row r="48" spans="2:7">
      <c r="B48" t="s">
        <v>157</v>
      </c>
      <c r="C48" s="91">
        <f>C47*-18%</f>
        <v>-2166.3942572880001</v>
      </c>
      <c r="D48" s="91">
        <f>D47*-19%</f>
        <v>-2670.6138406909581</v>
      </c>
      <c r="E48" s="10">
        <f t="shared" si="0"/>
        <v>-0.18880287959284414</v>
      </c>
      <c r="F48" s="91">
        <f>'OLB fcst'!C6</f>
        <v>-2037.9</v>
      </c>
      <c r="G48" s="10">
        <f>C48/F48-1</f>
        <v>6.305228779037253E-2</v>
      </c>
    </row>
    <row r="49" spans="2:7" ht="6" customHeight="1">
      <c r="B49" s="49"/>
      <c r="C49" s="3"/>
      <c r="D49" s="3"/>
      <c r="E49" s="10"/>
      <c r="F49" s="3"/>
      <c r="G49" s="10"/>
    </row>
    <row r="50" spans="2:7">
      <c r="B50" s="65" t="s">
        <v>158</v>
      </c>
      <c r="C50" s="121">
        <f>SUM(C47:C48)</f>
        <v>9869.1293943119999</v>
      </c>
      <c r="D50" s="121">
        <f>SUM(D47:D48)</f>
        <v>11385.248478735137</v>
      </c>
      <c r="E50" s="11">
        <f t="shared" si="0"/>
        <v>-0.13316521701347817</v>
      </c>
      <c r="F50" s="121">
        <f>SUM(F47:F48)</f>
        <v>8494.7943873849981</v>
      </c>
      <c r="G50" s="11">
        <f>C50/F50-1</f>
        <v>0.16178555292261421</v>
      </c>
    </row>
    <row r="51" spans="2:7">
      <c r="B51" s="66" t="s">
        <v>160</v>
      </c>
      <c r="C51" s="67">
        <f>C50/C$47</f>
        <v>0.82</v>
      </c>
      <c r="D51" s="67">
        <f>D50/D$47</f>
        <v>0.81</v>
      </c>
      <c r="E51" s="67"/>
      <c r="F51" s="67">
        <f>F50/F$47</f>
        <v>0.80651674442953636</v>
      </c>
      <c r="G51" s="67"/>
    </row>
    <row r="52" spans="2:7" ht="6" customHeight="1">
      <c r="B52" s="49"/>
      <c r="C52" s="3"/>
      <c r="D52" s="3"/>
      <c r="E52" s="10"/>
      <c r="F52" s="3"/>
      <c r="G52" s="10"/>
    </row>
    <row r="53" spans="2:7">
      <c r="B53" t="s">
        <v>162</v>
      </c>
      <c r="C53" s="91">
        <f>'OLB fcst'!E11</f>
        <v>-248</v>
      </c>
      <c r="D53" s="91">
        <f>'2025B'!B54</f>
        <v>-277.11427799943101</v>
      </c>
      <c r="E53" s="10">
        <f t="shared" si="0"/>
        <v>-0.10506235264965591</v>
      </c>
      <c r="F53" s="91">
        <f>'OLB fcst'!C11</f>
        <v>-255.9</v>
      </c>
      <c r="G53" s="10">
        <f>C53/F53-1</f>
        <v>-3.0871434153966426E-2</v>
      </c>
    </row>
    <row r="54" spans="2:7">
      <c r="B54" t="s">
        <v>163</v>
      </c>
      <c r="C54" s="91">
        <f>'OLB fcst'!E12</f>
        <v>-125.73333333333301</v>
      </c>
      <c r="D54" s="91">
        <f>'2025B'!B55</f>
        <v>-150.40000000000003</v>
      </c>
      <c r="E54" s="10">
        <f t="shared" si="0"/>
        <v>-0.16400709219858389</v>
      </c>
      <c r="F54" s="91">
        <f>'OLB fcst'!C12</f>
        <v>-99</v>
      </c>
      <c r="G54" s="10">
        <f>C54/F54-1</f>
        <v>0.27003367003366674</v>
      </c>
    </row>
    <row r="55" spans="2:7" ht="6" customHeight="1">
      <c r="B55" s="49"/>
      <c r="C55" s="3"/>
      <c r="D55" s="3"/>
      <c r="E55" s="10"/>
      <c r="F55" s="3"/>
      <c r="G55" s="10"/>
    </row>
    <row r="56" spans="2:7">
      <c r="B56" s="65" t="s">
        <v>166</v>
      </c>
      <c r="C56" s="121">
        <f>SUM(C50,C53:C54)</f>
        <v>9495.3960609786664</v>
      </c>
      <c r="D56" s="121">
        <f>SUM(D50,D53:D54)</f>
        <v>10957.734200735706</v>
      </c>
      <c r="E56" s="11">
        <f t="shared" si="0"/>
        <v>-0.1334526018762946</v>
      </c>
      <c r="F56" s="121">
        <f>SUM(F50,F53:F54)</f>
        <v>8139.8943873849985</v>
      </c>
      <c r="G56" s="11">
        <f>C56/F56-1</f>
        <v>0.16652570771610864</v>
      </c>
    </row>
    <row r="57" spans="2:7">
      <c r="B57" s="66" t="s">
        <v>167</v>
      </c>
      <c r="C57" s="67">
        <f>C56/C$47</f>
        <v>0.78894748046266772</v>
      </c>
      <c r="D57" s="67">
        <f>D56/D$47</f>
        <v>0.77958462822956232</v>
      </c>
      <c r="E57" s="67"/>
      <c r="F57" s="67">
        <f>F56/F$47</f>
        <v>0.77282166253054352</v>
      </c>
      <c r="G57" s="67"/>
    </row>
    <row r="58" spans="2:7" ht="6" customHeight="1">
      <c r="B58" s="49"/>
      <c r="C58" s="3"/>
      <c r="D58" s="3"/>
      <c r="E58" s="10"/>
      <c r="F58" s="3"/>
      <c r="G58" s="10"/>
    </row>
    <row r="59" spans="2:7">
      <c r="B59" t="s">
        <v>168</v>
      </c>
      <c r="C59" s="91">
        <f>'OLB fcst'!E17</f>
        <v>-629</v>
      </c>
      <c r="D59" s="91">
        <f>'2025B'!B60</f>
        <v>-712.38720000000001</v>
      </c>
      <c r="E59" s="10">
        <f t="shared" si="0"/>
        <v>-0.11705319803612413</v>
      </c>
      <c r="F59" s="91">
        <f>'OLB fcst'!C17</f>
        <v>-548</v>
      </c>
      <c r="G59" s="10">
        <f>C59/F59-1</f>
        <v>0.14781021897810209</v>
      </c>
    </row>
    <row r="60" spans="2:7">
      <c r="B60" t="s">
        <v>169</v>
      </c>
      <c r="C60" s="91">
        <f>'OLB fcst'!E18</f>
        <v>-222</v>
      </c>
      <c r="D60" s="91">
        <f>'2025B'!B61</f>
        <v>-290</v>
      </c>
      <c r="E60" s="10">
        <f t="shared" si="0"/>
        <v>-0.23448275862068968</v>
      </c>
      <c r="F60" s="91">
        <f>'OLB fcst'!C18</f>
        <v>-273</v>
      </c>
      <c r="G60" s="10">
        <f>C60/F60-1</f>
        <v>-0.18681318681318682</v>
      </c>
    </row>
    <row r="61" spans="2:7" ht="6" customHeight="1">
      <c r="B61" s="49"/>
      <c r="C61" s="3"/>
      <c r="D61" s="3"/>
      <c r="E61" s="10"/>
      <c r="F61" s="3"/>
      <c r="G61" s="10"/>
    </row>
    <row r="62" spans="2:7">
      <c r="B62" s="65" t="s">
        <v>170</v>
      </c>
      <c r="C62" s="121">
        <f>SUM(C56,C59:C60)</f>
        <v>8644.3960609786664</v>
      </c>
      <c r="D62" s="121">
        <f>SUM(D56,D59:D60)</f>
        <v>9955.3470007357064</v>
      </c>
      <c r="E62" s="11">
        <f t="shared" si="0"/>
        <v>-0.13168309850577387</v>
      </c>
      <c r="F62" s="121">
        <f>SUM(F56,F59:F60)</f>
        <v>7318.8943873849985</v>
      </c>
      <c r="G62" s="11">
        <f>C62/F62-1</f>
        <v>0.18110681797490225</v>
      </c>
    </row>
    <row r="63" spans="2:7">
      <c r="B63" s="66" t="s">
        <v>171</v>
      </c>
      <c r="C63" s="67">
        <f>C62/C$47</f>
        <v>0.71824012907236334</v>
      </c>
      <c r="D63" s="67">
        <f>D62/D$47</f>
        <v>0.70827009930061602</v>
      </c>
      <c r="E63" s="67"/>
      <c r="F63" s="67">
        <f>F62/F$47</f>
        <v>0.69487389628914276</v>
      </c>
      <c r="G63" s="67"/>
    </row>
    <row r="64" spans="2:7" ht="6" customHeight="1">
      <c r="B64" s="49"/>
      <c r="C64" s="3"/>
      <c r="D64" s="3"/>
      <c r="E64" s="10"/>
      <c r="F64" s="3"/>
      <c r="G64" s="10"/>
    </row>
    <row r="65" spans="2:7">
      <c r="B65" t="s">
        <v>172</v>
      </c>
      <c r="C65" s="91">
        <f>'OLB fcst'!E23</f>
        <v>-4690.5624749999997</v>
      </c>
      <c r="D65" s="91">
        <f>'2025B'!B66</f>
        <v>-4915.8999999999996</v>
      </c>
      <c r="E65" s="10">
        <f t="shared" si="0"/>
        <v>-4.5838508716613435E-2</v>
      </c>
      <c r="F65" s="91">
        <f>'OLB fcst'!C23</f>
        <v>-4405</v>
      </c>
      <c r="G65" s="10">
        <f>C65/F65-1</f>
        <v>6.4826895573212306E-2</v>
      </c>
    </row>
    <row r="66" spans="2:7">
      <c r="B66" t="s">
        <v>173</v>
      </c>
      <c r="C66" s="91">
        <f>'OLB fcst'!E24+10</f>
        <v>-1528.3859199999999</v>
      </c>
      <c r="D66" s="91">
        <f>'2025B'!B67</f>
        <v>-1586.5979079241599</v>
      </c>
      <c r="E66" s="10">
        <f t="shared" si="0"/>
        <v>-3.6689817649086742E-2</v>
      </c>
      <c r="F66" s="91">
        <f>'OLB fcst'!C24</f>
        <v>-1398</v>
      </c>
      <c r="G66" s="10">
        <f>C66/F66-1</f>
        <v>9.3266037195994134E-2</v>
      </c>
    </row>
    <row r="67" spans="2:7" ht="6" customHeight="1">
      <c r="B67" s="49"/>
      <c r="C67" s="3"/>
      <c r="D67" s="3"/>
      <c r="E67" s="10"/>
      <c r="F67" s="3"/>
      <c r="G67" s="10"/>
    </row>
    <row r="68" spans="2:7">
      <c r="B68" s="65" t="s">
        <v>174</v>
      </c>
      <c r="C68" s="121">
        <f>SUM(C62,C65:C66)</f>
        <v>2425.4476659786669</v>
      </c>
      <c r="D68" s="121">
        <f>SUM(D62,D65:D66)</f>
        <v>3452.8490928115471</v>
      </c>
      <c r="E68" s="11">
        <f t="shared" si="0"/>
        <v>-0.29755178961392126</v>
      </c>
      <c r="F68" s="121">
        <f>SUM(F62,F65:F66)</f>
        <v>1515.8943873849985</v>
      </c>
      <c r="G68" s="11">
        <f>C68/F68-1</f>
        <v>0.60001098108338402</v>
      </c>
    </row>
    <row r="69" spans="2:7">
      <c r="B69" s="66" t="s">
        <v>175</v>
      </c>
      <c r="C69" s="67">
        <f>C68/C$47</f>
        <v>0.2015240662716182</v>
      </c>
      <c r="D69" s="67">
        <f>D68/D$47</f>
        <v>0.24565188633354001</v>
      </c>
      <c r="E69" s="67"/>
      <c r="F69" s="67">
        <f>F68/F$47</f>
        <v>0.14392275439042307</v>
      </c>
      <c r="G69" s="67"/>
    </row>
    <row r="70" spans="2:7" ht="6" customHeight="1">
      <c r="B70" s="49"/>
      <c r="C70" s="3"/>
      <c r="D70" s="3"/>
      <c r="E70" s="10"/>
      <c r="F70" s="3"/>
      <c r="G70" s="10"/>
    </row>
    <row r="71" spans="2:7">
      <c r="B71" t="s">
        <v>176</v>
      </c>
      <c r="C71" s="91">
        <f>'OLB fcst'!E29-350</f>
        <v>-1130</v>
      </c>
      <c r="D71" s="91">
        <f>'2025B'!B72</f>
        <v>-798</v>
      </c>
      <c r="E71" s="10">
        <f t="shared" ref="E71:E73" si="21">C71/D71-1</f>
        <v>0.41604010025062665</v>
      </c>
      <c r="F71" s="91">
        <f>'OLB fcst'!C29</f>
        <v>-1673</v>
      </c>
      <c r="G71" s="10">
        <f>C71/F71-1</f>
        <v>-0.32456664674237901</v>
      </c>
    </row>
    <row r="72" spans="2:7" ht="6" customHeight="1">
      <c r="B72" s="49"/>
      <c r="C72" s="3"/>
      <c r="D72" s="3"/>
      <c r="E72" s="10"/>
      <c r="F72" s="3"/>
      <c r="G72" s="10"/>
    </row>
    <row r="73" spans="2:7">
      <c r="B73" s="65" t="s">
        <v>177</v>
      </c>
      <c r="C73" s="121">
        <f>SUM(C68,C71)</f>
        <v>1295.4476659786669</v>
      </c>
      <c r="D73" s="121">
        <f>SUM(D68,D71)</f>
        <v>2654.8490928115471</v>
      </c>
      <c r="E73" s="11">
        <f t="shared" si="21"/>
        <v>-0.51204470736724339</v>
      </c>
      <c r="F73" s="121">
        <f>SUM(F68,F71)</f>
        <v>-157.10561261500152</v>
      </c>
      <c r="G73" s="11">
        <f>C73/F73-1</f>
        <v>-9.2457121958669521</v>
      </c>
    </row>
    <row r="74" spans="2:7">
      <c r="B74" s="66" t="s">
        <v>178</v>
      </c>
      <c r="C74" s="67">
        <f>C73/C$47</f>
        <v>0.10763533880858191</v>
      </c>
      <c r="D74" s="67">
        <f>D73/D$47</f>
        <v>0.18887842186262574</v>
      </c>
      <c r="E74" s="67"/>
      <c r="F74" s="67">
        <f>F73/F$47</f>
        <v>-1.491599460088454E-2</v>
      </c>
      <c r="G74" s="67"/>
    </row>
  </sheetData>
  <pageMargins left="0.7" right="0.7" top="0.75" bottom="0.75" header="0.3" footer="0.3"/>
  <pageSetup paperSize="9" orientation="portrait" horizontalDpi="0" verticalDpi="0"/>
  <ignoredErrors>
    <ignoredError sqref="E47:E75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5407-8BE3-4ADA-BF05-E694D4DE797A}">
  <sheetPr>
    <tabColor rgb="FF92D050"/>
  </sheetPr>
  <dimension ref="B2:X74"/>
  <sheetViews>
    <sheetView showGridLines="0" workbookViewId="0">
      <pane xSplit="2" ySplit="4" topLeftCell="C5" activePane="bottomRight" state="frozen"/>
      <selection pane="bottomRight" activeCell="M9" sqref="M9"/>
      <selection pane="bottomLeft" activeCell="A5" sqref="A5"/>
      <selection pane="topRight" activeCell="C1" sqref="C1"/>
    </sheetView>
  </sheetViews>
  <sheetFormatPr defaultColWidth="8.85546875" defaultRowHeight="15" outlineLevelRow="2"/>
  <cols>
    <col min="2" max="2" width="42.42578125" customWidth="1"/>
    <col min="3" max="5" width="11.42578125" customWidth="1"/>
  </cols>
  <sheetData>
    <row r="2" spans="2:24">
      <c r="B2" s="74"/>
      <c r="C2" s="74" t="s">
        <v>270</v>
      </c>
      <c r="D2" s="74" t="s">
        <v>270</v>
      </c>
      <c r="E2" s="74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</row>
    <row r="3" spans="2:24">
      <c r="B3" s="68" t="s">
        <v>221</v>
      </c>
      <c r="C3" s="74" t="s">
        <v>275</v>
      </c>
      <c r="D3" s="74" t="s">
        <v>276</v>
      </c>
      <c r="E3" s="74" t="s">
        <v>277</v>
      </c>
      <c r="M3" s="185">
        <v>46023</v>
      </c>
      <c r="N3" s="185">
        <v>46054</v>
      </c>
      <c r="O3" s="185">
        <v>46082</v>
      </c>
      <c r="P3" s="185">
        <v>46113</v>
      </c>
      <c r="Q3" s="185">
        <v>46143</v>
      </c>
      <c r="R3" s="185">
        <v>46174</v>
      </c>
      <c r="S3" s="185">
        <v>46204</v>
      </c>
      <c r="T3" s="185">
        <v>46235</v>
      </c>
      <c r="U3" s="185">
        <v>46266</v>
      </c>
      <c r="V3" s="185">
        <v>46296</v>
      </c>
      <c r="W3" s="185">
        <v>46327</v>
      </c>
      <c r="X3" s="185">
        <v>46357</v>
      </c>
    </row>
    <row r="4" spans="2:24" ht="6" customHeight="1" outlineLevel="2">
      <c r="B4" s="49"/>
      <c r="C4" s="63"/>
      <c r="D4" s="63"/>
      <c r="E4" s="87"/>
    </row>
    <row r="5" spans="2:24" outlineLevel="2">
      <c r="B5" s="45" t="s">
        <v>228</v>
      </c>
      <c r="C5" s="46">
        <f>'Sales Budget Summary'!F4</f>
        <v>4698.95</v>
      </c>
      <c r="D5" s="46">
        <f>'2025A'!C5</f>
        <v>4530.8243099999991</v>
      </c>
      <c r="E5" s="85">
        <f>IFERROR(C5/D5-1, "N/A")</f>
        <v>3.7107086591049221E-2</v>
      </c>
      <c r="M5" s="46">
        <f>'Sales Budget Summary'!L4</f>
        <v>309.60649999999998</v>
      </c>
      <c r="N5" s="46">
        <f>'Sales Budget Summary'!M4</f>
        <v>367.63600000000002</v>
      </c>
      <c r="O5" s="46">
        <f>'Sales Budget Summary'!N4</f>
        <v>456.09500000000003</v>
      </c>
      <c r="P5" s="46">
        <f>'Sales Budget Summary'!O4</f>
        <v>389.75074999999998</v>
      </c>
      <c r="Q5" s="46">
        <f>'Sales Budget Summary'!P4</f>
        <v>411.8655</v>
      </c>
      <c r="R5" s="46">
        <f>'Sales Budget Summary'!Q4</f>
        <v>381.43599999999998</v>
      </c>
      <c r="S5" s="46">
        <f>'Sales Budget Summary'!R4</f>
        <v>381.43599999999998</v>
      </c>
      <c r="T5" s="46">
        <f>'Sales Budget Summary'!S4</f>
        <v>315.09174999999999</v>
      </c>
      <c r="U5" s="46">
        <f>'Sales Budget Summary'!T4</f>
        <v>447.78025000000002</v>
      </c>
      <c r="V5" s="46">
        <f>'Sales Budget Summary'!U4</f>
        <v>483.69499999999999</v>
      </c>
      <c r="W5" s="46">
        <f>'Sales Budget Summary'!V4</f>
        <v>417.35075000000001</v>
      </c>
      <c r="X5" s="46">
        <f>'Sales Budget Summary'!W4</f>
        <v>337.20650000000001</v>
      </c>
    </row>
    <row r="6" spans="2:24" outlineLevel="2">
      <c r="B6" s="45" t="s">
        <v>229</v>
      </c>
      <c r="C6" s="46">
        <f>'Sales Budget Summary'!F5</f>
        <v>1912.9</v>
      </c>
      <c r="D6" s="46">
        <f>'2025A'!C6</f>
        <v>1906.7439800000002</v>
      </c>
      <c r="E6" s="85">
        <f t="shared" ref="E6:E10" si="0">IFERROR(C6/D6-1, "N/A")</f>
        <v>3.2285509038292304E-3</v>
      </c>
      <c r="M6" s="46">
        <f>'Sales Budget Summary'!L5</f>
        <v>124.24300000000001</v>
      </c>
      <c r="N6" s="46">
        <f>'Sales Budget Summary'!M5</f>
        <v>148.892</v>
      </c>
      <c r="O6" s="46">
        <f>'Sales Budget Summary'!N5</f>
        <v>184.39</v>
      </c>
      <c r="P6" s="46">
        <f>'Sales Budget Summary'!O5</f>
        <v>157.76650000000001</v>
      </c>
      <c r="Q6" s="46">
        <f>'Sales Budget Summary'!P5</f>
        <v>166.64099999999999</v>
      </c>
      <c r="R6" s="46">
        <f>'Sales Budget Summary'!Q5</f>
        <v>155.792</v>
      </c>
      <c r="S6" s="46">
        <f>'Sales Budget Summary'!R5</f>
        <v>155.792</v>
      </c>
      <c r="T6" s="46">
        <f>'Sales Budget Summary'!S5</f>
        <v>129.16849999999999</v>
      </c>
      <c r="U6" s="46">
        <f>'Sales Budget Summary'!T5</f>
        <v>182.41550000000001</v>
      </c>
      <c r="V6" s="46">
        <f>'Sales Budget Summary'!U5</f>
        <v>198.19</v>
      </c>
      <c r="W6" s="46">
        <f>'Sales Budget Summary'!V5</f>
        <v>171.56649999999999</v>
      </c>
      <c r="X6" s="46">
        <f>'Sales Budget Summary'!W5</f>
        <v>138.04300000000001</v>
      </c>
    </row>
    <row r="7" spans="2:24" outlineLevel="2">
      <c r="B7" s="45" t="s">
        <v>230</v>
      </c>
      <c r="C7" s="46">
        <f>'Sales Budget Summary'!F6</f>
        <v>771.75</v>
      </c>
      <c r="D7" s="46">
        <f>'2025A'!C7</f>
        <v>641.74332000000004</v>
      </c>
      <c r="E7" s="85">
        <f t="shared" si="0"/>
        <v>0.20258361240129452</v>
      </c>
      <c r="M7" s="46">
        <f>'Sales Budget Summary'!L6</f>
        <v>48.422500000000007</v>
      </c>
      <c r="N7" s="46">
        <f>'Sales Budget Summary'!M6</f>
        <v>59.34</v>
      </c>
      <c r="O7" s="46">
        <f>'Sales Budget Summary'!N6</f>
        <v>73.174999999999997</v>
      </c>
      <c r="P7" s="46">
        <f>'Sales Budget Summary'!O6</f>
        <v>62.798750000000005</v>
      </c>
      <c r="Q7" s="46">
        <f>'Sales Budget Summary'!P6</f>
        <v>66.257499999999993</v>
      </c>
      <c r="R7" s="46">
        <f>'Sales Budget Summary'!Q6</f>
        <v>63.34</v>
      </c>
      <c r="S7" s="46">
        <f>'Sales Budget Summary'!R6</f>
        <v>63.34</v>
      </c>
      <c r="T7" s="46">
        <f>'Sales Budget Summary'!S6</f>
        <v>52.963749999999997</v>
      </c>
      <c r="U7" s="46">
        <f>'Sales Budget Summary'!T6</f>
        <v>73.716250000000002</v>
      </c>
      <c r="V7" s="46">
        <f>'Sales Budget Summary'!U6</f>
        <v>81.174999999999997</v>
      </c>
      <c r="W7" s="46">
        <f>'Sales Budget Summary'!V6</f>
        <v>70.798749999999998</v>
      </c>
      <c r="X7" s="46">
        <f>'Sales Budget Summary'!W6</f>
        <v>56.422500000000007</v>
      </c>
    </row>
    <row r="8" spans="2:24" outlineLevel="2">
      <c r="B8" s="45" t="s">
        <v>231</v>
      </c>
      <c r="C8" s="46">
        <f>'Sales Budget Summary'!F7</f>
        <v>227.5</v>
      </c>
      <c r="D8" s="46">
        <f>'2025A'!C8</f>
        <v>145.07323</v>
      </c>
      <c r="E8" s="85">
        <f t="shared" si="0"/>
        <v>0.56817353553098671</v>
      </c>
      <c r="M8" s="46">
        <f>'Sales Budget Summary'!L7</f>
        <v>12.425000000000002</v>
      </c>
      <c r="N8" s="46">
        <f>'Sales Budget Summary'!M7</f>
        <v>16.7</v>
      </c>
      <c r="O8" s="46">
        <f>'Sales Budget Summary'!N7</f>
        <v>20.25</v>
      </c>
      <c r="P8" s="46">
        <f>'Sales Budget Summary'!O7</f>
        <v>17.587499999999999</v>
      </c>
      <c r="Q8" s="46">
        <f>'Sales Budget Summary'!P7</f>
        <v>18.475000000000001</v>
      </c>
      <c r="R8" s="46">
        <f>'Sales Budget Summary'!Q7</f>
        <v>19.2</v>
      </c>
      <c r="S8" s="46">
        <f>'Sales Budget Summary'!R7</f>
        <v>19.2</v>
      </c>
      <c r="T8" s="46">
        <f>'Sales Budget Summary'!S7</f>
        <v>16.537500000000001</v>
      </c>
      <c r="U8" s="46">
        <f>'Sales Budget Summary'!T7</f>
        <v>21.862500000000001</v>
      </c>
      <c r="V8" s="46">
        <f>'Sales Budget Summary'!U7</f>
        <v>25.25</v>
      </c>
      <c r="W8" s="46">
        <f>'Sales Budget Summary'!V7</f>
        <v>22.587499999999999</v>
      </c>
      <c r="X8" s="46">
        <f>'Sales Budget Summary'!W7</f>
        <v>17.425000000000001</v>
      </c>
    </row>
    <row r="9" spans="2:24" outlineLevel="2">
      <c r="B9" s="45" t="s">
        <v>232</v>
      </c>
      <c r="C9" s="46">
        <f>'Sales Budget Summary'!F8</f>
        <v>158.97499999999999</v>
      </c>
      <c r="D9" s="46">
        <f>'2025A'!C9</f>
        <v>42.081430000000005</v>
      </c>
      <c r="E9" s="85">
        <f t="shared" si="0"/>
        <v>2.777794623424156</v>
      </c>
      <c r="M9" s="46">
        <f>'Sales Budget Summary'!L8</f>
        <v>4.1282500000000013</v>
      </c>
      <c r="N9" s="46">
        <f>'Sales Budget Summary'!M8</f>
        <v>9.718</v>
      </c>
      <c r="O9" s="46">
        <f>'Sales Budget Summary'!N8</f>
        <v>10.897500000000001</v>
      </c>
      <c r="P9" s="46">
        <f>'Sales Budget Summary'!O8</f>
        <v>10.012874999999999</v>
      </c>
      <c r="Q9" s="46">
        <f>'Sales Budget Summary'!P8</f>
        <v>10.30775</v>
      </c>
      <c r="R9" s="46">
        <f>'Sales Budget Summary'!Q8</f>
        <v>14.718</v>
      </c>
      <c r="S9" s="46">
        <f>'Sales Budget Summary'!R8</f>
        <v>14.718</v>
      </c>
      <c r="T9" s="46">
        <f>'Sales Budget Summary'!S8</f>
        <v>13.833375</v>
      </c>
      <c r="U9" s="46">
        <f>'Sales Budget Summary'!T8</f>
        <v>15.602625</v>
      </c>
      <c r="V9" s="46">
        <f>'Sales Budget Summary'!U8</f>
        <v>20.897500000000001</v>
      </c>
      <c r="W9" s="46">
        <f>'Sales Budget Summary'!V8</f>
        <v>20.012875000000001</v>
      </c>
      <c r="X9" s="46">
        <f>'Sales Budget Summary'!W8</f>
        <v>14.12825</v>
      </c>
    </row>
    <row r="10" spans="2:24" outlineLevel="2">
      <c r="B10" s="45" t="s">
        <v>233</v>
      </c>
      <c r="C10" s="46">
        <f>'Sales Budget Summary'!F9</f>
        <v>67.5</v>
      </c>
      <c r="D10" s="46">
        <f>'2025A'!C10</f>
        <v>8.8706399999999999</v>
      </c>
      <c r="E10" s="85">
        <f t="shared" si="0"/>
        <v>6.6093720407997623</v>
      </c>
      <c r="M10" s="46">
        <f>'Sales Budget Summary'!L9</f>
        <v>1.2250000000000003</v>
      </c>
      <c r="N10" s="46">
        <f>'Sales Budget Summary'!M9</f>
        <v>3.9</v>
      </c>
      <c r="O10" s="46">
        <f>'Sales Budget Summary'!N9</f>
        <v>4.25</v>
      </c>
      <c r="P10" s="46">
        <f>'Sales Budget Summary'!O9</f>
        <v>3.9874999999999998</v>
      </c>
      <c r="Q10" s="46">
        <f>'Sales Budget Summary'!P9</f>
        <v>4.0750000000000002</v>
      </c>
      <c r="R10" s="46">
        <f>'Sales Budget Summary'!Q9</f>
        <v>6.4</v>
      </c>
      <c r="S10" s="46">
        <f>'Sales Budget Summary'!R9</f>
        <v>6.4</v>
      </c>
      <c r="T10" s="46">
        <f>'Sales Budget Summary'!S9</f>
        <v>6.1375000000000002</v>
      </c>
      <c r="U10" s="46">
        <f>'Sales Budget Summary'!T9</f>
        <v>6.6624999999999996</v>
      </c>
      <c r="V10" s="46">
        <f>'Sales Budget Summary'!U9</f>
        <v>9.25</v>
      </c>
      <c r="W10" s="46">
        <f>'Sales Budget Summary'!V9</f>
        <v>8.9875000000000007</v>
      </c>
      <c r="X10" s="46">
        <f>'Sales Budget Summary'!W9</f>
        <v>6.2249999999999996</v>
      </c>
    </row>
    <row r="11" spans="2:24" outlineLevel="2">
      <c r="B11" s="47" t="s">
        <v>31</v>
      </c>
      <c r="C11" s="48">
        <f>SUM(C5:C10)</f>
        <v>7837.5750000000007</v>
      </c>
      <c r="D11" s="48">
        <f>SUM(D5:D10)</f>
        <v>7275.3369099999991</v>
      </c>
      <c r="E11" s="86">
        <f t="shared" ref="E11:E68" si="1">C11/D11-1</f>
        <v>7.7280007366696823E-2</v>
      </c>
      <c r="M11" s="48">
        <f>SUM(M5:M10)</f>
        <v>500.05025000000001</v>
      </c>
      <c r="N11" s="48">
        <f t="shared" ref="N11:X11" si="2">SUM(N5:N10)</f>
        <v>606.18600000000004</v>
      </c>
      <c r="O11" s="48">
        <f t="shared" si="2"/>
        <v>749.0575</v>
      </c>
      <c r="P11" s="48">
        <f t="shared" si="2"/>
        <v>641.90387499999997</v>
      </c>
      <c r="Q11" s="48">
        <f t="shared" si="2"/>
        <v>677.62175000000002</v>
      </c>
      <c r="R11" s="48">
        <f t="shared" si="2"/>
        <v>640.88599999999997</v>
      </c>
      <c r="S11" s="48">
        <f t="shared" si="2"/>
        <v>640.88599999999997</v>
      </c>
      <c r="T11" s="48">
        <f t="shared" si="2"/>
        <v>533.73237500000005</v>
      </c>
      <c r="U11" s="48">
        <f t="shared" si="2"/>
        <v>748.039625</v>
      </c>
      <c r="V11" s="48">
        <f t="shared" si="2"/>
        <v>818.45749999999998</v>
      </c>
      <c r="W11" s="48">
        <f t="shared" si="2"/>
        <v>711.30387499999995</v>
      </c>
      <c r="X11" s="48">
        <f t="shared" si="2"/>
        <v>569.45024999999998</v>
      </c>
    </row>
    <row r="12" spans="2:24" ht="6" customHeight="1" outlineLevel="2">
      <c r="B12" s="49"/>
      <c r="C12" s="63"/>
      <c r="D12" s="63"/>
      <c r="E12" s="87"/>
      <c r="M12" s="63"/>
    </row>
    <row r="13" spans="2:24" outlineLevel="2">
      <c r="B13" s="44" t="s">
        <v>234</v>
      </c>
      <c r="C13" s="46">
        <f>'Sales Budget Summary'!F12</f>
        <v>321.7</v>
      </c>
      <c r="D13" s="46">
        <f>'2025A'!C13</f>
        <v>201.3082344</v>
      </c>
      <c r="E13" s="85">
        <f t="shared" ref="E13:E14" si="3">IFERROR(C13/D13-1, "N/A")</f>
        <v>0.59804690036067387</v>
      </c>
      <c r="M13" s="46">
        <f>'Sales Budget Summary'!L12</f>
        <v>19.335999999999999</v>
      </c>
      <c r="N13" s="46">
        <f>'Sales Budget Summary'!M12</f>
        <v>23.335999999999999</v>
      </c>
      <c r="O13" s="46">
        <f>'Sales Budget Summary'!N12</f>
        <v>25.753</v>
      </c>
      <c r="P13" s="46">
        <f>'Sales Budget Summary'!O12</f>
        <v>25.753</v>
      </c>
      <c r="Q13" s="46">
        <f>'Sales Budget Summary'!P12</f>
        <v>25.753</v>
      </c>
      <c r="R13" s="46">
        <f>'Sales Budget Summary'!Q12</f>
        <v>26.127500000000001</v>
      </c>
      <c r="S13" s="46">
        <f>'Sales Budget Summary'!R12</f>
        <v>24.919</v>
      </c>
      <c r="T13" s="46">
        <f>'Sales Budget Summary'!S12</f>
        <v>22.501999999999999</v>
      </c>
      <c r="U13" s="46">
        <f>'Sales Budget Summary'!T12</f>
        <v>30.961500000000001</v>
      </c>
      <c r="V13" s="46">
        <f>'Sales Budget Summary'!U12</f>
        <v>37.378500000000003</v>
      </c>
      <c r="W13" s="46">
        <f>'Sales Budget Summary'!V12</f>
        <v>33.753</v>
      </c>
      <c r="X13" s="46">
        <f>'Sales Budget Summary'!W12</f>
        <v>26.127500000000001</v>
      </c>
    </row>
    <row r="14" spans="2:24" outlineLevel="2">
      <c r="B14" s="44" t="s">
        <v>235</v>
      </c>
      <c r="C14" s="46">
        <f>'Sales Budget Summary'!F13</f>
        <v>175</v>
      </c>
      <c r="D14" s="46">
        <f>'2025A'!C14</f>
        <v>177.28904740000002</v>
      </c>
      <c r="E14" s="85">
        <f t="shared" si="3"/>
        <v>-1.2911386425555449E-2</v>
      </c>
      <c r="M14" s="46">
        <f>'Sales Budget Summary'!L13</f>
        <v>14</v>
      </c>
      <c r="N14" s="46">
        <f>'Sales Budget Summary'!M13</f>
        <v>14</v>
      </c>
      <c r="O14" s="46">
        <f>'Sales Budget Summary'!N13</f>
        <v>15.75</v>
      </c>
      <c r="P14" s="46">
        <f>'Sales Budget Summary'!O13</f>
        <v>15.75</v>
      </c>
      <c r="Q14" s="46">
        <f>'Sales Budget Summary'!P13</f>
        <v>15.75</v>
      </c>
      <c r="R14" s="46">
        <f>'Sales Budget Summary'!Q13</f>
        <v>13.125</v>
      </c>
      <c r="S14" s="46">
        <f>'Sales Budget Summary'!R13</f>
        <v>12.250000000000002</v>
      </c>
      <c r="T14" s="46">
        <f>'Sales Budget Summary'!S13</f>
        <v>10.5</v>
      </c>
      <c r="U14" s="46">
        <f>'Sales Budget Summary'!T13</f>
        <v>16.625</v>
      </c>
      <c r="V14" s="46">
        <f>'Sales Budget Summary'!U13</f>
        <v>18.375</v>
      </c>
      <c r="W14" s="46">
        <f>'Sales Budget Summary'!V13</f>
        <v>15.75</v>
      </c>
      <c r="X14" s="46">
        <f>'Sales Budget Summary'!W13</f>
        <v>13.125</v>
      </c>
    </row>
    <row r="15" spans="2:24" outlineLevel="2">
      <c r="B15" s="51" t="s">
        <v>236</v>
      </c>
      <c r="C15" s="48">
        <f t="shared" ref="C15:D15" si="4">SUM(C13:C14)</f>
        <v>496.7</v>
      </c>
      <c r="D15" s="48">
        <f t="shared" si="4"/>
        <v>378.59728180000002</v>
      </c>
      <c r="E15" s="86">
        <f t="shared" si="1"/>
        <v>0.31194814088070921</v>
      </c>
      <c r="M15" s="48">
        <f t="shared" ref="M15:X15" si="5">SUM(M13:M14)</f>
        <v>33.335999999999999</v>
      </c>
      <c r="N15" s="48">
        <f t="shared" si="5"/>
        <v>37.335999999999999</v>
      </c>
      <c r="O15" s="48">
        <f t="shared" si="5"/>
        <v>41.503</v>
      </c>
      <c r="P15" s="48">
        <f t="shared" si="5"/>
        <v>41.503</v>
      </c>
      <c r="Q15" s="48">
        <f t="shared" si="5"/>
        <v>41.503</v>
      </c>
      <c r="R15" s="48">
        <f t="shared" si="5"/>
        <v>39.252499999999998</v>
      </c>
      <c r="S15" s="48">
        <f t="shared" si="5"/>
        <v>37.169000000000004</v>
      </c>
      <c r="T15" s="48">
        <f t="shared" si="5"/>
        <v>33.001999999999995</v>
      </c>
      <c r="U15" s="48">
        <f t="shared" si="5"/>
        <v>47.586500000000001</v>
      </c>
      <c r="V15" s="48">
        <f t="shared" si="5"/>
        <v>55.753500000000003</v>
      </c>
      <c r="W15" s="48">
        <f t="shared" si="5"/>
        <v>49.503</v>
      </c>
      <c r="X15" s="48">
        <f t="shared" si="5"/>
        <v>39.252499999999998</v>
      </c>
    </row>
    <row r="16" spans="2:24" ht="6" customHeight="1" outlineLevel="2">
      <c r="B16" s="49"/>
      <c r="C16" s="63"/>
      <c r="D16" s="63"/>
      <c r="E16" s="87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 spans="2:24" outlineLevel="2">
      <c r="B17" s="45" t="s">
        <v>237</v>
      </c>
      <c r="C17" s="46">
        <f>'Sales Budget Summary'!F16</f>
        <v>983.24199999999996</v>
      </c>
      <c r="D17" s="46">
        <f>'2025A'!C17</f>
        <v>754.68615419999992</v>
      </c>
      <c r="E17" s="85">
        <f t="shared" ref="E17:E18" si="6">IFERROR(C17/D17-1, "N/A")</f>
        <v>0.30284886575437331</v>
      </c>
      <c r="M17" s="46">
        <f>'Sales Budget Summary'!L16</f>
        <v>62.65936</v>
      </c>
      <c r="N17" s="46">
        <f>'Sales Budget Summary'!M16</f>
        <v>72.659360000000007</v>
      </c>
      <c r="O17" s="46">
        <f>'Sales Budget Summary'!N16</f>
        <v>80.491780000000006</v>
      </c>
      <c r="P17" s="46">
        <f>'Sales Budget Summary'!O16</f>
        <v>80.491780000000006</v>
      </c>
      <c r="Q17" s="46">
        <f>'Sales Budget Summary'!P16</f>
        <v>80.491780000000006</v>
      </c>
      <c r="R17" s="46">
        <f>'Sales Budget Summary'!Q16</f>
        <v>82.659360000000007</v>
      </c>
      <c r="S17" s="46">
        <f>'Sales Budget Summary'!R16</f>
        <v>82.659360000000007</v>
      </c>
      <c r="T17" s="46">
        <f>'Sales Budget Summary'!S16</f>
        <v>66.994520000000009</v>
      </c>
      <c r="U17" s="46">
        <f>'Sales Budget Summary'!T16</f>
        <v>90.491780000000006</v>
      </c>
      <c r="V17" s="46">
        <f>'Sales Budget Summary'!U16</f>
        <v>108.32419999999999</v>
      </c>
      <c r="W17" s="46">
        <f>'Sales Budget Summary'!V16</f>
        <v>100.49178000000001</v>
      </c>
      <c r="X17" s="46">
        <f>'Sales Budget Summary'!W16</f>
        <v>74.826940000000022</v>
      </c>
    </row>
    <row r="18" spans="2:24" outlineLevel="2">
      <c r="B18" s="45" t="s">
        <v>64</v>
      </c>
      <c r="C18" s="46">
        <f>'Sales Budget Summary'!F17</f>
        <v>20</v>
      </c>
      <c r="D18" s="46">
        <f>'2025A'!C18</f>
        <v>5</v>
      </c>
      <c r="E18" s="85">
        <f t="shared" si="6"/>
        <v>3</v>
      </c>
      <c r="M18" s="46">
        <f>'Sales Budget Summary'!L17</f>
        <v>1.6</v>
      </c>
      <c r="N18" s="46">
        <f>'Sales Budget Summary'!M17</f>
        <v>1.6</v>
      </c>
      <c r="O18" s="46">
        <f>'Sales Budget Summary'!N17</f>
        <v>1.8</v>
      </c>
      <c r="P18" s="46">
        <f>'Sales Budget Summary'!O17</f>
        <v>1.8</v>
      </c>
      <c r="Q18" s="46">
        <f>'Sales Budget Summary'!P17</f>
        <v>1.8</v>
      </c>
      <c r="R18" s="46">
        <f>'Sales Budget Summary'!Q17</f>
        <v>1.6</v>
      </c>
      <c r="S18" s="46">
        <f>'Sales Budget Summary'!R17</f>
        <v>1.6</v>
      </c>
      <c r="T18" s="46">
        <f>'Sales Budget Summary'!S17</f>
        <v>1.2</v>
      </c>
      <c r="U18" s="46">
        <f>'Sales Budget Summary'!T17</f>
        <v>1.8</v>
      </c>
      <c r="V18" s="46">
        <f>'Sales Budget Summary'!U17</f>
        <v>2</v>
      </c>
      <c r="W18" s="46">
        <f>'Sales Budget Summary'!V17</f>
        <v>1.8</v>
      </c>
      <c r="X18" s="46">
        <f>'Sales Budget Summary'!W17</f>
        <v>1.4000000000000001</v>
      </c>
    </row>
    <row r="19" spans="2:24" outlineLevel="2">
      <c r="B19" s="47" t="s">
        <v>238</v>
      </c>
      <c r="C19" s="48">
        <f t="shared" ref="C19:D19" si="7">SUM(C17:C18)</f>
        <v>1003.242</v>
      </c>
      <c r="D19" s="48">
        <f t="shared" si="7"/>
        <v>759.68615419999992</v>
      </c>
      <c r="E19" s="86">
        <f t="shared" si="1"/>
        <v>0.32060061178353383</v>
      </c>
      <c r="M19" s="48">
        <f t="shared" ref="M19:X19" si="8">SUM(M17:M18)</f>
        <v>64.259360000000001</v>
      </c>
      <c r="N19" s="48">
        <f t="shared" si="8"/>
        <v>74.259360000000001</v>
      </c>
      <c r="O19" s="48">
        <f t="shared" si="8"/>
        <v>82.291780000000003</v>
      </c>
      <c r="P19" s="48">
        <f t="shared" si="8"/>
        <v>82.291780000000003</v>
      </c>
      <c r="Q19" s="48">
        <f t="shared" si="8"/>
        <v>82.291780000000003</v>
      </c>
      <c r="R19" s="48">
        <f t="shared" si="8"/>
        <v>84.259360000000001</v>
      </c>
      <c r="S19" s="48">
        <f t="shared" si="8"/>
        <v>84.259360000000001</v>
      </c>
      <c r="T19" s="48">
        <f t="shared" si="8"/>
        <v>68.194520000000011</v>
      </c>
      <c r="U19" s="48">
        <f t="shared" si="8"/>
        <v>92.291780000000003</v>
      </c>
      <c r="V19" s="48">
        <f t="shared" si="8"/>
        <v>110.32419999999999</v>
      </c>
      <c r="W19" s="48">
        <f t="shared" si="8"/>
        <v>102.29178</v>
      </c>
      <c r="X19" s="48">
        <f t="shared" si="8"/>
        <v>76.226940000000027</v>
      </c>
    </row>
    <row r="20" spans="2:24" ht="6" customHeight="1" outlineLevel="2">
      <c r="B20" s="49"/>
      <c r="C20" s="63"/>
      <c r="D20" s="63"/>
      <c r="E20" s="87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 spans="2:24" outlineLevel="2">
      <c r="B21" s="45" t="s">
        <v>239</v>
      </c>
      <c r="C21" s="46">
        <f>'Sales Budget Summary'!F20</f>
        <v>430</v>
      </c>
      <c r="D21" s="46">
        <f>'2025A'!C21</f>
        <v>447.78187000000008</v>
      </c>
      <c r="E21" s="90">
        <f t="shared" ref="E21:E27" si="9">IFERROR(C21/D21-1, "N/A")</f>
        <v>-3.9711009291198196E-2</v>
      </c>
      <c r="M21" s="46">
        <f>'Sales Budget Summary'!L20</f>
        <v>38.700000000000003</v>
      </c>
      <c r="N21" s="46">
        <f>'Sales Budget Summary'!M20</f>
        <v>38.700000000000003</v>
      </c>
      <c r="O21" s="46">
        <f>'Sales Budget Summary'!N20</f>
        <v>38.700000000000003</v>
      </c>
      <c r="P21" s="46">
        <f>'Sales Budget Summary'!O20</f>
        <v>38.700000000000003</v>
      </c>
      <c r="Q21" s="46">
        <f>'Sales Budget Summary'!P20</f>
        <v>25.8</v>
      </c>
      <c r="R21" s="46">
        <f>'Sales Budget Summary'!Q20</f>
        <v>43</v>
      </c>
      <c r="S21" s="46">
        <f>'Sales Budget Summary'!R20</f>
        <v>17.2</v>
      </c>
      <c r="T21" s="46">
        <f>'Sales Budget Summary'!S20</f>
        <v>17.2</v>
      </c>
      <c r="U21" s="46">
        <f>'Sales Budget Summary'!T20</f>
        <v>34.4</v>
      </c>
      <c r="V21" s="46">
        <f>'Sales Budget Summary'!U20</f>
        <v>51.6</v>
      </c>
      <c r="W21" s="46">
        <f>'Sales Budget Summary'!V20</f>
        <v>43</v>
      </c>
      <c r="X21" s="46">
        <f>'Sales Budget Summary'!W20</f>
        <v>43</v>
      </c>
    </row>
    <row r="22" spans="2:24" outlineLevel="2">
      <c r="B22" s="45" t="s">
        <v>240</v>
      </c>
      <c r="C22" s="46">
        <f>'Sales Budget Summary'!F21</f>
        <v>625</v>
      </c>
      <c r="D22" s="46">
        <f>'2025A'!C22</f>
        <v>567.51580000000001</v>
      </c>
      <c r="E22" s="90">
        <f t="shared" si="9"/>
        <v>0.10129092441126741</v>
      </c>
      <c r="M22" s="46">
        <f>'Sales Budget Summary'!L21</f>
        <v>0</v>
      </c>
      <c r="N22" s="46">
        <f>'Sales Budget Summary'!M21</f>
        <v>100</v>
      </c>
      <c r="O22" s="46">
        <f>'Sales Budget Summary'!N21</f>
        <v>75</v>
      </c>
      <c r="P22" s="46">
        <f>'Sales Budget Summary'!O21</f>
        <v>0</v>
      </c>
      <c r="Q22" s="46">
        <f>'Sales Budget Summary'!P21</f>
        <v>75</v>
      </c>
      <c r="R22" s="46">
        <f>'Sales Budget Summary'!Q21</f>
        <v>75</v>
      </c>
      <c r="S22" s="46">
        <f>'Sales Budget Summary'!R21</f>
        <v>0</v>
      </c>
      <c r="T22" s="46">
        <f>'Sales Budget Summary'!S21</f>
        <v>62.5</v>
      </c>
      <c r="U22" s="46">
        <f>'Sales Budget Summary'!T21</f>
        <v>0</v>
      </c>
      <c r="V22" s="46">
        <f>'Sales Budget Summary'!U21</f>
        <v>87.500000000000014</v>
      </c>
      <c r="W22" s="46">
        <f>'Sales Budget Summary'!V21</f>
        <v>75</v>
      </c>
      <c r="X22" s="46">
        <f>'Sales Budget Summary'!W21</f>
        <v>75</v>
      </c>
    </row>
    <row r="23" spans="2:24" outlineLevel="2">
      <c r="B23" s="45" t="s">
        <v>241</v>
      </c>
      <c r="C23" s="46">
        <f>'Sales Budget Summary'!F22</f>
        <v>350</v>
      </c>
      <c r="D23" s="46">
        <f>'2025A'!C23</f>
        <v>277.16552000000001</v>
      </c>
      <c r="E23" s="90">
        <f t="shared" si="9"/>
        <v>0.26278333610905125</v>
      </c>
      <c r="M23" s="46">
        <f>'Sales Budget Summary'!L22</f>
        <v>0</v>
      </c>
      <c r="N23" s="46">
        <f>'Sales Budget Summary'!M22</f>
        <v>70</v>
      </c>
      <c r="O23" s="46">
        <f>'Sales Budget Summary'!N22</f>
        <v>0</v>
      </c>
      <c r="P23" s="46">
        <f>'Sales Budget Summary'!O22</f>
        <v>0</v>
      </c>
      <c r="Q23" s="46">
        <f>'Sales Budget Summary'!P22</f>
        <v>87.5</v>
      </c>
      <c r="R23" s="46">
        <f>'Sales Budget Summary'!Q22</f>
        <v>0</v>
      </c>
      <c r="S23" s="46">
        <f>'Sales Budget Summary'!R22</f>
        <v>0</v>
      </c>
      <c r="T23" s="46">
        <f>'Sales Budget Summary'!S22</f>
        <v>105</v>
      </c>
      <c r="U23" s="46">
        <f>'Sales Budget Summary'!T22</f>
        <v>0</v>
      </c>
      <c r="V23" s="46">
        <f>'Sales Budget Summary'!U22</f>
        <v>0</v>
      </c>
      <c r="W23" s="46">
        <f>'Sales Budget Summary'!V22</f>
        <v>87.5</v>
      </c>
      <c r="X23" s="46">
        <f>'Sales Budget Summary'!W22</f>
        <v>0</v>
      </c>
    </row>
    <row r="24" spans="2:24" outlineLevel="2">
      <c r="B24" s="45" t="s">
        <v>242</v>
      </c>
      <c r="C24" s="46">
        <f>'Sales Budget Summary'!F23</f>
        <v>457.5</v>
      </c>
      <c r="D24" s="46">
        <f>'2025A'!C24</f>
        <v>443.66261000000003</v>
      </c>
      <c r="E24" s="90">
        <f t="shared" si="9"/>
        <v>3.1188992915134328E-2</v>
      </c>
      <c r="M24" s="46">
        <f>'Sales Budget Summary'!L23</f>
        <v>36.6</v>
      </c>
      <c r="N24" s="46">
        <f>'Sales Budget Summary'!M23</f>
        <v>32.025000000000006</v>
      </c>
      <c r="O24" s="46">
        <f>'Sales Budget Summary'!N23</f>
        <v>45.75</v>
      </c>
      <c r="P24" s="46">
        <f>'Sales Budget Summary'!O23</f>
        <v>41.174999999999997</v>
      </c>
      <c r="Q24" s="46">
        <f>'Sales Budget Summary'!P23</f>
        <v>41.174999999999997</v>
      </c>
      <c r="R24" s="46">
        <f>'Sales Budget Summary'!Q23</f>
        <v>36.6</v>
      </c>
      <c r="S24" s="46">
        <f>'Sales Budget Summary'!R23</f>
        <v>36.6</v>
      </c>
      <c r="T24" s="46">
        <f>'Sales Budget Summary'!S23</f>
        <v>27.45</v>
      </c>
      <c r="U24" s="46">
        <f>'Sales Budget Summary'!T23</f>
        <v>41.174999999999997</v>
      </c>
      <c r="V24" s="46">
        <f>'Sales Budget Summary'!U23</f>
        <v>45.75</v>
      </c>
      <c r="W24" s="46">
        <f>'Sales Budget Summary'!V23</f>
        <v>41.174999999999997</v>
      </c>
      <c r="X24" s="46">
        <f>'Sales Budget Summary'!W23</f>
        <v>32.025000000000006</v>
      </c>
    </row>
    <row r="25" spans="2:24" outlineLevel="2">
      <c r="B25" s="45" t="s">
        <v>243</v>
      </c>
      <c r="C25" s="46">
        <f>'Sales Budget Summary'!F24</f>
        <v>30</v>
      </c>
      <c r="D25" s="46">
        <f>'2025A'!C25</f>
        <v>34.968969999999999</v>
      </c>
      <c r="E25" s="90">
        <f t="shared" si="9"/>
        <v>-0.14209655017005074</v>
      </c>
      <c r="M25" s="46">
        <f>'Sales Budget Summary'!L24</f>
        <v>2.4</v>
      </c>
      <c r="N25" s="46">
        <f>'Sales Budget Summary'!M24</f>
        <v>2.1</v>
      </c>
      <c r="O25" s="46">
        <f>'Sales Budget Summary'!N24</f>
        <v>3</v>
      </c>
      <c r="P25" s="46">
        <f>'Sales Budget Summary'!O24</f>
        <v>2.7</v>
      </c>
      <c r="Q25" s="46">
        <f>'Sales Budget Summary'!P24</f>
        <v>2.7</v>
      </c>
      <c r="R25" s="46">
        <f>'Sales Budget Summary'!Q24</f>
        <v>2.4</v>
      </c>
      <c r="S25" s="46">
        <f>'Sales Budget Summary'!R24</f>
        <v>2.4</v>
      </c>
      <c r="T25" s="46">
        <f>'Sales Budget Summary'!S24</f>
        <v>1.8</v>
      </c>
      <c r="U25" s="46">
        <f>'Sales Budget Summary'!T24</f>
        <v>2.7</v>
      </c>
      <c r="V25" s="46">
        <f>'Sales Budget Summary'!U24</f>
        <v>3</v>
      </c>
      <c r="W25" s="46">
        <f>'Sales Budget Summary'!V24</f>
        <v>2.7</v>
      </c>
      <c r="X25" s="46">
        <f>'Sales Budget Summary'!W24</f>
        <v>2.1</v>
      </c>
    </row>
    <row r="26" spans="2:24" outlineLevel="2">
      <c r="B26" s="45" t="s">
        <v>244</v>
      </c>
      <c r="C26" s="46">
        <f>'Sales Budget Summary'!F25</f>
        <v>20</v>
      </c>
      <c r="D26" s="46">
        <f>'2025A'!C26</f>
        <v>14.61966</v>
      </c>
      <c r="E26" s="90">
        <f t="shared" si="9"/>
        <v>0.36802087052640076</v>
      </c>
      <c r="M26" s="46">
        <f>'Sales Budget Summary'!L25</f>
        <v>0</v>
      </c>
      <c r="N26" s="46">
        <f>'Sales Budget Summary'!M25</f>
        <v>0</v>
      </c>
      <c r="O26" s="46">
        <f>'Sales Budget Summary'!N25</f>
        <v>0</v>
      </c>
      <c r="P26" s="46">
        <f>'Sales Budget Summary'!O25</f>
        <v>0</v>
      </c>
      <c r="Q26" s="46">
        <f>'Sales Budget Summary'!P25</f>
        <v>0</v>
      </c>
      <c r="R26" s="46">
        <f>'Sales Budget Summary'!Q25</f>
        <v>2</v>
      </c>
      <c r="S26" s="46">
        <f>'Sales Budget Summary'!R25</f>
        <v>2</v>
      </c>
      <c r="T26" s="46">
        <f>'Sales Budget Summary'!S25</f>
        <v>2</v>
      </c>
      <c r="U26" s="46">
        <f>'Sales Budget Summary'!T25</f>
        <v>3</v>
      </c>
      <c r="V26" s="46">
        <f>'Sales Budget Summary'!U25</f>
        <v>3</v>
      </c>
      <c r="W26" s="46">
        <f>'Sales Budget Summary'!V25</f>
        <v>4</v>
      </c>
      <c r="X26" s="46">
        <f>'Sales Budget Summary'!W25</f>
        <v>4</v>
      </c>
    </row>
    <row r="27" spans="2:24" outlineLevel="2">
      <c r="B27" s="45" t="s">
        <v>245</v>
      </c>
      <c r="C27" s="46">
        <f>'Sales Budget Summary'!F26</f>
        <v>32</v>
      </c>
      <c r="D27" s="46">
        <f>'2025A'!C27</f>
        <v>31.812060000000002</v>
      </c>
      <c r="E27" s="90">
        <f t="shared" si="9"/>
        <v>5.9078223793114226E-3</v>
      </c>
      <c r="M27" s="46">
        <f>'Sales Budget Summary'!L26</f>
        <v>2.56</v>
      </c>
      <c r="N27" s="46">
        <f>'Sales Budget Summary'!M26</f>
        <v>2.56</v>
      </c>
      <c r="O27" s="46">
        <f>'Sales Budget Summary'!N26</f>
        <v>2.88</v>
      </c>
      <c r="P27" s="46">
        <f>'Sales Budget Summary'!O26</f>
        <v>2.88</v>
      </c>
      <c r="Q27" s="46">
        <f>'Sales Budget Summary'!P26</f>
        <v>2.88</v>
      </c>
      <c r="R27" s="46">
        <f>'Sales Budget Summary'!Q26</f>
        <v>2.4</v>
      </c>
      <c r="S27" s="46">
        <f>'Sales Budget Summary'!R26</f>
        <v>2.2400000000000002</v>
      </c>
      <c r="T27" s="46">
        <f>'Sales Budget Summary'!S26</f>
        <v>1.92</v>
      </c>
      <c r="U27" s="46">
        <f>'Sales Budget Summary'!T26</f>
        <v>3.04</v>
      </c>
      <c r="V27" s="46">
        <f>'Sales Budget Summary'!U26</f>
        <v>3.36</v>
      </c>
      <c r="W27" s="46">
        <f>'Sales Budget Summary'!V26</f>
        <v>2.88</v>
      </c>
      <c r="X27" s="46">
        <f>'Sales Budget Summary'!W26</f>
        <v>2.4</v>
      </c>
    </row>
    <row r="28" spans="2:24" outlineLevel="2">
      <c r="B28" s="47" t="s">
        <v>100</v>
      </c>
      <c r="C28" s="48">
        <f t="shared" ref="C28:D28" si="10">SUM(C21:C27)</f>
        <v>1944.5</v>
      </c>
      <c r="D28" s="48">
        <f t="shared" si="10"/>
        <v>1817.5264900000002</v>
      </c>
      <c r="E28" s="86">
        <f t="shared" si="1"/>
        <v>6.986061039473479E-2</v>
      </c>
      <c r="M28" s="48">
        <f t="shared" ref="M28:X28" si="11">SUM(M21:M27)</f>
        <v>80.260000000000019</v>
      </c>
      <c r="N28" s="48">
        <f t="shared" si="11"/>
        <v>245.38499999999999</v>
      </c>
      <c r="O28" s="48">
        <f t="shared" si="11"/>
        <v>165.32999999999998</v>
      </c>
      <c r="P28" s="48">
        <f t="shared" si="11"/>
        <v>85.454999999999998</v>
      </c>
      <c r="Q28" s="48">
        <f t="shared" si="11"/>
        <v>235.05500000000001</v>
      </c>
      <c r="R28" s="48">
        <f t="shared" si="11"/>
        <v>161.4</v>
      </c>
      <c r="S28" s="48">
        <f t="shared" si="11"/>
        <v>60.44</v>
      </c>
      <c r="T28" s="48">
        <f t="shared" si="11"/>
        <v>217.86999999999998</v>
      </c>
      <c r="U28" s="48">
        <f t="shared" si="11"/>
        <v>84.314999999999998</v>
      </c>
      <c r="V28" s="48">
        <f t="shared" si="11"/>
        <v>194.21000000000004</v>
      </c>
      <c r="W28" s="48">
        <f t="shared" si="11"/>
        <v>256.255</v>
      </c>
      <c r="X28" s="48">
        <f t="shared" si="11"/>
        <v>158.52500000000001</v>
      </c>
    </row>
    <row r="29" spans="2:24" ht="6" customHeight="1" outlineLevel="2">
      <c r="B29" s="49"/>
      <c r="C29" s="63"/>
      <c r="D29" s="63"/>
      <c r="E29" s="87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 spans="2:24" ht="15.75" outlineLevel="2" thickBot="1">
      <c r="B30" s="52" t="s">
        <v>246</v>
      </c>
      <c r="C30" s="53">
        <f t="shared" ref="C30:D30" si="12">SUM(C11,C15,C19,C28)</f>
        <v>11282.017000000002</v>
      </c>
      <c r="D30" s="53">
        <f t="shared" si="12"/>
        <v>10231.146836</v>
      </c>
      <c r="E30" s="88">
        <f t="shared" si="1"/>
        <v>0.10271284156555538</v>
      </c>
      <c r="M30" s="53">
        <f t="shared" ref="M30:X30" si="13">SUM(M11,M15,M19,M28)</f>
        <v>677.90561000000002</v>
      </c>
      <c r="N30" s="53">
        <f t="shared" si="13"/>
        <v>963.16636000000005</v>
      </c>
      <c r="O30" s="53">
        <f t="shared" si="13"/>
        <v>1038.18228</v>
      </c>
      <c r="P30" s="53">
        <f t="shared" si="13"/>
        <v>851.15365500000007</v>
      </c>
      <c r="Q30" s="53">
        <f t="shared" si="13"/>
        <v>1036.47153</v>
      </c>
      <c r="R30" s="53">
        <f t="shared" si="13"/>
        <v>925.79786000000001</v>
      </c>
      <c r="S30" s="53">
        <f t="shared" si="13"/>
        <v>822.75435999999991</v>
      </c>
      <c r="T30" s="53">
        <f t="shared" si="13"/>
        <v>852.79889500000002</v>
      </c>
      <c r="U30" s="53">
        <f t="shared" si="13"/>
        <v>972.23290500000007</v>
      </c>
      <c r="V30" s="53">
        <f t="shared" si="13"/>
        <v>1178.7452000000001</v>
      </c>
      <c r="W30" s="53">
        <f t="shared" si="13"/>
        <v>1119.3536549999999</v>
      </c>
      <c r="X30" s="53">
        <f t="shared" si="13"/>
        <v>843.45468999999991</v>
      </c>
    </row>
    <row r="31" spans="2:24" ht="6" customHeight="1" outlineLevel="1">
      <c r="B31" s="49"/>
      <c r="C31" s="63"/>
      <c r="D31" s="63"/>
      <c r="E31" s="87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 spans="2:24" outlineLevel="1">
      <c r="B32" t="s">
        <v>247</v>
      </c>
      <c r="C32" s="46">
        <f>'Sales Budget Summary'!F31</f>
        <v>800</v>
      </c>
      <c r="D32" s="46">
        <f>'2025A'!C32</f>
        <v>500.90406999999993</v>
      </c>
      <c r="E32" s="90">
        <f t="shared" ref="E32:E34" si="14">IFERROR(C32/D32-1, "N/A")</f>
        <v>0.59711219755112022</v>
      </c>
      <c r="M32" s="46">
        <f>'Sales Budget Summary'!L31</f>
        <v>24</v>
      </c>
      <c r="N32" s="46">
        <f>'Sales Budget Summary'!M31</f>
        <v>24</v>
      </c>
      <c r="O32" s="46">
        <f>'Sales Budget Summary'!N31</f>
        <v>26.4</v>
      </c>
      <c r="P32" s="46">
        <f>'Sales Budget Summary'!O31</f>
        <v>34.4</v>
      </c>
      <c r="Q32" s="46">
        <f>'Sales Budget Summary'!P31</f>
        <v>64</v>
      </c>
      <c r="R32" s="46">
        <f>'Sales Budget Summary'!Q31</f>
        <v>48</v>
      </c>
      <c r="S32" s="46">
        <f>'Sales Budget Summary'!R31</f>
        <v>48</v>
      </c>
      <c r="T32" s="46">
        <f>'Sales Budget Summary'!S31</f>
        <v>48</v>
      </c>
      <c r="U32" s="46">
        <f>'Sales Budget Summary'!T31</f>
        <v>200</v>
      </c>
      <c r="V32" s="46">
        <f>'Sales Budget Summary'!U31</f>
        <v>120</v>
      </c>
      <c r="W32" s="46">
        <f>'Sales Budget Summary'!V31</f>
        <v>80</v>
      </c>
      <c r="X32" s="46">
        <f>'Sales Budget Summary'!W31</f>
        <v>80</v>
      </c>
    </row>
    <row r="33" spans="2:24" outlineLevel="1">
      <c r="B33" t="s">
        <v>248</v>
      </c>
      <c r="C33" s="46">
        <f>'Sales Budget Summary'!F32</f>
        <v>200</v>
      </c>
      <c r="D33" s="46">
        <f>'2025A'!C33</f>
        <v>105.64609</v>
      </c>
      <c r="E33" s="90">
        <f t="shared" si="14"/>
        <v>0.89311312893832606</v>
      </c>
      <c r="M33" s="46">
        <f>'Sales Budget Summary'!L32</f>
        <v>18</v>
      </c>
      <c r="N33" s="46">
        <f>'Sales Budget Summary'!M32</f>
        <v>18</v>
      </c>
      <c r="O33" s="46">
        <f>'Sales Budget Summary'!N32</f>
        <v>18</v>
      </c>
      <c r="P33" s="46">
        <f>'Sales Budget Summary'!O32</f>
        <v>18</v>
      </c>
      <c r="Q33" s="46">
        <f>'Sales Budget Summary'!P32</f>
        <v>12</v>
      </c>
      <c r="R33" s="46">
        <f>'Sales Budget Summary'!Q32</f>
        <v>20</v>
      </c>
      <c r="S33" s="46">
        <f>'Sales Budget Summary'!R32</f>
        <v>8</v>
      </c>
      <c r="T33" s="46">
        <f>'Sales Budget Summary'!S32</f>
        <v>8</v>
      </c>
      <c r="U33" s="46">
        <f>'Sales Budget Summary'!T32</f>
        <v>16</v>
      </c>
      <c r="V33" s="46">
        <f>'Sales Budget Summary'!U32</f>
        <v>24</v>
      </c>
      <c r="W33" s="46">
        <f>'Sales Budget Summary'!V32</f>
        <v>20</v>
      </c>
      <c r="X33" s="46">
        <f>'Sales Budget Summary'!W32</f>
        <v>20</v>
      </c>
    </row>
    <row r="34" spans="2:24" outlineLevel="1">
      <c r="B34" t="s">
        <v>249</v>
      </c>
      <c r="C34" s="46">
        <f>'Sales Budget Summary'!F33</f>
        <v>145</v>
      </c>
      <c r="D34" s="46">
        <f>'2025A'!C34</f>
        <v>0</v>
      </c>
      <c r="E34" s="90" t="str">
        <f t="shared" si="14"/>
        <v>N/A</v>
      </c>
      <c r="M34" s="46">
        <f>'Sales Budget Summary'!L33</f>
        <v>0</v>
      </c>
      <c r="N34" s="46">
        <f>'Sales Budget Summary'!M33</f>
        <v>0</v>
      </c>
      <c r="O34" s="46">
        <f>'Sales Budget Summary'!N33</f>
        <v>0</v>
      </c>
      <c r="P34" s="46">
        <f>'Sales Budget Summary'!O33</f>
        <v>0</v>
      </c>
      <c r="Q34" s="46">
        <f>'Sales Budget Summary'!P33</f>
        <v>0</v>
      </c>
      <c r="R34" s="46">
        <f>'Sales Budget Summary'!Q33</f>
        <v>14.5</v>
      </c>
      <c r="S34" s="46">
        <f>'Sales Budget Summary'!R33</f>
        <v>14.5</v>
      </c>
      <c r="T34" s="46">
        <f>'Sales Budget Summary'!S33</f>
        <v>14.5</v>
      </c>
      <c r="U34" s="46">
        <f>'Sales Budget Summary'!T33</f>
        <v>21.75</v>
      </c>
      <c r="V34" s="46">
        <f>'Sales Budget Summary'!U33</f>
        <v>21.75</v>
      </c>
      <c r="W34" s="46">
        <f>'Sales Budget Summary'!V33</f>
        <v>29</v>
      </c>
      <c r="X34" s="46">
        <f>'Sales Budget Summary'!W33</f>
        <v>29</v>
      </c>
    </row>
    <row r="35" spans="2:24" ht="6" customHeight="1" outlineLevel="1">
      <c r="B35" s="49"/>
      <c r="C35" s="63"/>
      <c r="D35" s="63"/>
      <c r="E35" s="87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 spans="2:24" ht="15.75" outlineLevel="1" thickBot="1">
      <c r="B36" s="52" t="s">
        <v>250</v>
      </c>
      <c r="C36" s="53">
        <f t="shared" ref="C36:D36" si="15">SUM(C32:C34)</f>
        <v>1145</v>
      </c>
      <c r="D36" s="53">
        <f t="shared" si="15"/>
        <v>606.55015999999989</v>
      </c>
      <c r="E36" s="88">
        <f t="shared" si="1"/>
        <v>0.88772516357097353</v>
      </c>
      <c r="M36" s="53">
        <f t="shared" ref="M36:X36" si="16">SUM(M32:M34)</f>
        <v>42</v>
      </c>
      <c r="N36" s="53">
        <f t="shared" si="16"/>
        <v>42</v>
      </c>
      <c r="O36" s="53">
        <f t="shared" si="16"/>
        <v>44.4</v>
      </c>
      <c r="P36" s="53">
        <f t="shared" si="16"/>
        <v>52.4</v>
      </c>
      <c r="Q36" s="53">
        <f t="shared" si="16"/>
        <v>76</v>
      </c>
      <c r="R36" s="53">
        <f t="shared" si="16"/>
        <v>82.5</v>
      </c>
      <c r="S36" s="53">
        <f t="shared" si="16"/>
        <v>70.5</v>
      </c>
      <c r="T36" s="53">
        <f t="shared" si="16"/>
        <v>70.5</v>
      </c>
      <c r="U36" s="53">
        <f t="shared" si="16"/>
        <v>237.75</v>
      </c>
      <c r="V36" s="53">
        <f t="shared" si="16"/>
        <v>165.75</v>
      </c>
      <c r="W36" s="53">
        <f t="shared" si="16"/>
        <v>129</v>
      </c>
      <c r="X36" s="53">
        <f t="shared" si="16"/>
        <v>129</v>
      </c>
    </row>
    <row r="37" spans="2:24" ht="6" customHeight="1" outlineLevel="1">
      <c r="B37" s="49"/>
      <c r="C37" s="63"/>
      <c r="D37" s="63"/>
      <c r="E37" s="87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 spans="2:24" outlineLevel="1">
      <c r="B38" t="s">
        <v>251</v>
      </c>
      <c r="C38" s="46">
        <f>'Sales Budget Summary'!F37</f>
        <v>748</v>
      </c>
      <c r="D38" s="46">
        <f>'2025A'!C38</f>
        <v>660.48169199999995</v>
      </c>
      <c r="E38" s="90">
        <f t="shared" ref="E38:E41" si="17">IFERROR(C38/D38-1, "N/A")</f>
        <v>0.13250678869687738</v>
      </c>
      <c r="M38" s="46">
        <f>'Sales Budget Summary'!L37</f>
        <v>68</v>
      </c>
      <c r="N38" s="46">
        <f>'Sales Budget Summary'!M37</f>
        <v>64</v>
      </c>
      <c r="O38" s="46">
        <f>'Sales Budget Summary'!N37</f>
        <v>61</v>
      </c>
      <c r="P38" s="46">
        <f>'Sales Budget Summary'!O37</f>
        <v>48</v>
      </c>
      <c r="Q38" s="46">
        <f>'Sales Budget Summary'!P37</f>
        <v>56</v>
      </c>
      <c r="R38" s="46">
        <f>'Sales Budget Summary'!Q37</f>
        <v>50</v>
      </c>
      <c r="S38" s="46">
        <f>'Sales Budget Summary'!R37</f>
        <v>53</v>
      </c>
      <c r="T38" s="46">
        <f>'Sales Budget Summary'!S37</f>
        <v>54</v>
      </c>
      <c r="U38" s="46">
        <f>'Sales Budget Summary'!T37</f>
        <v>58</v>
      </c>
      <c r="V38" s="46">
        <f>'Sales Budget Summary'!U37</f>
        <v>66</v>
      </c>
      <c r="W38" s="46">
        <f>'Sales Budget Summary'!V37</f>
        <v>90</v>
      </c>
      <c r="X38" s="46">
        <f>'Sales Budget Summary'!W37</f>
        <v>80</v>
      </c>
    </row>
    <row r="39" spans="2:24" outlineLevel="1">
      <c r="B39" t="s">
        <v>252</v>
      </c>
      <c r="C39" s="46">
        <f>'Sales Budget Summary'!F38</f>
        <v>406</v>
      </c>
      <c r="D39" s="46">
        <f>'2025A'!C39</f>
        <v>396.49359879999997</v>
      </c>
      <c r="E39" s="90">
        <f t="shared" si="17"/>
        <v>2.3976178250472158E-2</v>
      </c>
      <c r="M39" s="46">
        <f>'Sales Budget Summary'!L38</f>
        <v>31</v>
      </c>
      <c r="N39" s="46">
        <f>'Sales Budget Summary'!M38</f>
        <v>31</v>
      </c>
      <c r="O39" s="46">
        <f>'Sales Budget Summary'!N38</f>
        <v>34</v>
      </c>
      <c r="P39" s="46">
        <f>'Sales Budget Summary'!O38</f>
        <v>32</v>
      </c>
      <c r="Q39" s="46">
        <f>'Sales Budget Summary'!P38</f>
        <v>34</v>
      </c>
      <c r="R39" s="46">
        <f>'Sales Budget Summary'!Q38</f>
        <v>33</v>
      </c>
      <c r="S39" s="46">
        <f>'Sales Budget Summary'!R38</f>
        <v>34</v>
      </c>
      <c r="T39" s="46">
        <f>'Sales Budget Summary'!S38</f>
        <v>31</v>
      </c>
      <c r="U39" s="46">
        <f>'Sales Budget Summary'!T38</f>
        <v>35</v>
      </c>
      <c r="V39" s="46">
        <f>'Sales Budget Summary'!U38</f>
        <v>35</v>
      </c>
      <c r="W39" s="46">
        <f>'Sales Budget Summary'!V38</f>
        <v>36</v>
      </c>
      <c r="X39" s="46">
        <f>'Sales Budget Summary'!W38</f>
        <v>40</v>
      </c>
    </row>
    <row r="40" spans="2:24" outlineLevel="1">
      <c r="B40" t="s">
        <v>137</v>
      </c>
      <c r="C40" s="46">
        <f>'Sales Budget Summary'!F39</f>
        <v>110</v>
      </c>
      <c r="D40" s="46">
        <f>'2025A'!C40</f>
        <v>105.87025999999999</v>
      </c>
      <c r="E40" s="90">
        <f t="shared" si="17"/>
        <v>3.9007555096209456E-2</v>
      </c>
      <c r="M40" s="46">
        <f>'Sales Budget Summary'!L39</f>
        <v>6</v>
      </c>
      <c r="N40" s="46">
        <f>'Sales Budget Summary'!M39</f>
        <v>11</v>
      </c>
      <c r="O40" s="46">
        <f>'Sales Budget Summary'!N39</f>
        <v>9</v>
      </c>
      <c r="P40" s="46">
        <f>'Sales Budget Summary'!O39</f>
        <v>4</v>
      </c>
      <c r="Q40" s="46">
        <f>'Sales Budget Summary'!P39</f>
        <v>10</v>
      </c>
      <c r="R40" s="46">
        <f>'Sales Budget Summary'!Q39</f>
        <v>8</v>
      </c>
      <c r="S40" s="46">
        <f>'Sales Budget Summary'!R39</f>
        <v>10</v>
      </c>
      <c r="T40" s="46">
        <f>'Sales Budget Summary'!S39</f>
        <v>12</v>
      </c>
      <c r="U40" s="46">
        <f>'Sales Budget Summary'!T39</f>
        <v>10</v>
      </c>
      <c r="V40" s="46">
        <f>'Sales Budget Summary'!U39</f>
        <v>10</v>
      </c>
      <c r="W40" s="46">
        <f>'Sales Budget Summary'!V39</f>
        <v>11</v>
      </c>
      <c r="X40" s="46">
        <f>'Sales Budget Summary'!W39</f>
        <v>11</v>
      </c>
    </row>
    <row r="41" spans="2:24" outlineLevel="1">
      <c r="B41" t="s">
        <v>253</v>
      </c>
      <c r="C41" s="46">
        <f>'Sales Budget Summary'!F40</f>
        <v>34.981104799999997</v>
      </c>
      <c r="D41" s="46">
        <f>'2025A'!C41</f>
        <v>34.981104799999997</v>
      </c>
      <c r="E41" s="90">
        <f t="shared" si="17"/>
        <v>0</v>
      </c>
      <c r="M41" s="46">
        <f>'Sales Budget Summary'!L40</f>
        <v>2.9150920666666664</v>
      </c>
      <c r="N41" s="46">
        <f>'Sales Budget Summary'!M40</f>
        <v>2.9150920666666664</v>
      </c>
      <c r="O41" s="46">
        <f>'Sales Budget Summary'!N40</f>
        <v>2.9150920666666664</v>
      </c>
      <c r="P41" s="46">
        <f>'Sales Budget Summary'!O40</f>
        <v>2.9150920666666664</v>
      </c>
      <c r="Q41" s="46">
        <f>'Sales Budget Summary'!P40</f>
        <v>2.9150920666666664</v>
      </c>
      <c r="R41" s="46">
        <f>'Sales Budget Summary'!Q40</f>
        <v>2.9150920666666664</v>
      </c>
      <c r="S41" s="46">
        <f>'Sales Budget Summary'!R40</f>
        <v>2.9150920666666664</v>
      </c>
      <c r="T41" s="46">
        <f>'Sales Budget Summary'!S40</f>
        <v>2.9150920666666664</v>
      </c>
      <c r="U41" s="46">
        <f>'Sales Budget Summary'!T40</f>
        <v>2.9150920666666664</v>
      </c>
      <c r="V41" s="46">
        <f>'Sales Budget Summary'!U40</f>
        <v>2.9150920666666664</v>
      </c>
      <c r="W41" s="46">
        <f>'Sales Budget Summary'!V40</f>
        <v>2.9150920666666664</v>
      </c>
      <c r="X41" s="46">
        <f>'Sales Budget Summary'!W40</f>
        <v>2.9150920666666664</v>
      </c>
    </row>
    <row r="42" spans="2:24" ht="6" customHeight="1" outlineLevel="1">
      <c r="B42" s="49"/>
      <c r="C42" s="63"/>
      <c r="D42" s="63"/>
      <c r="E42" s="87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 spans="2:24" ht="15.75" outlineLevel="1" thickBot="1">
      <c r="B43" s="52" t="s">
        <v>254</v>
      </c>
      <c r="C43" s="53">
        <f t="shared" ref="C43:D43" si="18">SUM(C38:C41)</f>
        <v>1298.9811047999999</v>
      </c>
      <c r="D43" s="53">
        <f t="shared" si="18"/>
        <v>1197.8266555999999</v>
      </c>
      <c r="E43" s="88">
        <f t="shared" si="1"/>
        <v>8.4448320403532007E-2</v>
      </c>
      <c r="M43" s="53">
        <f t="shared" ref="M43:X43" si="19">SUM(M38:M41)</f>
        <v>107.91509206666666</v>
      </c>
      <c r="N43" s="53">
        <f t="shared" si="19"/>
        <v>108.91509206666666</v>
      </c>
      <c r="O43" s="53">
        <f t="shared" si="19"/>
        <v>106.91509206666666</v>
      </c>
      <c r="P43" s="53">
        <f t="shared" si="19"/>
        <v>86.915092066666659</v>
      </c>
      <c r="Q43" s="53">
        <f t="shared" si="19"/>
        <v>102.91509206666666</v>
      </c>
      <c r="R43" s="53">
        <f t="shared" si="19"/>
        <v>93.915092066666659</v>
      </c>
      <c r="S43" s="53">
        <f t="shared" si="19"/>
        <v>99.915092066666659</v>
      </c>
      <c r="T43" s="53">
        <f t="shared" si="19"/>
        <v>99.915092066666659</v>
      </c>
      <c r="U43" s="53">
        <f t="shared" si="19"/>
        <v>105.91509206666666</v>
      </c>
      <c r="V43" s="53">
        <f t="shared" si="19"/>
        <v>113.91509206666666</v>
      </c>
      <c r="W43" s="53">
        <f t="shared" si="19"/>
        <v>139.91509206666666</v>
      </c>
      <c r="X43" s="53">
        <f t="shared" si="19"/>
        <v>133.91509206666666</v>
      </c>
    </row>
    <row r="44" spans="2:24" ht="6" customHeight="1" outlineLevel="1">
      <c r="B44" s="49"/>
      <c r="C44" s="63"/>
      <c r="D44" s="63"/>
      <c r="E44" s="87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 spans="2:24" ht="16.5" outlineLevel="1" thickBot="1">
      <c r="B45" s="54" t="s">
        <v>255</v>
      </c>
      <c r="C45" s="55">
        <f t="shared" ref="C45:D45" si="20">SUM(C30,C36,C43)</f>
        <v>13725.998104800001</v>
      </c>
      <c r="D45" s="55">
        <f t="shared" si="20"/>
        <v>12035.5236516</v>
      </c>
      <c r="E45" s="89">
        <f t="shared" si="1"/>
        <v>0.14045707541568153</v>
      </c>
      <c r="M45" s="55">
        <f t="shared" ref="M45:X45" si="21">SUM(M30,M36,M43)</f>
        <v>827.82070206666663</v>
      </c>
      <c r="N45" s="55">
        <f t="shared" si="21"/>
        <v>1114.0814520666668</v>
      </c>
      <c r="O45" s="55">
        <f t="shared" si="21"/>
        <v>1189.4973720666667</v>
      </c>
      <c r="P45" s="55">
        <f t="shared" si="21"/>
        <v>990.46874706666677</v>
      </c>
      <c r="Q45" s="55">
        <f t="shared" si="21"/>
        <v>1215.3866220666666</v>
      </c>
      <c r="R45" s="55">
        <f t="shared" si="21"/>
        <v>1102.2129520666667</v>
      </c>
      <c r="S45" s="55">
        <f t="shared" si="21"/>
        <v>993.16945206666651</v>
      </c>
      <c r="T45" s="55">
        <f t="shared" si="21"/>
        <v>1023.2139870666667</v>
      </c>
      <c r="U45" s="55">
        <f t="shared" si="21"/>
        <v>1315.8979970666667</v>
      </c>
      <c r="V45" s="55">
        <f t="shared" si="21"/>
        <v>1458.4102920666667</v>
      </c>
      <c r="W45" s="55">
        <f t="shared" si="21"/>
        <v>1388.2687470666665</v>
      </c>
      <c r="X45" s="55">
        <f t="shared" si="21"/>
        <v>1106.3697820666666</v>
      </c>
    </row>
    <row r="46" spans="2:24" ht="6" customHeight="1">
      <c r="E46" s="10"/>
    </row>
    <row r="47" spans="2:24">
      <c r="B47" s="64" t="s">
        <v>155</v>
      </c>
      <c r="C47" s="93">
        <f>C45</f>
        <v>13725.998104800001</v>
      </c>
      <c r="D47" s="93">
        <f>D45</f>
        <v>12035.5236516</v>
      </c>
      <c r="E47" s="10">
        <f t="shared" si="1"/>
        <v>0.14045707541568153</v>
      </c>
      <c r="M47" s="93">
        <f>M45</f>
        <v>827.82070206666663</v>
      </c>
      <c r="N47" s="93">
        <f t="shared" ref="N47:X47" si="22">N45</f>
        <v>1114.0814520666668</v>
      </c>
      <c r="O47" s="93">
        <f t="shared" si="22"/>
        <v>1189.4973720666667</v>
      </c>
      <c r="P47" s="93">
        <f t="shared" si="22"/>
        <v>990.46874706666677</v>
      </c>
      <c r="Q47" s="93">
        <f t="shared" si="22"/>
        <v>1215.3866220666666</v>
      </c>
      <c r="R47" s="93">
        <f t="shared" si="22"/>
        <v>1102.2129520666667</v>
      </c>
      <c r="S47" s="93">
        <f t="shared" si="22"/>
        <v>993.16945206666651</v>
      </c>
      <c r="T47" s="93">
        <f t="shared" si="22"/>
        <v>1023.2139870666667</v>
      </c>
      <c r="U47" s="93">
        <f t="shared" si="22"/>
        <v>1315.8979970666667</v>
      </c>
      <c r="V47" s="93">
        <f t="shared" si="22"/>
        <v>1458.4102920666667</v>
      </c>
      <c r="W47" s="93">
        <f>W45+1</f>
        <v>1389.2687470666665</v>
      </c>
      <c r="X47" s="93">
        <f t="shared" si="22"/>
        <v>1106.3697820666666</v>
      </c>
    </row>
    <row r="48" spans="2:24">
      <c r="B48" t="s">
        <v>157</v>
      </c>
      <c r="C48" s="91">
        <f>COGS!H43+60</f>
        <v>-2591.1028262000004</v>
      </c>
      <c r="D48" s="91">
        <f>'2025A'!C48</f>
        <v>-2166.3942572880001</v>
      </c>
      <c r="E48" s="10">
        <f t="shared" si="1"/>
        <v>0.19604398759977859</v>
      </c>
      <c r="M48" s="91">
        <f>COGS!N43+60*M$47/$C$47</f>
        <v>-141.16278935405424</v>
      </c>
      <c r="N48" s="91">
        <f>COGS!O43+60*N47/$C47</f>
        <v>-214.60557973752316</v>
      </c>
      <c r="O48" s="91">
        <f>COGS!P43+60*O47/$C47</f>
        <v>-211.96915462920484</v>
      </c>
      <c r="P48" s="91">
        <f>COGS!Q43+60*P47/$C47</f>
        <v>-170.40986810263755</v>
      </c>
      <c r="Q48" s="91">
        <f>COGS!R43+60*Q47/$C47</f>
        <v>-236.414373309849</v>
      </c>
      <c r="R48" s="91">
        <f>COGS!S43+60*R47/$C47</f>
        <v>-207.62426011770117</v>
      </c>
      <c r="S48" s="91">
        <f>COGS!T43+60*S47/$C47</f>
        <v>-168.61646835049754</v>
      </c>
      <c r="T48" s="91">
        <f>COGS!U43+60*T47/$C47</f>
        <v>-202.10596592171993</v>
      </c>
      <c r="U48" s="91">
        <f>COGS!V43+60*U47/$C47</f>
        <v>-261.4746425219152</v>
      </c>
      <c r="V48" s="91">
        <f>COGS!W43+60*V47/$C47</f>
        <v>-285.69937750624189</v>
      </c>
      <c r="W48" s="91">
        <f>COGS!X43+60*W47/$C47-1</f>
        <v>-275.45660689734626</v>
      </c>
      <c r="X48" s="91">
        <f>COGS!Y43+60*X47/$C47</f>
        <v>-215.4446140046721</v>
      </c>
    </row>
    <row r="49" spans="2:24" ht="6" customHeight="1">
      <c r="B49" s="49"/>
      <c r="C49" s="3"/>
      <c r="D49" s="3"/>
      <c r="E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2:24">
      <c r="B50" s="65" t="s">
        <v>158</v>
      </c>
      <c r="C50" s="121">
        <f>SUM(C47:C48)</f>
        <v>11134.895278600001</v>
      </c>
      <c r="D50" s="121">
        <f>SUM(D47:D48)</f>
        <v>9869.1293943119999</v>
      </c>
      <c r="E50" s="11">
        <f t="shared" si="1"/>
        <v>0.12825507030209948</v>
      </c>
      <c r="M50" s="121">
        <f>SUM(M47:M48)</f>
        <v>686.65791271261241</v>
      </c>
      <c r="N50" s="121">
        <f t="shared" ref="N50:X50" si="23">SUM(N47:N48)</f>
        <v>899.47587232914361</v>
      </c>
      <c r="O50" s="121">
        <f t="shared" si="23"/>
        <v>977.52821743746188</v>
      </c>
      <c r="P50" s="121">
        <f t="shared" si="23"/>
        <v>820.05887896402919</v>
      </c>
      <c r="Q50" s="121">
        <f t="shared" si="23"/>
        <v>978.97224875681763</v>
      </c>
      <c r="R50" s="121">
        <f t="shared" si="23"/>
        <v>894.58869194896556</v>
      </c>
      <c r="S50" s="121">
        <f t="shared" si="23"/>
        <v>824.55298371616891</v>
      </c>
      <c r="T50" s="121">
        <f t="shared" si="23"/>
        <v>821.10802114494686</v>
      </c>
      <c r="U50" s="121">
        <f t="shared" si="23"/>
        <v>1054.4233545447514</v>
      </c>
      <c r="V50" s="121">
        <f t="shared" si="23"/>
        <v>1172.7109145604247</v>
      </c>
      <c r="W50" s="121">
        <f t="shared" si="23"/>
        <v>1113.8121401693202</v>
      </c>
      <c r="X50" s="121">
        <f t="shared" si="23"/>
        <v>890.92516806199455</v>
      </c>
    </row>
    <row r="51" spans="2:24">
      <c r="B51" s="66" t="s">
        <v>160</v>
      </c>
      <c r="C51" s="67">
        <f>C50/C$47</f>
        <v>0.81122663675045326</v>
      </c>
      <c r="D51" s="67">
        <f>D50/D$47</f>
        <v>0.82</v>
      </c>
      <c r="E51" s="67"/>
      <c r="M51" s="67">
        <f>M50/M$47</f>
        <v>0.82947661371400927</v>
      </c>
      <c r="N51" s="67">
        <f t="shared" ref="N51:X51" si="24">N50/N$47</f>
        <v>0.80736993750374264</v>
      </c>
      <c r="O51" s="67">
        <f t="shared" si="24"/>
        <v>0.82179939224167975</v>
      </c>
      <c r="P51" s="67">
        <f t="shared" si="24"/>
        <v>0.82795028252298042</v>
      </c>
      <c r="Q51" s="67">
        <f t="shared" si="24"/>
        <v>0.80548216590713706</v>
      </c>
      <c r="R51" s="67">
        <f t="shared" si="24"/>
        <v>0.8116296313444672</v>
      </c>
      <c r="S51" s="67">
        <f t="shared" si="24"/>
        <v>0.83022386763947786</v>
      </c>
      <c r="T51" s="67">
        <f t="shared" si="24"/>
        <v>0.80247927757407422</v>
      </c>
      <c r="U51" s="67">
        <f t="shared" si="24"/>
        <v>0.80129566037429856</v>
      </c>
      <c r="V51" s="67">
        <f t="shared" si="24"/>
        <v>0.80410219328513755</v>
      </c>
      <c r="W51" s="67">
        <f t="shared" si="24"/>
        <v>0.80172547069891864</v>
      </c>
      <c r="X51" s="67">
        <f t="shared" si="24"/>
        <v>0.80526889156152859</v>
      </c>
    </row>
    <row r="52" spans="2:24" ht="6" customHeight="1">
      <c r="B52" s="49"/>
      <c r="C52" s="3"/>
      <c r="D52" s="3"/>
      <c r="E52" s="10"/>
      <c r="M52" s="3"/>
    </row>
    <row r="53" spans="2:24">
      <c r="B53" t="s">
        <v>162</v>
      </c>
      <c r="C53" s="91">
        <f>'Other COS'!K44+25</f>
        <v>-269.948312096</v>
      </c>
      <c r="D53" s="91">
        <f>'2025A'!C53</f>
        <v>-248</v>
      </c>
      <c r="E53" s="10">
        <f t="shared" si="1"/>
        <v>8.8501258451612941E-2</v>
      </c>
      <c r="M53" s="91">
        <f>'Other COS'!V44+25*M$47/$C$47</f>
        <v>-16.756479056911484</v>
      </c>
      <c r="N53" s="91">
        <f>'Other COS'!W44+25*N$47/$C$47</f>
        <v>-21.515452341690196</v>
      </c>
      <c r="O53" s="91">
        <f>'Other COS'!X44+25*O$47/$C$47</f>
        <v>-22.211237113224222</v>
      </c>
      <c r="P53" s="91">
        <f>'Other COS'!Y44+25*P$47/$C$47</f>
        <v>-18.811203872987857</v>
      </c>
      <c r="Q53" s="91">
        <f>'Other COS'!Z44+25*Q$47/$C$47</f>
        <v>-23.185725938492645</v>
      </c>
      <c r="R53" s="91">
        <f>'Other COS'!AA44+25*R$47/$C$47</f>
        <v>-21.156989166764379</v>
      </c>
      <c r="S53" s="91">
        <f>'Other COS'!AB44+25*S$47/$C$47</f>
        <v>-21.092516763762859</v>
      </c>
      <c r="T53" s="91">
        <f>'Other COS'!AC44+25*T$47/$C$47</f>
        <v>-20.718559764272175</v>
      </c>
      <c r="U53" s="91">
        <f>'Other COS'!AD44+25*U$47/$C$47</f>
        <v>-26.412417172686911</v>
      </c>
      <c r="V53" s="91">
        <f>'Other COS'!AE44+25*V$47/$C$47</f>
        <v>-28.386458961989675</v>
      </c>
      <c r="W53" s="91">
        <f>'Other COS'!AF44+25*W$47/$C$47+1</f>
        <v>-26.440845037449812</v>
      </c>
      <c r="X53" s="91">
        <f>'Other COS'!AG44+25*X$47/$C$47</f>
        <v>-22.846791178002267</v>
      </c>
    </row>
    <row r="54" spans="2:24">
      <c r="B54" t="s">
        <v>163</v>
      </c>
      <c r="C54" s="91">
        <f>'Other COS'!P44+15</f>
        <v>-180.93937499999998</v>
      </c>
      <c r="D54" s="91">
        <f>'2025A'!C54</f>
        <v>-125.73333333333301</v>
      </c>
      <c r="E54" s="10">
        <f t="shared" si="1"/>
        <v>0.43907244167550741</v>
      </c>
      <c r="M54" s="91">
        <f>'Other COS'!AI44+15*M$47/$C$47</f>
        <v>-11.596599959346889</v>
      </c>
      <c r="N54" s="91">
        <f>'Other COS'!AJ44+15*N$47/$C$47</f>
        <v>-13.937163180214121</v>
      </c>
      <c r="O54" s="91">
        <f>'Other COS'!AK44+15*O$47/$C$47</f>
        <v>-17.426534903134531</v>
      </c>
      <c r="P54" s="91">
        <f>'Other COS'!AL44+15*P$47/$C$47</f>
        <v>-14.965196083992719</v>
      </c>
      <c r="Q54" s="91">
        <f>'Other COS'!AM44+15*Q$47/$C$47</f>
        <v>-15.612348948295587</v>
      </c>
      <c r="R54" s="91">
        <f>'Other COS'!AN44+15*R$47/$C$47</f>
        <v>-14.817633275258626</v>
      </c>
      <c r="S54" s="91">
        <f>'Other COS'!AO44+15*S$47/$C$47</f>
        <v>-14.936797833457714</v>
      </c>
      <c r="T54" s="91">
        <f>'Other COS'!AP44+15*T$47/$C$47</f>
        <v>-12.225124038763308</v>
      </c>
      <c r="U54" s="91">
        <f>'Other COS'!AQ44+15*U$47/$C$47</f>
        <v>-17.262955313812142</v>
      </c>
      <c r="V54" s="91">
        <f>'Other COS'!AR44+15*V$47/$C$47</f>
        <v>-18.867662372393809</v>
      </c>
      <c r="W54" s="91">
        <f>'Other COS'!AS44+15*W$47/$C$47</f>
        <v>-16.264380782669889</v>
      </c>
      <c r="X54" s="91">
        <f>'Other COS'!AT44+15*X$47/$C$47</f>
        <v>-13.027196872001362</v>
      </c>
    </row>
    <row r="55" spans="2:24" ht="6" customHeight="1">
      <c r="B55" s="49"/>
      <c r="C55" s="3"/>
      <c r="D55" s="3"/>
      <c r="E55" s="1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2:24">
      <c r="B56" s="65" t="s">
        <v>166</v>
      </c>
      <c r="C56" s="121">
        <f>SUM(C50,C53:C54)</f>
        <v>10684.007591504002</v>
      </c>
      <c r="D56" s="121">
        <f>SUM(D50,D53:D54)</f>
        <v>9495.3960609786664</v>
      </c>
      <c r="E56" s="11">
        <f t="shared" si="1"/>
        <v>0.12517766746033221</v>
      </c>
      <c r="M56" s="121">
        <f>SUM(M50,M53:M54)</f>
        <v>658.30483369635397</v>
      </c>
      <c r="N56" s="121">
        <f t="shared" ref="N56:X56" si="25">SUM(N50,N53:N54)</f>
        <v>864.02325680723925</v>
      </c>
      <c r="O56" s="121">
        <f t="shared" si="25"/>
        <v>937.8904454211031</v>
      </c>
      <c r="P56" s="121">
        <f t="shared" si="25"/>
        <v>786.28247900704855</v>
      </c>
      <c r="Q56" s="121">
        <f t="shared" si="25"/>
        <v>940.17417387002945</v>
      </c>
      <c r="R56" s="121">
        <f t="shared" si="25"/>
        <v>858.61406950694266</v>
      </c>
      <c r="S56" s="121">
        <f t="shared" si="25"/>
        <v>788.52366911894831</v>
      </c>
      <c r="T56" s="121">
        <f t="shared" si="25"/>
        <v>788.16433734191139</v>
      </c>
      <c r="U56" s="121">
        <f t="shared" si="25"/>
        <v>1010.7479820582523</v>
      </c>
      <c r="V56" s="121">
        <f t="shared" si="25"/>
        <v>1125.4567932260411</v>
      </c>
      <c r="W56" s="121">
        <f t="shared" si="25"/>
        <v>1071.1069143492005</v>
      </c>
      <c r="X56" s="121">
        <f t="shared" si="25"/>
        <v>855.05118001199094</v>
      </c>
    </row>
    <row r="57" spans="2:24">
      <c r="B57" s="66" t="s">
        <v>167</v>
      </c>
      <c r="C57" s="67">
        <f>C56/C$47</f>
        <v>0.77837746369553917</v>
      </c>
      <c r="D57" s="67">
        <f>D56/D$47</f>
        <v>0.78894748046266772</v>
      </c>
      <c r="E57" s="67"/>
      <c r="M57" s="67">
        <f>M56/M$47</f>
        <v>0.79522634799164382</v>
      </c>
      <c r="N57" s="67">
        <f t="shared" ref="N57:X57" si="26">N56/N$47</f>
        <v>0.77554765426211947</v>
      </c>
      <c r="O57" s="67">
        <f t="shared" si="26"/>
        <v>0.78847626522418079</v>
      </c>
      <c r="P57" s="67">
        <f t="shared" si="26"/>
        <v>0.79384885321790488</v>
      </c>
      <c r="Q57" s="67">
        <f t="shared" si="26"/>
        <v>0.77355975193419468</v>
      </c>
      <c r="R57" s="67">
        <f t="shared" si="26"/>
        <v>0.77899109051207183</v>
      </c>
      <c r="S57" s="67">
        <f t="shared" si="26"/>
        <v>0.793946760523217</v>
      </c>
      <c r="T57" s="67">
        <f t="shared" si="26"/>
        <v>0.77028299779346077</v>
      </c>
      <c r="U57" s="67">
        <f t="shared" si="26"/>
        <v>0.76810511476676813</v>
      </c>
      <c r="V57" s="67">
        <f t="shared" si="26"/>
        <v>0.77170107708935065</v>
      </c>
      <c r="W57" s="67">
        <f t="shared" si="26"/>
        <v>0.77098611525722427</v>
      </c>
      <c r="X57" s="67">
        <f t="shared" si="26"/>
        <v>0.77284393868276136</v>
      </c>
    </row>
    <row r="58" spans="2:24" ht="6" customHeight="1">
      <c r="B58" s="49"/>
      <c r="C58" s="3"/>
      <c r="D58" s="3"/>
      <c r="E58" s="10"/>
      <c r="M58" s="3"/>
    </row>
    <row r="59" spans="2:24">
      <c r="B59" t="s">
        <v>168</v>
      </c>
      <c r="C59" s="91">
        <f>-Base!O5/1000+50</f>
        <v>-861.64400000000001</v>
      </c>
      <c r="D59" s="91">
        <f>'2025A'!C59</f>
        <v>-629</v>
      </c>
      <c r="E59" s="10">
        <f t="shared" si="1"/>
        <v>0.3698632750397457</v>
      </c>
      <c r="M59" s="91">
        <f>$C59*Base!S5</f>
        <v>-56.424787320163112</v>
      </c>
      <c r="N59" s="91">
        <f>$C59*Base!T5</f>
        <v>-57.08557935742472</v>
      </c>
      <c r="O59" s="91">
        <f>$C59*Base!U5</f>
        <v>-112.18673265305925</v>
      </c>
      <c r="P59" s="91">
        <f>$C59*Base!V5</f>
        <v>-60.096731760848861</v>
      </c>
      <c r="Q59" s="91">
        <f>$C59*Base!W5</f>
        <v>-62.801387074816112</v>
      </c>
      <c r="R59" s="91">
        <f>$C59*Base!X5</f>
        <v>-107.99603674556688</v>
      </c>
      <c r="S59" s="91">
        <f>$C59*Base!Y5</f>
        <v>-61.613446346613181</v>
      </c>
      <c r="T59" s="91">
        <f>$C59*Base!Z5</f>
        <v>-59.62525791035349</v>
      </c>
      <c r="U59" s="91">
        <f>$C59*Base!AA5</f>
        <v>-83.379826443582772</v>
      </c>
      <c r="V59" s="91">
        <f>$C59*Base!AB5</f>
        <v>-67.245993475691989</v>
      </c>
      <c r="W59" s="91">
        <f>$C59*Base!AC5</f>
        <v>-71.164804777015718</v>
      </c>
      <c r="X59" s="91">
        <f>$C59*Base!AD5</f>
        <v>-62.023416134863851</v>
      </c>
    </row>
    <row r="60" spans="2:24">
      <c r="B60" t="s">
        <v>169</v>
      </c>
      <c r="C60" s="91">
        <f>-Base!O43/1000</f>
        <v>-299.04899999999998</v>
      </c>
      <c r="D60" s="91">
        <f>'2025A'!C60</f>
        <v>-222</v>
      </c>
      <c r="E60" s="10">
        <f t="shared" si="1"/>
        <v>0.3470675675675674</v>
      </c>
      <c r="M60" s="91">
        <f>($C60+50)/12</f>
        <v>-20.75408333333333</v>
      </c>
      <c r="N60" s="91">
        <f t="shared" ref="N60:X60" si="27">($C60+50)/12</f>
        <v>-20.75408333333333</v>
      </c>
      <c r="O60" s="91">
        <f>($C60+50)/12-50</f>
        <v>-70.754083333333327</v>
      </c>
      <c r="P60" s="91">
        <f t="shared" si="27"/>
        <v>-20.75408333333333</v>
      </c>
      <c r="Q60" s="91">
        <f t="shared" si="27"/>
        <v>-20.75408333333333</v>
      </c>
      <c r="R60" s="91">
        <f t="shared" si="27"/>
        <v>-20.75408333333333</v>
      </c>
      <c r="S60" s="91">
        <f t="shared" si="27"/>
        <v>-20.75408333333333</v>
      </c>
      <c r="T60" s="91">
        <f t="shared" si="27"/>
        <v>-20.75408333333333</v>
      </c>
      <c r="U60" s="91">
        <f t="shared" si="27"/>
        <v>-20.75408333333333</v>
      </c>
      <c r="V60" s="91">
        <f t="shared" si="27"/>
        <v>-20.75408333333333</v>
      </c>
      <c r="W60" s="91">
        <f t="shared" si="27"/>
        <v>-20.75408333333333</v>
      </c>
      <c r="X60" s="91">
        <f t="shared" si="27"/>
        <v>-20.75408333333333</v>
      </c>
    </row>
    <row r="61" spans="2:24" ht="6" customHeight="1">
      <c r="B61" s="49"/>
      <c r="C61" s="3"/>
      <c r="D61" s="3"/>
      <c r="E61" s="10"/>
      <c r="M61" s="3"/>
    </row>
    <row r="62" spans="2:24">
      <c r="B62" s="65" t="s">
        <v>170</v>
      </c>
      <c r="C62" s="121">
        <f>SUM(C56,C59:C60)</f>
        <v>9523.3145915040004</v>
      </c>
      <c r="D62" s="121">
        <f>SUM(D56,D59:D60)</f>
        <v>8644.3960609786664</v>
      </c>
      <c r="E62" s="11">
        <f t="shared" si="1"/>
        <v>0.101674949218584</v>
      </c>
      <c r="M62" s="121">
        <f>SUM(M56,M59:M60)</f>
        <v>581.12596304285751</v>
      </c>
      <c r="N62" s="121">
        <f t="shared" ref="N62:X62" si="28">SUM(N56,N59:N60)</f>
        <v>786.18359411648112</v>
      </c>
      <c r="O62" s="121">
        <f t="shared" si="28"/>
        <v>754.94962943471046</v>
      </c>
      <c r="P62" s="121">
        <f t="shared" si="28"/>
        <v>705.43166391286627</v>
      </c>
      <c r="Q62" s="121">
        <f t="shared" si="28"/>
        <v>856.61870346187993</v>
      </c>
      <c r="R62" s="121">
        <f t="shared" si="28"/>
        <v>729.86394942804236</v>
      </c>
      <c r="S62" s="121">
        <f t="shared" si="28"/>
        <v>706.15613943900178</v>
      </c>
      <c r="T62" s="121">
        <f t="shared" si="28"/>
        <v>707.7849960982245</v>
      </c>
      <c r="U62" s="121">
        <f t="shared" si="28"/>
        <v>906.61407228133623</v>
      </c>
      <c r="V62" s="121">
        <f t="shared" si="28"/>
        <v>1037.4567164170157</v>
      </c>
      <c r="W62" s="121">
        <f t="shared" si="28"/>
        <v>979.18802623885142</v>
      </c>
      <c r="X62" s="121">
        <f t="shared" si="28"/>
        <v>772.27368054379372</v>
      </c>
    </row>
    <row r="63" spans="2:24">
      <c r="B63" s="66" t="s">
        <v>171</v>
      </c>
      <c r="C63" s="67">
        <f>C62/C$47</f>
        <v>0.69381581716623464</v>
      </c>
      <c r="D63" s="67">
        <f>D62/D$47</f>
        <v>0.71824012907236334</v>
      </c>
      <c r="E63" s="67"/>
      <c r="M63" s="67">
        <f>M62/M$47</f>
        <v>0.70199496290932073</v>
      </c>
      <c r="N63" s="67">
        <f t="shared" ref="N63:X63" si="29">N62/N$47</f>
        <v>0.70567873889119892</v>
      </c>
      <c r="O63" s="67">
        <f t="shared" si="29"/>
        <v>0.63467952696947905</v>
      </c>
      <c r="P63" s="67">
        <f t="shared" si="29"/>
        <v>0.71222001300096027</v>
      </c>
      <c r="Q63" s="67">
        <f t="shared" si="29"/>
        <v>0.70481169358707363</v>
      </c>
      <c r="R63" s="67">
        <f t="shared" si="29"/>
        <v>0.66218052333674349</v>
      </c>
      <c r="S63" s="67">
        <f t="shared" si="29"/>
        <v>0.71101274608232823</v>
      </c>
      <c r="T63" s="67">
        <f t="shared" si="29"/>
        <v>0.69172724869339508</v>
      </c>
      <c r="U63" s="67">
        <f t="shared" si="29"/>
        <v>0.68896987023486211</v>
      </c>
      <c r="V63" s="67">
        <f t="shared" si="29"/>
        <v>0.71136135150751645</v>
      </c>
      <c r="W63" s="67">
        <f t="shared" si="29"/>
        <v>0.70482261139634161</v>
      </c>
      <c r="X63" s="67">
        <f t="shared" si="29"/>
        <v>0.69802492174109176</v>
      </c>
    </row>
    <row r="64" spans="2:24" ht="6" customHeight="1">
      <c r="B64" s="49"/>
      <c r="C64" s="3"/>
      <c r="D64" s="3"/>
      <c r="E64" s="1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2:24">
      <c r="B65" t="s">
        <v>172</v>
      </c>
      <c r="C65" s="91">
        <f>-1286-1180-234-337-228-398-98-202-568-277-242-7+100-40</f>
        <v>-4997</v>
      </c>
      <c r="D65" s="91">
        <f>'2025A'!C65</f>
        <v>-4690.5624749999997</v>
      </c>
      <c r="E65" s="10">
        <f t="shared" si="1"/>
        <v>6.533065631963475E-2</v>
      </c>
      <c r="M65" s="91">
        <f>'Personnel Phasing'!E6</f>
        <v>-398.78490829698274</v>
      </c>
      <c r="N65" s="91">
        <f>'Personnel Phasing'!F6</f>
        <v>-408.89872925647956</v>
      </c>
      <c r="O65" s="91">
        <f>'Personnel Phasing'!G6</f>
        <v>-411.55839268368413</v>
      </c>
      <c r="P65" s="91">
        <f>'Personnel Phasing'!H6</f>
        <v>-404.92735764801631</v>
      </c>
      <c r="Q65" s="91">
        <f>'Personnel Phasing'!I6</f>
        <v>-411.49773863574217</v>
      </c>
      <c r="R65" s="91">
        <f>'Personnel Phasing'!J6</f>
        <v>-407.57384204881095</v>
      </c>
      <c r="S65" s="91">
        <f>'Personnel Phasing'!K6</f>
        <v>-433.92047049299782</v>
      </c>
      <c r="T65" s="91">
        <f>'Personnel Phasing'!L6</f>
        <v>-404.98568906162791</v>
      </c>
      <c r="U65" s="91">
        <f>'Personnel Phasing'!M6</f>
        <v>-409.22018046507111</v>
      </c>
      <c r="V65" s="91">
        <f>'Personnel Phasing'!N6</f>
        <v>-416.54200226342505</v>
      </c>
      <c r="W65" s="91">
        <f>'Personnel Phasing'!O6</f>
        <v>-414.43629563313016</v>
      </c>
      <c r="X65" s="91">
        <f>'Personnel Phasing'!P6</f>
        <v>-474.65439351403211</v>
      </c>
    </row>
    <row r="66" spans="2:24">
      <c r="B66" t="s">
        <v>173</v>
      </c>
      <c r="C66" s="91">
        <f>-Base!O24/1000+450</f>
        <v>-1620.8430699999999</v>
      </c>
      <c r="D66" s="91">
        <f>'2025A'!C66</f>
        <v>-1528.3859199999999</v>
      </c>
      <c r="E66" s="10">
        <f t="shared" si="1"/>
        <v>6.0493327496762062E-2</v>
      </c>
      <c r="M66" s="91">
        <f>$C66/13</f>
        <v>-124.68023615384615</v>
      </c>
      <c r="N66" s="91">
        <f>$C66/11.75</f>
        <v>-137.94409106382977</v>
      </c>
      <c r="O66" s="91">
        <f t="shared" ref="O66:W66" si="30">$C66/11.75</f>
        <v>-137.94409106382977</v>
      </c>
      <c r="P66" s="91">
        <f t="shared" si="30"/>
        <v>-137.94409106382977</v>
      </c>
      <c r="Q66" s="91">
        <f t="shared" si="30"/>
        <v>-137.94409106382977</v>
      </c>
      <c r="R66" s="91">
        <f t="shared" si="30"/>
        <v>-137.94409106382977</v>
      </c>
      <c r="S66" s="91">
        <f t="shared" si="30"/>
        <v>-137.94409106382977</v>
      </c>
      <c r="T66" s="91">
        <f t="shared" si="30"/>
        <v>-137.94409106382977</v>
      </c>
      <c r="U66" s="91">
        <f t="shared" si="30"/>
        <v>-137.94409106382977</v>
      </c>
      <c r="V66" s="91">
        <f t="shared" si="30"/>
        <v>-137.94409106382977</v>
      </c>
      <c r="W66" s="91">
        <f t="shared" si="30"/>
        <v>-137.94409106382977</v>
      </c>
      <c r="X66" s="91">
        <f>C66-SUM(M66:W66)</f>
        <v>-116.72192320785598</v>
      </c>
    </row>
    <row r="67" spans="2:24" ht="6" customHeight="1">
      <c r="B67" s="49"/>
      <c r="C67" s="3"/>
      <c r="D67" s="3"/>
      <c r="E67" s="1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>
      <c r="B68" s="65" t="s">
        <v>174</v>
      </c>
      <c r="C68" s="121">
        <f>SUM(C62,C65:C66)</f>
        <v>2905.4715215040005</v>
      </c>
      <c r="D68" s="121">
        <f>SUM(D62,D65:D66)</f>
        <v>2425.4476659786669</v>
      </c>
      <c r="E68" s="11">
        <f t="shared" si="1"/>
        <v>0.19791144631094082</v>
      </c>
      <c r="M68" s="121">
        <f>SUM(M62,M65:M66)</f>
        <v>57.660818592028619</v>
      </c>
      <c r="N68" s="121">
        <f t="shared" ref="N68:X68" si="31">SUM(N62,N65:N66)</f>
        <v>239.34077379617179</v>
      </c>
      <c r="O68" s="121">
        <f t="shared" si="31"/>
        <v>205.44714568719655</v>
      </c>
      <c r="P68" s="121">
        <f t="shared" si="31"/>
        <v>162.56021520102018</v>
      </c>
      <c r="Q68" s="121">
        <f t="shared" si="31"/>
        <v>307.17687376230799</v>
      </c>
      <c r="R68" s="121">
        <f t="shared" si="31"/>
        <v>184.34601631540164</v>
      </c>
      <c r="S68" s="121">
        <f t="shared" si="31"/>
        <v>134.29157788217418</v>
      </c>
      <c r="T68" s="121">
        <f t="shared" si="31"/>
        <v>164.85521597276681</v>
      </c>
      <c r="U68" s="121">
        <f t="shared" si="31"/>
        <v>359.44980075243535</v>
      </c>
      <c r="V68" s="121">
        <f t="shared" si="31"/>
        <v>482.97062308976092</v>
      </c>
      <c r="W68" s="121">
        <f t="shared" si="31"/>
        <v>426.80763954189149</v>
      </c>
      <c r="X68" s="121">
        <f t="shared" si="31"/>
        <v>180.89736382190563</v>
      </c>
    </row>
    <row r="69" spans="2:24">
      <c r="B69" s="66" t="s">
        <v>175</v>
      </c>
      <c r="C69" s="67">
        <f>C68/C$47</f>
        <v>0.2116765206668616</v>
      </c>
      <c r="D69" s="67">
        <f>D68/D$47</f>
        <v>0.2015240662716182</v>
      </c>
      <c r="E69" s="67"/>
      <c r="M69" s="67">
        <f>M68/M$47</f>
        <v>6.9653752857445503E-2</v>
      </c>
      <c r="N69" s="67">
        <f t="shared" ref="N69:X69" si="32">N68/N$47</f>
        <v>0.21483238353190859</v>
      </c>
      <c r="O69" s="67">
        <f t="shared" si="32"/>
        <v>0.17271761208706735</v>
      </c>
      <c r="P69" s="67">
        <f t="shared" si="32"/>
        <v>0.16412452758600624</v>
      </c>
      <c r="Q69" s="67">
        <f t="shared" si="32"/>
        <v>0.25274004846291509</v>
      </c>
      <c r="R69" s="67">
        <f t="shared" si="32"/>
        <v>0.16725081661374958</v>
      </c>
      <c r="S69" s="67">
        <f t="shared" si="32"/>
        <v>0.13521517159305446</v>
      </c>
      <c r="T69" s="67">
        <f t="shared" si="32"/>
        <v>0.16111509230378201</v>
      </c>
      <c r="U69" s="67">
        <f t="shared" si="32"/>
        <v>0.27315931900018292</v>
      </c>
      <c r="V69" s="67">
        <f t="shared" si="32"/>
        <v>0.33116237983027302</v>
      </c>
      <c r="W69" s="67">
        <f t="shared" si="32"/>
        <v>0.30721747713900771</v>
      </c>
      <c r="X69" s="67">
        <f t="shared" si="32"/>
        <v>0.16350533678169935</v>
      </c>
    </row>
    <row r="70" spans="2:24" ht="6" customHeight="1">
      <c r="B70" s="49"/>
      <c r="C70" s="3"/>
      <c r="D70" s="3"/>
      <c r="E70" s="1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2:24">
      <c r="B71" t="s">
        <v>176</v>
      </c>
      <c r="C71" s="91">
        <f>-Base!O18/1000</f>
        <v>-741.32</v>
      </c>
      <c r="D71" s="91">
        <f>'2025A'!C71</f>
        <v>-1130</v>
      </c>
      <c r="E71" s="10">
        <f t="shared" ref="E71:E73" si="33">C71/D71-1</f>
        <v>-0.3439646017699115</v>
      </c>
      <c r="M71" s="91">
        <f>-Base!S18/1000</f>
        <v>-39.276666666666664</v>
      </c>
      <c r="N71" s="91">
        <f>-Base!T18/1000</f>
        <v>-39.276666666666664</v>
      </c>
      <c r="O71" s="91">
        <f>-Base!U18/1000</f>
        <v>-114.27666666666667</v>
      </c>
      <c r="P71" s="91">
        <f>-Base!V18/1000</f>
        <v>-39.276666666666664</v>
      </c>
      <c r="Q71" s="91">
        <f>-Base!W18/1000</f>
        <v>-79.276666666666671</v>
      </c>
      <c r="R71" s="91">
        <f>-Base!X18/1000</f>
        <v>-114.27666666666667</v>
      </c>
      <c r="S71" s="91">
        <f>-Base!Y18/1000</f>
        <v>-119.27666666666667</v>
      </c>
      <c r="T71" s="91">
        <f>-Base!Z18/1000</f>
        <v>-39.276666666666664</v>
      </c>
      <c r="U71" s="91">
        <f>-Base!AA18/1000</f>
        <v>-39.276666666666664</v>
      </c>
      <c r="V71" s="91">
        <f>-Base!AB18/1000</f>
        <v>-39.276666666666664</v>
      </c>
      <c r="W71" s="91">
        <f>-Base!AC18/1000</f>
        <v>-39.276666666666664</v>
      </c>
      <c r="X71" s="91">
        <f>-Base!AD18/1000</f>
        <v>-39.276666666666664</v>
      </c>
    </row>
    <row r="72" spans="2:24" ht="6" customHeight="1">
      <c r="B72" s="49"/>
      <c r="C72" s="3"/>
      <c r="D72" s="3"/>
      <c r="E72" s="1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2:24">
      <c r="B73" s="65" t="s">
        <v>177</v>
      </c>
      <c r="C73" s="121">
        <f>SUM(C68,C71)</f>
        <v>2164.1515215040004</v>
      </c>
      <c r="D73" s="121">
        <f>SUM(D68,D71)</f>
        <v>1295.4476659786669</v>
      </c>
      <c r="E73" s="11">
        <f t="shared" si="33"/>
        <v>0.67058197589869994</v>
      </c>
      <c r="M73" s="121">
        <f>SUM(M68,M71)</f>
        <v>18.384151925361955</v>
      </c>
      <c r="N73" s="121">
        <f t="shared" ref="N73:X73" si="34">SUM(N68,N71)</f>
        <v>200.06410712950512</v>
      </c>
      <c r="O73" s="121">
        <f t="shared" si="34"/>
        <v>91.170479020529882</v>
      </c>
      <c r="P73" s="121">
        <f t="shared" si="34"/>
        <v>123.28354853435351</v>
      </c>
      <c r="Q73" s="121">
        <f t="shared" si="34"/>
        <v>227.90020709564132</v>
      </c>
      <c r="R73" s="121">
        <f t="shared" si="34"/>
        <v>70.069349648734971</v>
      </c>
      <c r="S73" s="121">
        <f t="shared" si="34"/>
        <v>15.01491121550751</v>
      </c>
      <c r="T73" s="121">
        <f t="shared" si="34"/>
        <v>125.57854930610014</v>
      </c>
      <c r="U73" s="121">
        <f t="shared" si="34"/>
        <v>320.17313408576871</v>
      </c>
      <c r="V73" s="121">
        <f t="shared" si="34"/>
        <v>443.69395642309428</v>
      </c>
      <c r="W73" s="121">
        <f t="shared" si="34"/>
        <v>387.53097287522485</v>
      </c>
      <c r="X73" s="121">
        <f t="shared" si="34"/>
        <v>141.62069715523896</v>
      </c>
    </row>
    <row r="74" spans="2:24">
      <c r="B74" s="66" t="s">
        <v>178</v>
      </c>
      <c r="C74" s="67">
        <f>C73/C$47</f>
        <v>0.15766806209503945</v>
      </c>
      <c r="D74" s="67">
        <f>D73/D$47</f>
        <v>0.10763533880858191</v>
      </c>
      <c r="E74" s="67"/>
      <c r="M74" s="67">
        <f>M73/M$47</f>
        <v>2.2207891007636857E-2</v>
      </c>
      <c r="N74" s="67">
        <f t="shared" ref="N74:X74" si="35">N73/N$47</f>
        <v>0.17957763030555621</v>
      </c>
      <c r="O74" s="67">
        <f t="shared" si="35"/>
        <v>7.6646221472627285E-2</v>
      </c>
      <c r="P74" s="67">
        <f t="shared" si="35"/>
        <v>0.12446990265918557</v>
      </c>
      <c r="Q74" s="67">
        <f t="shared" si="35"/>
        <v>0.18751251902716803</v>
      </c>
      <c r="R74" s="67">
        <f t="shared" si="35"/>
        <v>6.3571517207590272E-2</v>
      </c>
      <c r="S74" s="67">
        <f t="shared" si="35"/>
        <v>1.5118176645750915E-2</v>
      </c>
      <c r="T74" s="67">
        <f t="shared" si="35"/>
        <v>0.12272950809254152</v>
      </c>
      <c r="U74" s="67">
        <f t="shared" si="35"/>
        <v>0.24331151411392257</v>
      </c>
      <c r="V74" s="67">
        <f t="shared" si="35"/>
        <v>0.30423122960435894</v>
      </c>
      <c r="W74" s="67">
        <f t="shared" si="35"/>
        <v>0.27894600932574531</v>
      </c>
      <c r="X74" s="67">
        <f t="shared" si="35"/>
        <v>0.12800484923828595</v>
      </c>
    </row>
  </sheetData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EA09-F140-4013-9DD6-750F48F2B160}">
  <sheetPr>
    <tabColor rgb="FF92D050"/>
  </sheetPr>
  <dimension ref="B2:H74"/>
  <sheetViews>
    <sheetView showGridLines="0" topLeftCell="A45" workbookViewId="0">
      <selection activeCell="E68" sqref="E68"/>
    </sheetView>
  </sheetViews>
  <sheetFormatPr defaultColWidth="8.85546875" defaultRowHeight="15" outlineLevelRow="2"/>
  <cols>
    <col min="2" max="2" width="42.42578125" customWidth="1"/>
    <col min="3" max="8" width="11.42578125" customWidth="1"/>
  </cols>
  <sheetData>
    <row r="2" spans="2:8">
      <c r="B2" s="74"/>
      <c r="C2" s="74" t="s">
        <v>270</v>
      </c>
      <c r="D2" s="74" t="s">
        <v>270</v>
      </c>
      <c r="E2" s="74" t="s">
        <v>270</v>
      </c>
      <c r="F2" s="74" t="s">
        <v>270</v>
      </c>
      <c r="G2" s="74" t="s">
        <v>270</v>
      </c>
      <c r="H2" s="74" t="s">
        <v>278</v>
      </c>
    </row>
    <row r="3" spans="2:8">
      <c r="B3" s="68" t="s">
        <v>221</v>
      </c>
      <c r="C3" s="74" t="s">
        <v>273</v>
      </c>
      <c r="D3" s="74" t="s">
        <v>257</v>
      </c>
      <c r="E3" s="74" t="s">
        <v>275</v>
      </c>
      <c r="F3" s="74" t="s">
        <v>279</v>
      </c>
      <c r="G3" s="74" t="s">
        <v>280</v>
      </c>
      <c r="H3" s="74" t="s">
        <v>281</v>
      </c>
    </row>
    <row r="4" spans="2:8" ht="6" customHeight="1" outlineLevel="2">
      <c r="B4" s="49"/>
      <c r="C4" s="63"/>
      <c r="D4" s="63"/>
      <c r="E4" s="63"/>
      <c r="F4" s="63"/>
      <c r="G4" s="63"/>
      <c r="H4" s="87"/>
    </row>
    <row r="5" spans="2:8" outlineLevel="2">
      <c r="B5" s="45" t="s">
        <v>228</v>
      </c>
      <c r="C5" s="46">
        <f>'2025A'!F5</f>
        <v>4327.2666800000006</v>
      </c>
      <c r="D5" s="46">
        <f>'2025A'!C5</f>
        <v>4530.8243099999991</v>
      </c>
      <c r="E5" s="46">
        <f>'2026B'!C5</f>
        <v>4698.95</v>
      </c>
      <c r="F5" s="46">
        <f>'Sales Budget Summary'!G4</f>
        <v>4933.8975</v>
      </c>
      <c r="G5" s="46">
        <f>'Sales Budget Summary'!H4</f>
        <v>5131.2534000000005</v>
      </c>
      <c r="H5" s="90">
        <f>IFERROR(_xlfn.RRI(3,D5,G5), "N/A")</f>
        <v>4.2354422581478701E-2</v>
      </c>
    </row>
    <row r="6" spans="2:8" outlineLevel="2">
      <c r="B6" s="45" t="s">
        <v>229</v>
      </c>
      <c r="C6" s="46">
        <f>'2025A'!F6</f>
        <v>1811.1542800000002</v>
      </c>
      <c r="D6" s="46">
        <f>'2025A'!C6</f>
        <v>1906.7439800000002</v>
      </c>
      <c r="E6" s="46">
        <f>'2026B'!C6</f>
        <v>1912.9</v>
      </c>
      <c r="F6" s="46">
        <f>'Sales Budget Summary'!G5</f>
        <v>2008.5450000000001</v>
      </c>
      <c r="G6" s="46">
        <f>'Sales Budget Summary'!H5</f>
        <v>2088.8868000000002</v>
      </c>
      <c r="H6" s="90">
        <f t="shared" ref="H6:H11" si="0">IFERROR(_xlfn.RRI(3,D6,G6), "N/A")</f>
        <v>3.0878559663043426E-2</v>
      </c>
    </row>
    <row r="7" spans="2:8" outlineLevel="2">
      <c r="B7" s="45" t="s">
        <v>230</v>
      </c>
      <c r="C7" s="46">
        <f>'2025A'!F7</f>
        <v>723.30100698414697</v>
      </c>
      <c r="D7" s="46">
        <f>'2025A'!C7</f>
        <v>641.74332000000004</v>
      </c>
      <c r="E7" s="46">
        <f>'2026B'!C7</f>
        <v>771.75</v>
      </c>
      <c r="F7" s="46">
        <f>'Sales Budget Summary'!G6</f>
        <v>833.49</v>
      </c>
      <c r="G7" s="46">
        <f>'Sales Budget Summary'!H6</f>
        <v>891.8343000000001</v>
      </c>
      <c r="H7" s="90">
        <f t="shared" si="0"/>
        <v>0.11594023996955505</v>
      </c>
    </row>
    <row r="8" spans="2:8" outlineLevel="2">
      <c r="B8" s="45" t="s">
        <v>231</v>
      </c>
      <c r="C8" s="46">
        <f>'2025A'!F8</f>
        <v>87.682839999999999</v>
      </c>
      <c r="D8" s="46">
        <f>'2025A'!C8</f>
        <v>145.07323</v>
      </c>
      <c r="E8" s="46">
        <f>'2026B'!C8</f>
        <v>227.5</v>
      </c>
      <c r="F8" s="46">
        <f>'Sales Budget Summary'!G7</f>
        <v>318.5</v>
      </c>
      <c r="G8" s="46">
        <f>'Sales Budget Summary'!H7</f>
        <v>414.05</v>
      </c>
      <c r="H8" s="90">
        <f t="shared" si="0"/>
        <v>0.41847549054746258</v>
      </c>
    </row>
    <row r="9" spans="2:8" outlineLevel="2">
      <c r="B9" s="45" t="s">
        <v>232</v>
      </c>
      <c r="C9" s="46">
        <f>'2025A'!F9</f>
        <v>36.581779999999995</v>
      </c>
      <c r="D9" s="46">
        <f>'2025A'!C9</f>
        <v>42.081430000000005</v>
      </c>
      <c r="E9" s="46">
        <f>'2026B'!C9</f>
        <v>158.97499999999999</v>
      </c>
      <c r="F9" s="46">
        <f>'Sales Budget Summary'!G8</f>
        <v>286.15499999999997</v>
      </c>
      <c r="G9" s="46">
        <f>'Sales Budget Summary'!H8</f>
        <v>457.84799999999996</v>
      </c>
      <c r="H9" s="90">
        <f t="shared" si="0"/>
        <v>1.2158665963130328</v>
      </c>
    </row>
    <row r="10" spans="2:8" outlineLevel="2">
      <c r="B10" s="45" t="s">
        <v>233</v>
      </c>
      <c r="C10" s="46">
        <f>'2025A'!F10</f>
        <v>0</v>
      </c>
      <c r="D10" s="46">
        <f>'2025A'!C10</f>
        <v>8.8706399999999999</v>
      </c>
      <c r="E10" s="46">
        <f>'2026B'!C10</f>
        <v>67.5</v>
      </c>
      <c r="F10" s="46">
        <f>'Sales Budget Summary'!G9</f>
        <v>135</v>
      </c>
      <c r="G10" s="46">
        <f>'Sales Budget Summary'!H9</f>
        <v>243</v>
      </c>
      <c r="H10" s="90">
        <f t="shared" si="0"/>
        <v>2.0145126201846448</v>
      </c>
    </row>
    <row r="11" spans="2:8" outlineLevel="2">
      <c r="B11" s="47" t="s">
        <v>31</v>
      </c>
      <c r="C11" s="48">
        <f>SUM(C5:C10)</f>
        <v>6985.9865869841487</v>
      </c>
      <c r="D11" s="48">
        <f>SUM(D5:D10)</f>
        <v>7275.3369099999991</v>
      </c>
      <c r="E11" s="48">
        <f t="shared" ref="E11:G11" si="1">SUM(E5:E10)</f>
        <v>7837.5750000000007</v>
      </c>
      <c r="F11" s="48">
        <f t="shared" si="1"/>
        <v>8515.5874999999996</v>
      </c>
      <c r="G11" s="48">
        <f t="shared" si="1"/>
        <v>9226.8725000000013</v>
      </c>
      <c r="H11" s="95">
        <f t="shared" si="0"/>
        <v>8.2431618844025945E-2</v>
      </c>
    </row>
    <row r="12" spans="2:8" ht="6" customHeight="1" outlineLevel="2">
      <c r="B12" s="49"/>
      <c r="C12" s="63"/>
      <c r="D12" s="63"/>
      <c r="E12" s="63"/>
      <c r="F12" s="63"/>
      <c r="G12" s="63"/>
      <c r="H12" s="96"/>
    </row>
    <row r="13" spans="2:8" outlineLevel="2">
      <c r="B13" s="44" t="s">
        <v>234</v>
      </c>
      <c r="C13" s="46">
        <f>'2025A'!F13</f>
        <v>120.10185645763202</v>
      </c>
      <c r="D13" s="46">
        <f>'2025A'!C13</f>
        <v>201.3082344</v>
      </c>
      <c r="E13" s="46">
        <f>'2026B'!C13</f>
        <v>321.7</v>
      </c>
      <c r="F13" s="46">
        <f>'Sales Budget Summary'!G12</f>
        <v>482.54999999999995</v>
      </c>
      <c r="G13" s="46">
        <f>'Sales Budget Summary'!H12</f>
        <v>675.56999999999994</v>
      </c>
      <c r="H13" s="90">
        <f t="shared" ref="H13:H15" si="2">IFERROR(_xlfn.RRI(3,D13,G13), "N/A")</f>
        <v>0.49716479121602419</v>
      </c>
    </row>
    <row r="14" spans="2:8" outlineLevel="2">
      <c r="B14" s="44" t="s">
        <v>235</v>
      </c>
      <c r="C14" s="46">
        <f>'2025A'!F14</f>
        <v>173.48070611518398</v>
      </c>
      <c r="D14" s="46">
        <f>'2025A'!C14</f>
        <v>177.28904740000002</v>
      </c>
      <c r="E14" s="46">
        <f>'2026B'!C14</f>
        <v>175</v>
      </c>
      <c r="F14" s="46">
        <f>'Sales Budget Summary'!G13</f>
        <v>175</v>
      </c>
      <c r="G14" s="46">
        <f>'Sales Budget Summary'!H13</f>
        <v>175</v>
      </c>
      <c r="H14" s="90">
        <f t="shared" si="2"/>
        <v>-4.3224521481128875E-3</v>
      </c>
    </row>
    <row r="15" spans="2:8" outlineLevel="2">
      <c r="B15" s="51" t="s">
        <v>236</v>
      </c>
      <c r="C15" s="48">
        <f t="shared" ref="C15:G15" si="3">SUM(C13:C14)</f>
        <v>293.58256257281602</v>
      </c>
      <c r="D15" s="48">
        <f t="shared" si="3"/>
        <v>378.59728180000002</v>
      </c>
      <c r="E15" s="48">
        <f t="shared" si="3"/>
        <v>496.7</v>
      </c>
      <c r="F15" s="48">
        <f t="shared" si="3"/>
        <v>657.55</v>
      </c>
      <c r="G15" s="48">
        <f t="shared" si="3"/>
        <v>850.56999999999994</v>
      </c>
      <c r="H15" s="95">
        <f t="shared" si="2"/>
        <v>0.30971717629368922</v>
      </c>
    </row>
    <row r="16" spans="2:8" ht="6" customHeight="1" outlineLevel="2">
      <c r="B16" s="49"/>
      <c r="C16" s="63"/>
      <c r="D16" s="63"/>
      <c r="E16" s="63"/>
      <c r="F16" s="63"/>
      <c r="G16" s="63"/>
      <c r="H16" s="96"/>
    </row>
    <row r="17" spans="2:8" outlineLevel="2">
      <c r="B17" s="45" t="s">
        <v>237</v>
      </c>
      <c r="C17" s="46">
        <f>'2025A'!F17</f>
        <v>723.64898508591909</v>
      </c>
      <c r="D17" s="46">
        <f>'2025A'!C17</f>
        <v>754.68615419999992</v>
      </c>
      <c r="E17" s="46">
        <f>'2026B'!C17</f>
        <v>983.24199999999996</v>
      </c>
      <c r="F17" s="46">
        <f>'Sales Budget Summary'!G16</f>
        <v>1278.2146</v>
      </c>
      <c r="G17" s="46">
        <f>'Sales Budget Summary'!H16</f>
        <v>1533.85752</v>
      </c>
      <c r="H17" s="90">
        <f t="shared" ref="H17:H19" si="4">IFERROR(_xlfn.RRI(3,D17,G17), "N/A")</f>
        <v>0.26669740018977106</v>
      </c>
    </row>
    <row r="18" spans="2:8" outlineLevel="2">
      <c r="B18" s="45" t="s">
        <v>64</v>
      </c>
      <c r="C18" s="46">
        <f>'2025A'!F18</f>
        <v>35.717858636318098</v>
      </c>
      <c r="D18" s="46">
        <f>'2025A'!C18</f>
        <v>5</v>
      </c>
      <c r="E18" s="46">
        <f>'2026B'!C18</f>
        <v>20</v>
      </c>
      <c r="F18" s="46">
        <f>'Sales Budget Summary'!G17</f>
        <v>20</v>
      </c>
      <c r="G18" s="46">
        <f>'Sales Budget Summary'!H17</f>
        <v>20</v>
      </c>
      <c r="H18" s="90">
        <f t="shared" si="4"/>
        <v>0.58740105196819936</v>
      </c>
    </row>
    <row r="19" spans="2:8" outlineLevel="2">
      <c r="B19" s="47" t="s">
        <v>238</v>
      </c>
      <c r="C19" s="48">
        <f t="shared" ref="C19:G19" si="5">SUM(C17:C18)</f>
        <v>759.36684372223715</v>
      </c>
      <c r="D19" s="48">
        <f t="shared" si="5"/>
        <v>759.68615419999992</v>
      </c>
      <c r="E19" s="48">
        <f t="shared" si="5"/>
        <v>1003.242</v>
      </c>
      <c r="F19" s="48">
        <f t="shared" si="5"/>
        <v>1298.2146</v>
      </c>
      <c r="G19" s="48">
        <f t="shared" si="5"/>
        <v>1553.85752</v>
      </c>
      <c r="H19" s="95">
        <f t="shared" si="4"/>
        <v>0.26938197637891537</v>
      </c>
    </row>
    <row r="20" spans="2:8" ht="6" customHeight="1" outlineLevel="2">
      <c r="B20" s="49"/>
      <c r="C20" s="63"/>
      <c r="D20" s="63"/>
      <c r="E20" s="63"/>
      <c r="F20" s="63"/>
      <c r="G20" s="63"/>
      <c r="H20" s="96"/>
    </row>
    <row r="21" spans="2:8" outlineLevel="2">
      <c r="B21" s="45" t="s">
        <v>239</v>
      </c>
      <c r="C21" s="46">
        <f>'2025A'!F21</f>
        <v>400.00112999999999</v>
      </c>
      <c r="D21" s="46">
        <f>'2025A'!C21</f>
        <v>447.78187000000008</v>
      </c>
      <c r="E21" s="46">
        <f>'2026B'!C21</f>
        <v>430</v>
      </c>
      <c r="F21" s="46">
        <f>'Sales Budget Summary'!G20</f>
        <v>440</v>
      </c>
      <c r="G21" s="46">
        <f>'Sales Budget Summary'!H20</f>
        <v>450</v>
      </c>
      <c r="H21" s="90">
        <f t="shared" ref="H21:H28" si="6">IFERROR(_xlfn.RRI(3,D21,G21), "N/A")</f>
        <v>1.6484793319253566E-3</v>
      </c>
    </row>
    <row r="22" spans="2:8" outlineLevel="2">
      <c r="B22" s="45" t="s">
        <v>240</v>
      </c>
      <c r="C22" s="46">
        <f>'2025A'!F22</f>
        <v>487.42534000000006</v>
      </c>
      <c r="D22" s="46">
        <f>'2025A'!C22</f>
        <v>567.51580000000001</v>
      </c>
      <c r="E22" s="46">
        <f>'2026B'!C22</f>
        <v>625</v>
      </c>
      <c r="F22" s="46">
        <f>'Sales Budget Summary'!G21</f>
        <v>650</v>
      </c>
      <c r="G22" s="46">
        <f>'Sales Budget Summary'!H21</f>
        <v>675</v>
      </c>
      <c r="H22" s="90">
        <f t="shared" si="6"/>
        <v>5.9518648888459369E-2</v>
      </c>
    </row>
    <row r="23" spans="2:8" outlineLevel="2">
      <c r="B23" s="45" t="s">
        <v>241</v>
      </c>
      <c r="C23" s="46">
        <f>'2025A'!F23</f>
        <v>297.28224</v>
      </c>
      <c r="D23" s="46">
        <f>'2025A'!C23</f>
        <v>277.16552000000001</v>
      </c>
      <c r="E23" s="46">
        <f>'2026B'!C23</f>
        <v>350</v>
      </c>
      <c r="F23" s="46">
        <f>'Sales Budget Summary'!G22</f>
        <v>380</v>
      </c>
      <c r="G23" s="46">
        <f>'Sales Budget Summary'!H22</f>
        <v>420</v>
      </c>
      <c r="H23" s="90">
        <f t="shared" si="6"/>
        <v>0.14860321994325232</v>
      </c>
    </row>
    <row r="24" spans="2:8" outlineLevel="2">
      <c r="B24" s="45" t="s">
        <v>242</v>
      </c>
      <c r="C24" s="46">
        <f>'2025A'!F24</f>
        <v>245.10886000000005</v>
      </c>
      <c r="D24" s="46">
        <f>'2025A'!C24</f>
        <v>443.66261000000003</v>
      </c>
      <c r="E24" s="46">
        <f>'2026B'!C24</f>
        <v>457.5</v>
      </c>
      <c r="F24" s="46">
        <f>'Sales Budget Summary'!G23</f>
        <v>520</v>
      </c>
      <c r="G24" s="46">
        <f>'Sales Budget Summary'!H23</f>
        <v>625</v>
      </c>
      <c r="H24" s="90">
        <f t="shared" si="6"/>
        <v>0.121008904991174</v>
      </c>
    </row>
    <row r="25" spans="2:8" outlineLevel="2">
      <c r="B25" s="45" t="s">
        <v>243</v>
      </c>
      <c r="C25" s="46">
        <f>'2025A'!F25</f>
        <v>28.565149999999996</v>
      </c>
      <c r="D25" s="46">
        <f>'2025A'!C25</f>
        <v>34.968969999999999</v>
      </c>
      <c r="E25" s="46">
        <f>'2026B'!C25</f>
        <v>30</v>
      </c>
      <c r="F25" s="46">
        <f>'Sales Budget Summary'!G24</f>
        <v>40</v>
      </c>
      <c r="G25" s="46">
        <f>'Sales Budget Summary'!H24</f>
        <v>50</v>
      </c>
      <c r="H25" s="90">
        <f t="shared" si="6"/>
        <v>0.12658091036364283</v>
      </c>
    </row>
    <row r="26" spans="2:8" outlineLevel="2">
      <c r="B26" s="45" t="s">
        <v>244</v>
      </c>
      <c r="C26" s="46">
        <f>'2025A'!F26</f>
        <v>15.133949999999999</v>
      </c>
      <c r="D26" s="46">
        <f>'2025A'!C26</f>
        <v>14.61966</v>
      </c>
      <c r="E26" s="46">
        <f>'2026B'!C26</f>
        <v>20</v>
      </c>
      <c r="F26" s="46">
        <f>'Sales Budget Summary'!G25</f>
        <v>50</v>
      </c>
      <c r="G26" s="46">
        <f>'Sales Budget Summary'!H25</f>
        <v>100</v>
      </c>
      <c r="H26" s="90">
        <f t="shared" si="6"/>
        <v>0.89825364490749182</v>
      </c>
    </row>
    <row r="27" spans="2:8" outlineLevel="2">
      <c r="B27" s="45" t="s">
        <v>245</v>
      </c>
      <c r="C27" s="46">
        <f>'2025A'!F27</f>
        <v>54.728430000000003</v>
      </c>
      <c r="D27" s="46">
        <f>'2025A'!C27</f>
        <v>31.812060000000002</v>
      </c>
      <c r="E27" s="46">
        <f>'2026B'!C27</f>
        <v>32</v>
      </c>
      <c r="F27" s="46">
        <f>'Sales Budget Summary'!G26</f>
        <v>36</v>
      </c>
      <c r="G27" s="46">
        <f>'Sales Budget Summary'!H26</f>
        <v>40</v>
      </c>
      <c r="H27" s="90">
        <f t="shared" si="6"/>
        <v>7.9334517426726148E-2</v>
      </c>
    </row>
    <row r="28" spans="2:8" outlineLevel="2">
      <c r="B28" s="47" t="s">
        <v>100</v>
      </c>
      <c r="C28" s="48">
        <f t="shared" ref="C28:D28" si="7">SUM(C21:C27)</f>
        <v>1528.2451000000001</v>
      </c>
      <c r="D28" s="48">
        <f t="shared" si="7"/>
        <v>1817.5264900000002</v>
      </c>
      <c r="E28" s="48">
        <f t="shared" ref="E28:G28" si="8">SUM(E21:E27)</f>
        <v>1944.5</v>
      </c>
      <c r="F28" s="48">
        <f t="shared" si="8"/>
        <v>2116</v>
      </c>
      <c r="G28" s="48">
        <f t="shared" si="8"/>
        <v>2360</v>
      </c>
      <c r="H28" s="95">
        <f t="shared" si="6"/>
        <v>9.0963995121111862E-2</v>
      </c>
    </row>
    <row r="29" spans="2:8" ht="6" customHeight="1" outlineLevel="2">
      <c r="B29" s="49"/>
      <c r="C29" s="63"/>
      <c r="D29" s="63"/>
      <c r="E29" s="63"/>
      <c r="F29" s="63"/>
      <c r="G29" s="63"/>
      <c r="H29" s="96"/>
    </row>
    <row r="30" spans="2:8" ht="15.75" outlineLevel="2" thickBot="1">
      <c r="B30" s="52" t="s">
        <v>246</v>
      </c>
      <c r="C30" s="53">
        <f t="shared" ref="C30:D30" si="9">SUM(C11,C15,C19,C28)</f>
        <v>9567.1810932792014</v>
      </c>
      <c r="D30" s="53">
        <f t="shared" si="9"/>
        <v>10231.146836</v>
      </c>
      <c r="E30" s="53">
        <f t="shared" ref="E30:G30" si="10">SUM(E11,E15,E19,E28)</f>
        <v>11282.017000000002</v>
      </c>
      <c r="F30" s="53">
        <f t="shared" si="10"/>
        <v>12587.352099999998</v>
      </c>
      <c r="G30" s="53">
        <f t="shared" si="10"/>
        <v>13991.300020000001</v>
      </c>
      <c r="H30" s="97">
        <f>IFERROR(_xlfn.RRI(3,D30,G30), "N/A")</f>
        <v>0.1099700246596591</v>
      </c>
    </row>
    <row r="31" spans="2:8" ht="6" customHeight="1" outlineLevel="1">
      <c r="B31" s="49"/>
      <c r="C31" s="63"/>
      <c r="D31" s="63"/>
      <c r="E31" s="63"/>
      <c r="F31" s="63"/>
      <c r="G31" s="63"/>
      <c r="H31" s="96"/>
    </row>
    <row r="32" spans="2:8" outlineLevel="1">
      <c r="B32" t="s">
        <v>247</v>
      </c>
      <c r="C32" s="46">
        <f>'2025A'!F32</f>
        <v>227.20375000000004</v>
      </c>
      <c r="D32" s="46">
        <f>'2025A'!C32</f>
        <v>500.90406999999993</v>
      </c>
      <c r="E32" s="46">
        <f>'2026B'!C32</f>
        <v>800</v>
      </c>
      <c r="F32" s="46">
        <f>'Sales Budget Summary'!G31</f>
        <v>1200</v>
      </c>
      <c r="G32" s="46">
        <f>'Sales Budget Summary'!H31</f>
        <v>1600</v>
      </c>
      <c r="H32" s="90">
        <f t="shared" ref="H32:H34" si="11">IFERROR(_xlfn.RRI(3,D32,G32), "N/A")</f>
        <v>0.4727255026098498</v>
      </c>
    </row>
    <row r="33" spans="2:8" outlineLevel="1">
      <c r="B33" t="s">
        <v>248</v>
      </c>
      <c r="C33" s="46">
        <f>'2025A'!F33</f>
        <v>0</v>
      </c>
      <c r="D33" s="46">
        <f>'2025A'!C33</f>
        <v>105.64609</v>
      </c>
      <c r="E33" s="46">
        <f>'2026B'!C33</f>
        <v>200</v>
      </c>
      <c r="F33" s="46">
        <f>'Sales Budget Summary'!G32</f>
        <v>300</v>
      </c>
      <c r="G33" s="46">
        <f>'Sales Budget Summary'!H32</f>
        <v>500</v>
      </c>
      <c r="H33" s="90">
        <f t="shared" si="11"/>
        <v>0.67895423654083675</v>
      </c>
    </row>
    <row r="34" spans="2:8" outlineLevel="1">
      <c r="B34" t="s">
        <v>249</v>
      </c>
      <c r="C34" s="46">
        <f>'2025A'!F34</f>
        <v>0</v>
      </c>
      <c r="D34" s="46">
        <f>'2025A'!C34</f>
        <v>0</v>
      </c>
      <c r="E34" s="46">
        <f>'2026B'!C34</f>
        <v>145</v>
      </c>
      <c r="F34" s="46">
        <f>'Sales Budget Summary'!G33</f>
        <v>225</v>
      </c>
      <c r="G34" s="46">
        <f>'Sales Budget Summary'!H33</f>
        <v>375</v>
      </c>
      <c r="H34" s="90" t="str">
        <f t="shared" si="11"/>
        <v>N/A</v>
      </c>
    </row>
    <row r="35" spans="2:8" ht="6" customHeight="1" outlineLevel="1">
      <c r="B35" s="49"/>
      <c r="C35" s="63"/>
      <c r="D35" s="63"/>
      <c r="E35" s="63"/>
      <c r="F35" s="63"/>
      <c r="G35" s="63"/>
      <c r="H35" s="96"/>
    </row>
    <row r="36" spans="2:8" ht="15.75" outlineLevel="1" thickBot="1">
      <c r="B36" s="52" t="s">
        <v>250</v>
      </c>
      <c r="C36" s="53">
        <f t="shared" ref="C36:G36" si="12">SUM(C32:C34)</f>
        <v>227.20375000000004</v>
      </c>
      <c r="D36" s="53">
        <f t="shared" si="12"/>
        <v>606.55015999999989</v>
      </c>
      <c r="E36" s="53">
        <f t="shared" si="12"/>
        <v>1145</v>
      </c>
      <c r="F36" s="53">
        <f t="shared" si="12"/>
        <v>1725</v>
      </c>
      <c r="G36" s="53">
        <f t="shared" si="12"/>
        <v>2475</v>
      </c>
      <c r="H36" s="97">
        <f>IFERROR(_xlfn.RRI(3,D36,G36), "N/A")</f>
        <v>0.59797320920415142</v>
      </c>
    </row>
    <row r="37" spans="2:8" ht="6" customHeight="1" outlineLevel="1">
      <c r="B37" s="49"/>
      <c r="C37" s="63"/>
      <c r="D37" s="63"/>
      <c r="E37" s="63"/>
      <c r="F37" s="63"/>
      <c r="G37" s="63"/>
      <c r="H37" s="96"/>
    </row>
    <row r="38" spans="2:8" outlineLevel="1">
      <c r="B38" t="s">
        <v>251</v>
      </c>
      <c r="C38" s="46">
        <f>'2025A'!F38</f>
        <v>394.85068254782402</v>
      </c>
      <c r="D38" s="46">
        <f>'2025A'!C38</f>
        <v>660.48169199999995</v>
      </c>
      <c r="E38" s="46">
        <f>'2026B'!C38</f>
        <v>748</v>
      </c>
      <c r="F38" s="46">
        <f>'Sales Budget Summary'!G37</f>
        <v>822.80000000000007</v>
      </c>
      <c r="G38" s="46">
        <f>'Sales Budget Summary'!H37</f>
        <v>888.62400000000014</v>
      </c>
      <c r="H38" s="90">
        <f t="shared" ref="H38:H41" si="13">IFERROR(_xlfn.RRI(3,D38,G38), "N/A")</f>
        <v>0.10395766247333982</v>
      </c>
    </row>
    <row r="39" spans="2:8" outlineLevel="1">
      <c r="B39" t="s">
        <v>252</v>
      </c>
      <c r="C39" s="46">
        <f>'2025A'!F39</f>
        <v>306.28693608745948</v>
      </c>
      <c r="D39" s="46">
        <f>'2025A'!C39</f>
        <v>396.49359879999997</v>
      </c>
      <c r="E39" s="46">
        <f>'2026B'!C39</f>
        <v>406</v>
      </c>
      <c r="F39" s="46">
        <f>'Sales Budget Summary'!G38</f>
        <v>446.6</v>
      </c>
      <c r="G39" s="46">
        <f>'Sales Budget Summary'!H38</f>
        <v>482.32800000000003</v>
      </c>
      <c r="H39" s="90">
        <f t="shared" si="13"/>
        <v>6.7502165425224137E-2</v>
      </c>
    </row>
    <row r="40" spans="2:8" outlineLevel="1">
      <c r="B40" t="s">
        <v>137</v>
      </c>
      <c r="C40" s="46">
        <f>'2025A'!F40</f>
        <v>20.505599999999998</v>
      </c>
      <c r="D40" s="46">
        <f>'2025A'!C40</f>
        <v>105.87025999999999</v>
      </c>
      <c r="E40" s="46">
        <f>'2026B'!C40</f>
        <v>110</v>
      </c>
      <c r="F40" s="46">
        <f>'Sales Budget Summary'!G39</f>
        <v>121.00000000000001</v>
      </c>
      <c r="G40" s="46">
        <f>'Sales Budget Summary'!H39</f>
        <v>130.68000000000004</v>
      </c>
      <c r="H40" s="90">
        <f t="shared" si="13"/>
        <v>7.270025053797724E-2</v>
      </c>
    </row>
    <row r="41" spans="2:8" outlineLevel="1">
      <c r="B41" t="s">
        <v>253</v>
      </c>
      <c r="C41" s="46">
        <f>'2025A'!F41</f>
        <v>16.666325470512</v>
      </c>
      <c r="D41" s="46">
        <f>'2025A'!C41</f>
        <v>34.981104799999997</v>
      </c>
      <c r="E41" s="46">
        <f>'2026B'!C41</f>
        <v>34.981104799999997</v>
      </c>
      <c r="F41" s="46">
        <f>'Sales Budget Summary'!G40</f>
        <v>34.981104799999997</v>
      </c>
      <c r="G41" s="46">
        <f>'Sales Budget Summary'!H40</f>
        <v>34.981104799999997</v>
      </c>
      <c r="H41" s="90">
        <f t="shared" si="13"/>
        <v>0</v>
      </c>
    </row>
    <row r="42" spans="2:8" ht="6" customHeight="1" outlineLevel="1">
      <c r="B42" s="49"/>
      <c r="C42" s="63"/>
      <c r="D42" s="63"/>
      <c r="E42" s="63"/>
      <c r="F42" s="63"/>
      <c r="G42" s="63"/>
      <c r="H42" s="96"/>
    </row>
    <row r="43" spans="2:8" ht="15.75" outlineLevel="1" thickBot="1">
      <c r="B43" s="52" t="s">
        <v>254</v>
      </c>
      <c r="C43" s="53">
        <f t="shared" ref="C43:D43" si="14">SUM(C38:C41)</f>
        <v>738.30954410579545</v>
      </c>
      <c r="D43" s="53">
        <f t="shared" si="14"/>
        <v>1197.8266555999999</v>
      </c>
      <c r="E43" s="53">
        <f t="shared" ref="E43:G43" si="15">SUM(E38:E41)</f>
        <v>1298.9811047999999</v>
      </c>
      <c r="F43" s="53">
        <f t="shared" si="15"/>
        <v>1425.3811048</v>
      </c>
      <c r="G43" s="53">
        <f t="shared" si="15"/>
        <v>1536.6131048000002</v>
      </c>
      <c r="H43" s="97">
        <f>IFERROR(_xlfn.RRI(3,D43,G43), "N/A")</f>
        <v>8.6567855967726759E-2</v>
      </c>
    </row>
    <row r="44" spans="2:8" ht="6" customHeight="1" outlineLevel="1">
      <c r="B44" s="49"/>
      <c r="C44" s="63"/>
      <c r="D44" s="63"/>
      <c r="E44" s="63"/>
      <c r="F44" s="63"/>
      <c r="G44" s="63"/>
      <c r="H44" s="96"/>
    </row>
    <row r="45" spans="2:8" ht="16.5" outlineLevel="1" thickBot="1">
      <c r="B45" s="54" t="s">
        <v>255</v>
      </c>
      <c r="C45" s="55">
        <f t="shared" ref="C45:D45" si="16">SUM(C30,C36,C43)</f>
        <v>10532.694387384998</v>
      </c>
      <c r="D45" s="55">
        <f t="shared" si="16"/>
        <v>12035.5236516</v>
      </c>
      <c r="E45" s="55">
        <f t="shared" ref="E45:G45" si="17">SUM(E30,E36,E43)</f>
        <v>13725.998104800001</v>
      </c>
      <c r="F45" s="55">
        <f t="shared" si="17"/>
        <v>15737.733204799999</v>
      </c>
      <c r="G45" s="55">
        <f t="shared" si="17"/>
        <v>18002.913124800001</v>
      </c>
      <c r="H45" s="98">
        <f>IFERROR(_xlfn.RRI(3,D45,G45), "N/A")</f>
        <v>0.14364858865248253</v>
      </c>
    </row>
    <row r="46" spans="2:8" ht="6" customHeight="1">
      <c r="H46" s="16"/>
    </row>
    <row r="47" spans="2:8">
      <c r="B47" s="64" t="s">
        <v>155</v>
      </c>
      <c r="C47" s="93">
        <f>C45</f>
        <v>10532.694387384998</v>
      </c>
      <c r="D47" s="93">
        <f>D45</f>
        <v>12035.5236516</v>
      </c>
      <c r="E47" s="93">
        <f t="shared" ref="E47:G47" si="18">E45</f>
        <v>13725.998104800001</v>
      </c>
      <c r="F47" s="93">
        <f t="shared" si="18"/>
        <v>15737.733204799999</v>
      </c>
      <c r="G47" s="93">
        <f t="shared" si="18"/>
        <v>18002.913124800001</v>
      </c>
      <c r="H47" s="99">
        <f t="shared" ref="H47:H48" si="19">IFERROR(_xlfn.RRI(3,D47,G47), "N/A")</f>
        <v>0.14364858865248253</v>
      </c>
    </row>
    <row r="48" spans="2:8">
      <c r="B48" t="s">
        <v>157</v>
      </c>
      <c r="C48" s="91">
        <f>'2025A'!F48</f>
        <v>-2037.9</v>
      </c>
      <c r="D48" s="91">
        <f>'2025A'!C48</f>
        <v>-2166.3942572880001</v>
      </c>
      <c r="E48" s="91">
        <f>'2026B'!C48</f>
        <v>-2591.1028262000004</v>
      </c>
      <c r="F48" s="91">
        <f>COGS!I43+150</f>
        <v>-2930.0132581880007</v>
      </c>
      <c r="G48" s="91">
        <f>COGS!J43+150</f>
        <v>-3435.1847735760025</v>
      </c>
      <c r="H48" s="16">
        <f t="shared" si="19"/>
        <v>0.16610467222441705</v>
      </c>
    </row>
    <row r="49" spans="2:8" ht="6" customHeight="1">
      <c r="B49" s="49"/>
      <c r="C49" s="3"/>
      <c r="D49" s="3"/>
      <c r="E49" s="3"/>
      <c r="F49" s="3"/>
      <c r="G49" s="3"/>
      <c r="H49" s="16"/>
    </row>
    <row r="50" spans="2:8">
      <c r="B50" s="65" t="s">
        <v>158</v>
      </c>
      <c r="C50" s="121">
        <f>SUM(C47:C48)</f>
        <v>8494.7943873849981</v>
      </c>
      <c r="D50" s="121">
        <f>SUM(D47:D48)</f>
        <v>9869.1293943119999</v>
      </c>
      <c r="E50" s="121">
        <f>SUM(E47:E48)</f>
        <v>11134.895278600001</v>
      </c>
      <c r="F50" s="121">
        <f t="shared" ref="F50:G50" si="20">SUM(F47:F48)</f>
        <v>12807.719946611998</v>
      </c>
      <c r="G50" s="121">
        <f t="shared" si="20"/>
        <v>14567.728351223999</v>
      </c>
      <c r="H50" s="18">
        <f>IFERROR(_xlfn.RRI(3,D50,G50), "N/A")</f>
        <v>0.1385995219416829</v>
      </c>
    </row>
    <row r="51" spans="2:8">
      <c r="B51" s="66" t="s">
        <v>160</v>
      </c>
      <c r="C51" s="67">
        <f>C50/C$47</f>
        <v>0.80651674442953636</v>
      </c>
      <c r="D51" s="67">
        <f>D50/D$47</f>
        <v>0.82</v>
      </c>
      <c r="E51" s="67">
        <f>E50/E$47</f>
        <v>0.81122663675045326</v>
      </c>
      <c r="F51" s="67">
        <f t="shared" ref="F51:G51" si="21">F50/F$47</f>
        <v>0.81382240885273438</v>
      </c>
      <c r="G51" s="67">
        <f t="shared" si="21"/>
        <v>0.80918728264905937</v>
      </c>
      <c r="H51" s="100"/>
    </row>
    <row r="52" spans="2:8" ht="6" customHeight="1">
      <c r="B52" s="49"/>
      <c r="C52" s="3"/>
      <c r="D52" s="3"/>
      <c r="E52" s="3"/>
      <c r="F52" s="3"/>
      <c r="G52" s="3"/>
      <c r="H52" s="16"/>
    </row>
    <row r="53" spans="2:8">
      <c r="B53" t="s">
        <v>162</v>
      </c>
      <c r="C53" s="91">
        <f>'2025A'!F53</f>
        <v>-255.9</v>
      </c>
      <c r="D53" s="91">
        <f>'2025A'!C53</f>
        <v>-248</v>
      </c>
      <c r="E53" s="91">
        <f>'2026B'!C53</f>
        <v>-269.948312096</v>
      </c>
      <c r="F53" s="91">
        <f>'Other COS'!L44+30</f>
        <v>-323.99751909600002</v>
      </c>
      <c r="G53" s="91">
        <f>'Other COS'!M44+50</f>
        <v>-364.50681349600001</v>
      </c>
      <c r="H53" s="16">
        <f t="shared" ref="H53:H54" si="22">IFERROR(_xlfn.RRI(3,D53,G53), "N/A")</f>
        <v>0.13697606773694693</v>
      </c>
    </row>
    <row r="54" spans="2:8">
      <c r="B54" t="s">
        <v>163</v>
      </c>
      <c r="C54" s="91">
        <f>'2025A'!F54</f>
        <v>-99</v>
      </c>
      <c r="D54" s="91">
        <f>'2025A'!C54</f>
        <v>-125.73333333333301</v>
      </c>
      <c r="E54" s="91">
        <f>'2026B'!C54</f>
        <v>-180.93937499999998</v>
      </c>
      <c r="F54" s="91">
        <f>'Other COS'!Q44</f>
        <v>-212.88968750000004</v>
      </c>
      <c r="G54" s="91">
        <f>'Other COS'!R44</f>
        <v>-230.67181250000002</v>
      </c>
      <c r="H54" s="16">
        <f t="shared" si="22"/>
        <v>0.22418776003258167</v>
      </c>
    </row>
    <row r="55" spans="2:8" ht="6" customHeight="1">
      <c r="B55" s="49"/>
      <c r="C55" s="3"/>
      <c r="D55" s="3"/>
      <c r="E55" s="3"/>
      <c r="F55" s="3"/>
      <c r="G55" s="3"/>
      <c r="H55" s="16"/>
    </row>
    <row r="56" spans="2:8">
      <c r="B56" s="65" t="s">
        <v>166</v>
      </c>
      <c r="C56" s="121">
        <f>SUM(C50,C53:C54)</f>
        <v>8139.8943873849985</v>
      </c>
      <c r="D56" s="121">
        <f>SUM(D50,D53:D54)</f>
        <v>9495.3960609786664</v>
      </c>
      <c r="E56" s="121">
        <f>SUM(E50,E53:E54)</f>
        <v>10684.007591504002</v>
      </c>
      <c r="F56" s="121">
        <f t="shared" ref="F56:G56" si="23">SUM(F50,F53:F54)</f>
        <v>12270.832740015998</v>
      </c>
      <c r="G56" s="121">
        <f t="shared" si="23"/>
        <v>13972.549725227998</v>
      </c>
      <c r="H56" s="18">
        <f>IFERROR(_xlfn.RRI(3,D56,G56), "N/A")</f>
        <v>0.13741999843493513</v>
      </c>
    </row>
    <row r="57" spans="2:8">
      <c r="B57" s="66" t="s">
        <v>167</v>
      </c>
      <c r="C57" s="67">
        <f>C56/C$47</f>
        <v>0.77282166253054352</v>
      </c>
      <c r="D57" s="67">
        <f>D56/D$47</f>
        <v>0.78894748046266772</v>
      </c>
      <c r="E57" s="67">
        <f>E56/E$47</f>
        <v>0.77837746369553917</v>
      </c>
      <c r="F57" s="67">
        <f t="shared" ref="F57:G57" si="24">F56/F$47</f>
        <v>0.77970776225088134</v>
      </c>
      <c r="G57" s="67">
        <f t="shared" si="24"/>
        <v>0.77612715388711417</v>
      </c>
      <c r="H57" s="100"/>
    </row>
    <row r="58" spans="2:8" ht="6" customHeight="1">
      <c r="B58" s="49"/>
      <c r="C58" s="3"/>
      <c r="D58" s="3"/>
      <c r="E58" s="3"/>
      <c r="F58" s="3"/>
      <c r="G58" s="3"/>
      <c r="H58" s="16"/>
    </row>
    <row r="59" spans="2:8">
      <c r="B59" t="s">
        <v>168</v>
      </c>
      <c r="C59" s="91">
        <f>'2025A'!F59</f>
        <v>-548</v>
      </c>
      <c r="D59" s="91">
        <f>'2025A'!C59</f>
        <v>-629</v>
      </c>
      <c r="E59" s="91">
        <f>'2026B'!C59</f>
        <v>-861.64400000000001</v>
      </c>
      <c r="F59" s="91">
        <v>-1000</v>
      </c>
      <c r="G59" s="91">
        <v>-1100</v>
      </c>
      <c r="H59" s="16">
        <f t="shared" ref="H59:H60" si="25">IFERROR(_xlfn.RRI(3,D59,G59), "N/A")</f>
        <v>0.20479737670970688</v>
      </c>
    </row>
    <row r="60" spans="2:8">
      <c r="B60" t="s">
        <v>169</v>
      </c>
      <c r="C60" s="91">
        <f>'2025A'!F60</f>
        <v>-273</v>
      </c>
      <c r="D60" s="91">
        <f>'2025A'!C60</f>
        <v>-222</v>
      </c>
      <c r="E60" s="91">
        <f>'2026B'!C60</f>
        <v>-299.04899999999998</v>
      </c>
      <c r="F60" s="91">
        <f>E60*1.1</f>
        <v>-328.95389999999998</v>
      </c>
      <c r="G60" s="91">
        <f>F60*1.1</f>
        <v>-361.84929</v>
      </c>
      <c r="H60" s="16">
        <f t="shared" si="25"/>
        <v>0.1768603111268503</v>
      </c>
    </row>
    <row r="61" spans="2:8" ht="6" customHeight="1">
      <c r="B61" s="49"/>
      <c r="C61" s="3"/>
      <c r="D61" s="3"/>
      <c r="E61" s="3"/>
      <c r="F61" s="3"/>
      <c r="G61" s="3"/>
      <c r="H61" s="16"/>
    </row>
    <row r="62" spans="2:8">
      <c r="B62" s="65" t="s">
        <v>170</v>
      </c>
      <c r="C62" s="121">
        <f>SUM(C56,C59:C60)</f>
        <v>7318.8943873849985</v>
      </c>
      <c r="D62" s="121">
        <f>SUM(D56,D59:D60)</f>
        <v>8644.3960609786664</v>
      </c>
      <c r="E62" s="121">
        <f>SUM(E56,E59:E60)</f>
        <v>9523.3145915040004</v>
      </c>
      <c r="F62" s="121">
        <f t="shared" ref="F62:G62" si="26">SUM(F56,F59:F60)</f>
        <v>10941.878840015997</v>
      </c>
      <c r="G62" s="121">
        <f t="shared" si="26"/>
        <v>12510.700435227998</v>
      </c>
      <c r="H62" s="18">
        <f>IFERROR(_xlfn.RRI(3,D62,G62), "N/A")</f>
        <v>0.1311381656540096</v>
      </c>
    </row>
    <row r="63" spans="2:8">
      <c r="B63" s="66" t="s">
        <v>171</v>
      </c>
      <c r="C63" s="67">
        <f>C62/C$47</f>
        <v>0.69487389628914276</v>
      </c>
      <c r="D63" s="67">
        <f>D62/D$47</f>
        <v>0.71824012907236334</v>
      </c>
      <c r="E63" s="67">
        <f>E62/E$47</f>
        <v>0.69381581716623464</v>
      </c>
      <c r="F63" s="67">
        <f t="shared" ref="F63:G63" si="27">F62/F$47</f>
        <v>0.6952639683000047</v>
      </c>
      <c r="G63" s="67">
        <f t="shared" si="27"/>
        <v>0.6949264459868898</v>
      </c>
      <c r="H63" s="100"/>
    </row>
    <row r="64" spans="2:8" ht="6" customHeight="1">
      <c r="B64" s="49"/>
      <c r="C64" s="3"/>
      <c r="D64" s="3"/>
      <c r="E64" s="3"/>
      <c r="F64" s="3"/>
      <c r="G64" s="3"/>
      <c r="H64" s="16"/>
    </row>
    <row r="65" spans="2:8">
      <c r="B65" t="s">
        <v>172</v>
      </c>
      <c r="C65" s="91">
        <f>'2025A'!F65</f>
        <v>-4405</v>
      </c>
      <c r="D65" s="91">
        <f>'2025A'!C65</f>
        <v>-4690.5624749999997</v>
      </c>
      <c r="E65" s="91">
        <f>'2026B'!C65</f>
        <v>-4997</v>
      </c>
      <c r="F65" s="91">
        <f>E65*1.04</f>
        <v>-5196.88</v>
      </c>
      <c r="G65" s="91">
        <f>F65*1.04</f>
        <v>-5404.7552000000005</v>
      </c>
      <c r="H65" s="16">
        <f t="shared" ref="H65:H66" si="28">IFERROR(_xlfn.RRI(3,D65,G65), "N/A")</f>
        <v>4.8375913390342085E-2</v>
      </c>
    </row>
    <row r="66" spans="2:8">
      <c r="B66" t="s">
        <v>173</v>
      </c>
      <c r="C66" s="91">
        <f>'2025A'!F66</f>
        <v>-1398</v>
      </c>
      <c r="D66" s="91">
        <f>'2025A'!C66</f>
        <v>-1528.3859199999999</v>
      </c>
      <c r="E66" s="91">
        <f>'2026B'!C66</f>
        <v>-1620.8430699999999</v>
      </c>
      <c r="F66" s="91">
        <f>E66*1.04</f>
        <v>-1685.6767927999999</v>
      </c>
      <c r="G66" s="91">
        <f>F66*1.04</f>
        <v>-1753.103864512</v>
      </c>
      <c r="H66" s="16">
        <f t="shared" si="28"/>
        <v>4.6786724720556672E-2</v>
      </c>
    </row>
    <row r="67" spans="2:8" ht="6" customHeight="1">
      <c r="B67" s="49"/>
      <c r="C67" s="3"/>
      <c r="D67" s="3"/>
      <c r="E67" s="3"/>
      <c r="F67" s="3"/>
      <c r="G67" s="3"/>
      <c r="H67" s="16"/>
    </row>
    <row r="68" spans="2:8">
      <c r="B68" s="65" t="s">
        <v>174</v>
      </c>
      <c r="C68" s="121">
        <f>SUM(C62,C65:C66)</f>
        <v>1515.8943873849985</v>
      </c>
      <c r="D68" s="121">
        <f>SUM(D62,D65:D66)</f>
        <v>2425.4476659786669</v>
      </c>
      <c r="E68" s="121">
        <f>SUM(E62,E65:E66)</f>
        <v>2905.4715215040005</v>
      </c>
      <c r="F68" s="121">
        <f t="shared" ref="F68:G68" si="29">SUM(F62,F65:F66)</f>
        <v>4059.3220472159974</v>
      </c>
      <c r="G68" s="121">
        <f t="shared" si="29"/>
        <v>5352.841370715998</v>
      </c>
      <c r="H68" s="18">
        <f>IFERROR(_xlfn.RRI(3,D68,G68), "N/A")</f>
        <v>0.30195954055210938</v>
      </c>
    </row>
    <row r="69" spans="2:8">
      <c r="B69" s="66" t="s">
        <v>175</v>
      </c>
      <c r="C69" s="67">
        <f>C68/C$47</f>
        <v>0.14392275439042307</v>
      </c>
      <c r="D69" s="67">
        <f>D68/D$47</f>
        <v>0.2015240662716182</v>
      </c>
      <c r="E69" s="67">
        <f>E68/E$47</f>
        <v>0.2116765206668616</v>
      </c>
      <c r="F69" s="67">
        <f t="shared" ref="F69:G69" si="30">F68/F$47</f>
        <v>0.25793562480636706</v>
      </c>
      <c r="G69" s="67">
        <f t="shared" si="30"/>
        <v>0.2973319558678626</v>
      </c>
      <c r="H69" s="100"/>
    </row>
    <row r="70" spans="2:8" ht="6" customHeight="1">
      <c r="B70" s="49"/>
      <c r="C70" s="3"/>
      <c r="D70" s="3"/>
      <c r="E70" s="3"/>
      <c r="F70" s="3"/>
      <c r="G70" s="3"/>
      <c r="H70" s="16"/>
    </row>
    <row r="71" spans="2:8">
      <c r="B71" t="s">
        <v>176</v>
      </c>
      <c r="C71" s="91">
        <f>'2025A'!F71</f>
        <v>-1673</v>
      </c>
      <c r="D71" s="91">
        <f>'2025A'!C71</f>
        <v>-1130</v>
      </c>
      <c r="E71" s="91">
        <f>'2026B'!C71</f>
        <v>-741.32</v>
      </c>
      <c r="F71" s="91">
        <f>E71+100</f>
        <v>-641.32000000000005</v>
      </c>
      <c r="G71" s="91">
        <f>F71+50</f>
        <v>-591.32000000000005</v>
      </c>
      <c r="H71" s="16">
        <f>IFERROR(_xlfn.RRI(3,D71,G71), "N/A")</f>
        <v>-0.19416144611359965</v>
      </c>
    </row>
    <row r="72" spans="2:8" ht="6" customHeight="1">
      <c r="B72" s="49"/>
      <c r="C72" s="3"/>
      <c r="D72" s="3"/>
      <c r="E72" s="3"/>
      <c r="F72" s="3"/>
      <c r="G72" s="3"/>
      <c r="H72" s="16"/>
    </row>
    <row r="73" spans="2:8">
      <c r="B73" s="65" t="s">
        <v>177</v>
      </c>
      <c r="C73" s="121">
        <f>SUM(C68,C71)</f>
        <v>-157.10561261500152</v>
      </c>
      <c r="D73" s="121">
        <f>SUM(D68,D71)</f>
        <v>1295.4476659786669</v>
      </c>
      <c r="E73" s="121">
        <f>SUM(E68,E71)</f>
        <v>2164.1515215040004</v>
      </c>
      <c r="F73" s="121">
        <f t="shared" ref="F73:G73" si="31">SUM(F68,F71)</f>
        <v>3418.0020472159972</v>
      </c>
      <c r="G73" s="121">
        <f t="shared" si="31"/>
        <v>4761.5213707159983</v>
      </c>
      <c r="H73" s="18">
        <f>IFERROR(_xlfn.RRI(3,D73,G73), "N/A")</f>
        <v>0.54327014600947443</v>
      </c>
    </row>
    <row r="74" spans="2:8">
      <c r="B74" s="66" t="s">
        <v>178</v>
      </c>
      <c r="C74" s="67">
        <f>C73/C$47</f>
        <v>-1.491599460088454E-2</v>
      </c>
      <c r="D74" s="67">
        <f>D73/D$47</f>
        <v>0.10763533880858191</v>
      </c>
      <c r="E74" s="67">
        <f>E73/E$47</f>
        <v>0.15766806209503945</v>
      </c>
      <c r="F74" s="67">
        <f t="shared" ref="F74:G74" si="32">F73/F$47</f>
        <v>0.21718515638411692</v>
      </c>
      <c r="G74" s="67">
        <f t="shared" si="32"/>
        <v>0.26448616052902801</v>
      </c>
      <c r="H74" s="100"/>
    </row>
  </sheetData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4450-9F1E-4A11-A593-4B69C1F378D4}">
  <sheetPr>
    <tabColor rgb="FF92D050"/>
  </sheetPr>
  <dimension ref="B2:V28"/>
  <sheetViews>
    <sheetView showGridLines="0" workbookViewId="0">
      <selection activeCell="D1" sqref="D1"/>
    </sheetView>
  </sheetViews>
  <sheetFormatPr defaultColWidth="8.85546875" defaultRowHeight="15"/>
  <cols>
    <col min="2" max="2" width="42.42578125" customWidth="1"/>
    <col min="11" max="13" width="9.5703125" bestFit="1" customWidth="1"/>
  </cols>
  <sheetData>
    <row r="2" spans="2:22">
      <c r="B2" s="74"/>
      <c r="C2" s="74" t="s">
        <v>273</v>
      </c>
      <c r="D2" s="74" t="s">
        <v>257</v>
      </c>
      <c r="E2" s="74" t="s">
        <v>275</v>
      </c>
      <c r="F2" s="74" t="s">
        <v>279</v>
      </c>
      <c r="G2" s="74" t="s">
        <v>280</v>
      </c>
      <c r="K2" s="185">
        <v>46023</v>
      </c>
      <c r="L2" s="185">
        <v>46054</v>
      </c>
      <c r="M2" s="185">
        <v>46082</v>
      </c>
      <c r="N2" s="185">
        <v>46113</v>
      </c>
      <c r="O2" s="185">
        <v>46143</v>
      </c>
      <c r="P2" s="185">
        <v>46174</v>
      </c>
      <c r="Q2" s="185">
        <v>46204</v>
      </c>
      <c r="R2" s="185">
        <v>46235</v>
      </c>
      <c r="S2" s="185">
        <v>46266</v>
      </c>
      <c r="T2" s="185">
        <v>46296</v>
      </c>
      <c r="U2" s="185">
        <v>46327</v>
      </c>
      <c r="V2" s="185">
        <v>46357</v>
      </c>
    </row>
    <row r="3" spans="2:22" ht="6" customHeight="1">
      <c r="B3" s="49"/>
      <c r="C3" s="63"/>
      <c r="D3" s="63"/>
      <c r="E3" s="63"/>
      <c r="F3" s="63"/>
      <c r="G3" s="63"/>
      <c r="H3" s="96"/>
    </row>
    <row r="4" spans="2:22">
      <c r="B4" t="s">
        <v>282</v>
      </c>
      <c r="C4" s="91">
        <f>'OLB workings'!G112</f>
        <v>7026</v>
      </c>
      <c r="D4" s="91">
        <f>C4-2500</f>
        <v>4526</v>
      </c>
      <c r="E4" s="91">
        <f>D4-2500</f>
        <v>2026</v>
      </c>
      <c r="F4" s="91">
        <v>0</v>
      </c>
      <c r="G4" s="91">
        <v>0</v>
      </c>
      <c r="K4" s="4">
        <f>D4-2500/12</f>
        <v>4317.666666666667</v>
      </c>
      <c r="L4" s="4">
        <f>K4-2500/12</f>
        <v>4109.3333333333339</v>
      </c>
      <c r="M4" s="4">
        <f t="shared" ref="M4:V4" si="0">L4-2500/12</f>
        <v>3901.0000000000005</v>
      </c>
      <c r="N4" s="4">
        <f t="shared" si="0"/>
        <v>3692.666666666667</v>
      </c>
      <c r="O4" s="4">
        <f t="shared" si="0"/>
        <v>3484.3333333333335</v>
      </c>
      <c r="P4" s="4">
        <f t="shared" si="0"/>
        <v>3276</v>
      </c>
      <c r="Q4" s="4">
        <f t="shared" si="0"/>
        <v>3067.6666666666665</v>
      </c>
      <c r="R4" s="4">
        <f t="shared" si="0"/>
        <v>2859.333333333333</v>
      </c>
      <c r="S4" s="4">
        <f t="shared" si="0"/>
        <v>2650.9999999999995</v>
      </c>
      <c r="T4" s="4">
        <f t="shared" si="0"/>
        <v>2442.6666666666661</v>
      </c>
      <c r="U4" s="4">
        <f t="shared" si="0"/>
        <v>2234.3333333333326</v>
      </c>
      <c r="V4" s="4">
        <f t="shared" si="0"/>
        <v>2025.9999999999993</v>
      </c>
    </row>
    <row r="5" spans="2:22">
      <c r="B5" t="s">
        <v>283</v>
      </c>
      <c r="C5" s="91">
        <f>'OLB workings'!G113</f>
        <v>2991.75</v>
      </c>
      <c r="D5" s="91">
        <f>C5-C5/5-'Cash Flows'!D11</f>
        <v>2663.4</v>
      </c>
      <c r="E5" s="91">
        <f>D5-D5/5-'Cash Flows'!E11</f>
        <v>2430.7200000000003</v>
      </c>
      <c r="F5" s="91">
        <f>E5-E5/5-'Cash Flows'!F11</f>
        <v>2244.576</v>
      </c>
      <c r="G5" s="91">
        <f>F5-F5/5-'Cash Flows'!G11</f>
        <v>2095.6608000000001</v>
      </c>
      <c r="K5" s="4">
        <f>D5-$D$5/(5*12)-'Cash Flows'!K11</f>
        <v>2644.01</v>
      </c>
      <c r="L5" s="4">
        <f>K5-$D$5/(5*12)-'Cash Flows'!L11</f>
        <v>2624.6200000000003</v>
      </c>
      <c r="M5" s="4">
        <f>L5-$D$5/(5*12)-'Cash Flows'!M11</f>
        <v>2605.2300000000005</v>
      </c>
      <c r="N5" s="4">
        <f>M5-$D$5/(5*12)-'Cash Flows'!N11</f>
        <v>2585.8400000000006</v>
      </c>
      <c r="O5" s="4">
        <f>N5-$D$5/(5*12)-'Cash Flows'!O11</f>
        <v>2566.4500000000007</v>
      </c>
      <c r="P5" s="4">
        <f>O5-$D$5/(5*12)-'Cash Flows'!P11</f>
        <v>2547.0600000000009</v>
      </c>
      <c r="Q5" s="4">
        <f>P5-$D$5/(5*12)-'Cash Flows'!Q11</f>
        <v>2527.670000000001</v>
      </c>
      <c r="R5" s="4">
        <f>Q5-$D$5/(5*12)-'Cash Flows'!R11</f>
        <v>2508.2800000000011</v>
      </c>
      <c r="S5" s="4">
        <f>R5-$D$5/(5*12)-'Cash Flows'!S11</f>
        <v>2488.8900000000012</v>
      </c>
      <c r="T5" s="4">
        <f>S5-$D$5/(5*12)-'Cash Flows'!T11</f>
        <v>2469.5000000000014</v>
      </c>
      <c r="U5" s="4">
        <f>T5-$D$5/(5*12)-'Cash Flows'!U11</f>
        <v>2450.1100000000015</v>
      </c>
      <c r="V5" s="4">
        <f>U5-$D$5/(5*12)-'Cash Flows'!V11</f>
        <v>2430.7200000000016</v>
      </c>
    </row>
    <row r="6" spans="2:22">
      <c r="B6" s="102" t="s">
        <v>284</v>
      </c>
      <c r="C6" s="122">
        <f>SUM(C4:C5)</f>
        <v>10017.75</v>
      </c>
      <c r="D6" s="122">
        <f t="shared" ref="D6:G6" si="1">SUM(D4:D5)</f>
        <v>7189.4</v>
      </c>
      <c r="E6" s="122">
        <f t="shared" si="1"/>
        <v>4456.72</v>
      </c>
      <c r="F6" s="122">
        <f t="shared" si="1"/>
        <v>2244.576</v>
      </c>
      <c r="G6" s="122">
        <f t="shared" si="1"/>
        <v>2095.6608000000001</v>
      </c>
      <c r="K6" s="122">
        <f t="shared" ref="K6:V6" si="2">SUM(K4:K5)</f>
        <v>6961.6766666666672</v>
      </c>
      <c r="L6" s="122">
        <f t="shared" si="2"/>
        <v>6733.9533333333347</v>
      </c>
      <c r="M6" s="122">
        <f t="shared" si="2"/>
        <v>6506.2300000000014</v>
      </c>
      <c r="N6" s="122">
        <f t="shared" si="2"/>
        <v>6278.506666666668</v>
      </c>
      <c r="O6" s="122">
        <f t="shared" si="2"/>
        <v>6050.7833333333347</v>
      </c>
      <c r="P6" s="122">
        <f t="shared" si="2"/>
        <v>5823.0600000000013</v>
      </c>
      <c r="Q6" s="122">
        <f t="shared" si="2"/>
        <v>5595.336666666668</v>
      </c>
      <c r="R6" s="122">
        <f t="shared" si="2"/>
        <v>5367.6133333333346</v>
      </c>
      <c r="S6" s="122">
        <f t="shared" si="2"/>
        <v>5139.8900000000012</v>
      </c>
      <c r="T6" s="122">
        <f t="shared" si="2"/>
        <v>4912.1666666666679</v>
      </c>
      <c r="U6" s="122">
        <f t="shared" si="2"/>
        <v>4684.4433333333345</v>
      </c>
      <c r="V6" s="122">
        <f t="shared" si="2"/>
        <v>4456.7200000000012</v>
      </c>
    </row>
    <row r="7" spans="2:22" ht="6" customHeight="1">
      <c r="B7" s="49"/>
      <c r="C7" s="91"/>
      <c r="D7" s="91"/>
      <c r="E7" s="91"/>
      <c r="F7" s="91"/>
      <c r="G7" s="91"/>
      <c r="H7" s="96"/>
    </row>
    <row r="8" spans="2:22">
      <c r="B8" t="s">
        <v>285</v>
      </c>
      <c r="C8" s="91">
        <f>'OLB workings'!G116</f>
        <v>2757</v>
      </c>
      <c r="D8" s="91">
        <v>3100</v>
      </c>
      <c r="E8" s="91">
        <f>'BS Inputs'!F6</f>
        <v>3255.3181656986308</v>
      </c>
      <c r="F8" s="91">
        <f>'BS Inputs'!G6</f>
        <v>3525.3569952745215</v>
      </c>
      <c r="G8" s="91">
        <f>'BS Inputs'!H6</f>
        <v>3778.9696148778107</v>
      </c>
      <c r="K8" s="91">
        <f>D8+200+'2026B'!M48</f>
        <v>3158.8372106459456</v>
      </c>
      <c r="L8" s="91">
        <f>K8+250+'2026B'!N48</f>
        <v>3194.2316309084226</v>
      </c>
      <c r="M8" s="91">
        <f>L8+250+'2026B'!O48</f>
        <v>3232.2624762792179</v>
      </c>
      <c r="N8" s="91">
        <f>M8+250+'2026B'!P48</f>
        <v>3311.8526081765804</v>
      </c>
      <c r="O8" s="91">
        <f>N8+250+'2026B'!Q48</f>
        <v>3325.4382348667314</v>
      </c>
      <c r="P8" s="91">
        <f>O8+250+'2026B'!R48</f>
        <v>3367.8139747490304</v>
      </c>
      <c r="Q8" s="91">
        <f>P8+250+'2026B'!S48</f>
        <v>3449.1975063985328</v>
      </c>
      <c r="R8" s="91">
        <f>Q8+250+'2026B'!T48</f>
        <v>3497.091540476813</v>
      </c>
      <c r="S8" s="91">
        <f>R8+250+'2026B'!U48</f>
        <v>3485.6168979548979</v>
      </c>
      <c r="T8" s="91">
        <f>S8+250+'2026B'!V48</f>
        <v>3449.917520448656</v>
      </c>
      <c r="U8" s="91">
        <f>T8+250+'2026B'!W48</f>
        <v>3424.4609135513097</v>
      </c>
      <c r="V8" s="91">
        <f>E8</f>
        <v>3255.3181656986308</v>
      </c>
    </row>
    <row r="9" spans="2:22">
      <c r="B9" t="s">
        <v>286</v>
      </c>
      <c r="C9" s="91">
        <f>'OLB workings'!G117</f>
        <v>684</v>
      </c>
      <c r="D9" s="91">
        <v>850</v>
      </c>
      <c r="E9" s="91">
        <f>'BS Inputs'!F4</f>
        <v>940.13685649315073</v>
      </c>
      <c r="F9" s="91">
        <f>'BS Inputs'!G4</f>
        <v>1077.9269318356164</v>
      </c>
      <c r="G9" s="91">
        <f>'BS Inputs'!H4</f>
        <v>1233.0762414246576</v>
      </c>
      <c r="K9" s="91">
        <f>'2026B'!M47*'BS Inputs'!$D4/30</f>
        <v>689.85058505555548</v>
      </c>
      <c r="L9" s="91">
        <f>'2026B'!N47*'BS Inputs'!$D4/30</f>
        <v>928.40121005555568</v>
      </c>
      <c r="M9" s="91">
        <f>'2026B'!O47*'BS Inputs'!$D4/30</f>
        <v>991.24781005555565</v>
      </c>
      <c r="N9" s="91">
        <f>'2026B'!P47*'BS Inputs'!$D4/30</f>
        <v>825.39062255555575</v>
      </c>
      <c r="O9" s="91">
        <f>'2026B'!Q47*'BS Inputs'!$D4/30</f>
        <v>1012.8221850555555</v>
      </c>
      <c r="P9" s="91">
        <f>'2026B'!R47*'BS Inputs'!$D4/30</f>
        <v>918.51079338888894</v>
      </c>
      <c r="Q9" s="91">
        <f>'2026B'!S47*'BS Inputs'!$D4/30</f>
        <v>827.64121005555546</v>
      </c>
      <c r="R9" s="91">
        <f>'2026B'!T47*'BS Inputs'!$D4/30</f>
        <v>852.67832255555561</v>
      </c>
      <c r="S9" s="91">
        <f>'2026B'!U47*'BS Inputs'!$D4/30</f>
        <v>1096.5816642222223</v>
      </c>
      <c r="T9" s="91">
        <f>'2026B'!V47*'BS Inputs'!$D4/30</f>
        <v>1215.3419100555554</v>
      </c>
      <c r="U9" s="91">
        <f>'2026B'!W47*'BS Inputs'!$D4/30</f>
        <v>1157.7239558888889</v>
      </c>
      <c r="V9" s="91">
        <f>E9</f>
        <v>940.13685649315073</v>
      </c>
    </row>
    <row r="10" spans="2:22">
      <c r="B10" t="s">
        <v>287</v>
      </c>
      <c r="C10" s="91">
        <f>'OLB workings'!G118</f>
        <v>178</v>
      </c>
      <c r="D10" s="91">
        <v>200</v>
      </c>
      <c r="E10" s="91">
        <v>200</v>
      </c>
      <c r="F10" s="91">
        <v>200</v>
      </c>
      <c r="G10" s="91">
        <v>200</v>
      </c>
      <c r="K10" s="91">
        <f>D10</f>
        <v>200</v>
      </c>
      <c r="L10" s="91">
        <f>K10</f>
        <v>200</v>
      </c>
      <c r="M10" s="91">
        <f t="shared" ref="M10:V10" si="3">L10</f>
        <v>200</v>
      </c>
      <c r="N10" s="91">
        <f t="shared" si="3"/>
        <v>200</v>
      </c>
      <c r="O10" s="91">
        <f t="shared" si="3"/>
        <v>200</v>
      </c>
      <c r="P10" s="91">
        <f t="shared" si="3"/>
        <v>200</v>
      </c>
      <c r="Q10" s="91">
        <f t="shared" si="3"/>
        <v>200</v>
      </c>
      <c r="R10" s="91">
        <f t="shared" si="3"/>
        <v>200</v>
      </c>
      <c r="S10" s="91">
        <f t="shared" si="3"/>
        <v>200</v>
      </c>
      <c r="T10" s="91">
        <f t="shared" si="3"/>
        <v>200</v>
      </c>
      <c r="U10" s="91">
        <f t="shared" si="3"/>
        <v>200</v>
      </c>
      <c r="V10" s="91">
        <f t="shared" si="3"/>
        <v>200</v>
      </c>
    </row>
    <row r="11" spans="2:22">
      <c r="B11" t="s">
        <v>288</v>
      </c>
      <c r="C11" s="91">
        <f>'OLB workings'!G119</f>
        <v>141</v>
      </c>
      <c r="D11" s="91">
        <f>'Cash Flows'!D29</f>
        <v>1652.6310504200126</v>
      </c>
      <c r="E11" s="91">
        <f>'Cash Flows'!E29</f>
        <v>1364.4995089486258</v>
      </c>
      <c r="F11" s="91">
        <f>'Cash Flows'!F29</f>
        <v>1499.8843293428592</v>
      </c>
      <c r="G11" s="91">
        <f>'Cash Flows'!G29</f>
        <v>1314.0645595346534</v>
      </c>
      <c r="K11" s="91">
        <f>'Cash Flows'!K29</f>
        <v>1663.3723078810683</v>
      </c>
      <c r="L11" s="91">
        <f>'Cash Flows'!L29</f>
        <v>1415.5029725188865</v>
      </c>
      <c r="M11" s="91">
        <f>'Cash Flows'!M29</f>
        <v>1335.1055542775962</v>
      </c>
      <c r="N11" s="91">
        <f>'Cash Flows'!N29</f>
        <v>1254.945271875697</v>
      </c>
      <c r="O11" s="91">
        <f>'Cash Flows'!O29</f>
        <v>1379.6295062198994</v>
      </c>
      <c r="P11" s="91">
        <f>'Cash Flows'!P29</f>
        <v>1255.2225030748414</v>
      </c>
      <c r="Q11" s="91">
        <f>'Cash Flows'!Q29</f>
        <v>1203.2344044074075</v>
      </c>
      <c r="R11" s="91">
        <f>'Cash Flows'!R29</f>
        <v>1116.7935120195687</v>
      </c>
      <c r="S11" s="91">
        <f>'Cash Flows'!S29</f>
        <v>1047.6273721809168</v>
      </c>
      <c r="T11" s="91">
        <f>'Cash Flows'!T29</f>
        <v>1368.6827409145276</v>
      </c>
      <c r="U11" s="91">
        <f>'Cash Flows'!U29</f>
        <v>1803.8097134016343</v>
      </c>
      <c r="V11" s="91">
        <f>'Cash Flows'!V29</f>
        <v>1364.8920518596863</v>
      </c>
    </row>
    <row r="12" spans="2:22">
      <c r="B12" s="6" t="s">
        <v>289</v>
      </c>
      <c r="C12" s="121">
        <f>SUM(C8:C11)</f>
        <v>3760</v>
      </c>
      <c r="D12" s="121">
        <f t="shared" ref="D12:G12" si="4">SUM(D8:D11)</f>
        <v>5802.6310504200128</v>
      </c>
      <c r="E12" s="121">
        <f t="shared" si="4"/>
        <v>5759.9545311404072</v>
      </c>
      <c r="F12" s="121">
        <f t="shared" si="4"/>
        <v>6303.1682564529974</v>
      </c>
      <c r="G12" s="121">
        <f t="shared" si="4"/>
        <v>6526.1104158371218</v>
      </c>
      <c r="K12" s="121">
        <f t="shared" ref="K12:V12" si="5">SUM(K8:K11)</f>
        <v>5712.0601035825694</v>
      </c>
      <c r="L12" s="121">
        <f t="shared" si="5"/>
        <v>5738.1358134828643</v>
      </c>
      <c r="M12" s="121">
        <f t="shared" si="5"/>
        <v>5758.6158406123704</v>
      </c>
      <c r="N12" s="121">
        <f t="shared" si="5"/>
        <v>5592.1885026078326</v>
      </c>
      <c r="O12" s="121">
        <f t="shared" si="5"/>
        <v>5917.8899261421866</v>
      </c>
      <c r="P12" s="121">
        <f t="shared" si="5"/>
        <v>5741.5472712127612</v>
      </c>
      <c r="Q12" s="121">
        <f t="shared" si="5"/>
        <v>5680.0731208614961</v>
      </c>
      <c r="R12" s="121">
        <f t="shared" si="5"/>
        <v>5666.5633750519373</v>
      </c>
      <c r="S12" s="121">
        <f t="shared" si="5"/>
        <v>5829.8259343580366</v>
      </c>
      <c r="T12" s="121">
        <f t="shared" si="5"/>
        <v>6233.9421714187392</v>
      </c>
      <c r="U12" s="121">
        <f t="shared" si="5"/>
        <v>6585.9945828418331</v>
      </c>
      <c r="V12" s="121">
        <f t="shared" si="5"/>
        <v>5760.3470740514676</v>
      </c>
    </row>
    <row r="13" spans="2:22" ht="6" customHeight="1">
      <c r="B13" s="49"/>
      <c r="C13" s="91"/>
      <c r="D13" s="91"/>
      <c r="E13" s="91"/>
      <c r="F13" s="91"/>
      <c r="G13" s="91"/>
      <c r="H13" s="96"/>
    </row>
    <row r="14" spans="2:22">
      <c r="B14" t="s">
        <v>290</v>
      </c>
      <c r="C14" s="91">
        <f>'OLB workings'!G122</f>
        <v>-1206</v>
      </c>
      <c r="D14" s="91">
        <f>'OLB workings'!O122</f>
        <v>-875.89164890410962</v>
      </c>
      <c r="E14" s="91">
        <f>'BS Inputs'!F5</f>
        <v>-950.28876027090405</v>
      </c>
      <c r="F14" s="91">
        <f>'BS Inputs'!G5</f>
        <v>-1012.580643089096</v>
      </c>
      <c r="G14" s="91">
        <f>'BS Inputs'!H5</f>
        <v>-1088.3335688288221</v>
      </c>
      <c r="K14" s="91">
        <f>SUM('2026B'!M48,'2026B'!M53:M54,'2026B'!M59:M60,'2026B'!M65:M66,'2026B'!M71)*'BS Inputs'!$D$5/30</f>
        <v>-809.43655014130468</v>
      </c>
      <c r="L14" s="91">
        <f>SUM('2026B'!N48,'2026B'!N53:N54,'2026B'!N59:N60,'2026B'!N65:N66,'2026B'!N71)*'BS Inputs'!$D$5/30</f>
        <v>-914.01734493716151</v>
      </c>
      <c r="M14" s="91">
        <f>SUM('2026B'!O48,'2026B'!O53:O54,'2026B'!O59:O60,'2026B'!O65:O66,'2026B'!O71)*'BS Inputs'!$D$5/30</f>
        <v>-1098.3268930461368</v>
      </c>
      <c r="N14" s="91">
        <f>SUM('2026B'!P48,'2026B'!P53:P54,'2026B'!P59:P60,'2026B'!P65:P66,'2026B'!P71)*'BS Inputs'!$D$5/30</f>
        <v>-867.18519853231305</v>
      </c>
      <c r="O14" s="91">
        <f>SUM('2026B'!Q48,'2026B'!Q53:Q54,'2026B'!Q59:Q60,'2026B'!Q65:Q66,'2026B'!Q71)*'BS Inputs'!$D$5/30</f>
        <v>-987.48641497102517</v>
      </c>
      <c r="P14" s="91">
        <f>SUM('2026B'!R48,'2026B'!R53:R54,'2026B'!R59:R60,'2026B'!R65:R66,'2026B'!R71)*'BS Inputs'!$D$5/30</f>
        <v>-1032.1436024179318</v>
      </c>
      <c r="Q14" s="91">
        <f>SUM('2026B'!S48,'2026B'!S53:S54,'2026B'!S59:S60,'2026B'!S65:S66,'2026B'!S71)*'BS Inputs'!$D$5/30</f>
        <v>-978.1545408511588</v>
      </c>
      <c r="R14" s="91">
        <f>SUM('2026B'!T48,'2026B'!T53:T54,'2026B'!T59:T60,'2026B'!T65:T66,'2026B'!T71)*'BS Inputs'!$D$5/30</f>
        <v>-897.63543776056656</v>
      </c>
      <c r="S14" s="91">
        <f>SUM('2026B'!U48,'2026B'!U53:U54,'2026B'!U59:U60,'2026B'!U65:U66,'2026B'!U71)*'BS Inputs'!$D$5/30</f>
        <v>-995.7248629808978</v>
      </c>
      <c r="T14" s="91">
        <f>SUM('2026B'!V48,'2026B'!V53:V54,'2026B'!V59:V60,'2026B'!V65:V66,'2026B'!V71)*'BS Inputs'!$D$5/30</f>
        <v>-1014.7163356435722</v>
      </c>
      <c r="U14" s="91">
        <f>SUM('2026B'!W48,'2026B'!W53:W54,'2026B'!W59:W60,'2026B'!W65:W66,'2026B'!W71)*'BS Inputs'!$D$5/30</f>
        <v>-1001.7377741914414</v>
      </c>
      <c r="V14" s="91">
        <f>E14</f>
        <v>-950.28876027090405</v>
      </c>
    </row>
    <row r="15" spans="2:22">
      <c r="B15" t="s">
        <v>291</v>
      </c>
      <c r="C15" s="91">
        <f>'OLB workings'!G123</f>
        <v>-406</v>
      </c>
      <c r="D15" s="91">
        <v>-600</v>
      </c>
      <c r="E15" s="91">
        <f>D15</f>
        <v>-600</v>
      </c>
      <c r="F15" s="91">
        <f t="shared" ref="F15:G15" si="6">E15</f>
        <v>-600</v>
      </c>
      <c r="G15" s="91">
        <f t="shared" si="6"/>
        <v>-600</v>
      </c>
      <c r="K15" s="91">
        <f>D15</f>
        <v>-600</v>
      </c>
      <c r="L15" s="91">
        <f>K15+200</f>
        <v>-400</v>
      </c>
      <c r="M15" s="91">
        <f>L15-20</f>
        <v>-420</v>
      </c>
      <c r="N15" s="91">
        <f t="shared" ref="N15:V15" si="7">M15-20</f>
        <v>-440</v>
      </c>
      <c r="O15" s="91">
        <f t="shared" si="7"/>
        <v>-460</v>
      </c>
      <c r="P15" s="91">
        <f t="shared" si="7"/>
        <v>-480</v>
      </c>
      <c r="Q15" s="91">
        <f t="shared" si="7"/>
        <v>-500</v>
      </c>
      <c r="R15" s="91">
        <f t="shared" si="7"/>
        <v>-520</v>
      </c>
      <c r="S15" s="91">
        <f t="shared" si="7"/>
        <v>-540</v>
      </c>
      <c r="T15" s="91">
        <f t="shared" si="7"/>
        <v>-560</v>
      </c>
      <c r="U15" s="91">
        <f t="shared" si="7"/>
        <v>-580</v>
      </c>
      <c r="V15" s="91">
        <f t="shared" si="7"/>
        <v>-600</v>
      </c>
    </row>
    <row r="16" spans="2:22">
      <c r="B16" t="s">
        <v>292</v>
      </c>
      <c r="C16" s="91">
        <f>'OLB workings'!G124</f>
        <v>-1809</v>
      </c>
      <c r="D16" s="91">
        <f>'OLB workings'!O124</f>
        <v>-2700</v>
      </c>
      <c r="E16" s="91">
        <f>D16</f>
        <v>-2700</v>
      </c>
      <c r="F16" s="91">
        <v>-2700</v>
      </c>
      <c r="G16" s="91">
        <f>F16+1700</f>
        <v>-1000</v>
      </c>
      <c r="K16" s="91">
        <f>D16</f>
        <v>-2700</v>
      </c>
      <c r="L16" s="91">
        <f>K16</f>
        <v>-2700</v>
      </c>
      <c r="M16" s="91">
        <f t="shared" ref="M16:V16" si="8">L16</f>
        <v>-2700</v>
      </c>
      <c r="N16" s="91">
        <f t="shared" si="8"/>
        <v>-2700</v>
      </c>
      <c r="O16" s="91">
        <f t="shared" si="8"/>
        <v>-2700</v>
      </c>
      <c r="P16" s="91">
        <f t="shared" si="8"/>
        <v>-2700</v>
      </c>
      <c r="Q16" s="91">
        <f t="shared" si="8"/>
        <v>-2700</v>
      </c>
      <c r="R16" s="91">
        <f t="shared" si="8"/>
        <v>-2700</v>
      </c>
      <c r="S16" s="91">
        <f t="shared" si="8"/>
        <v>-2700</v>
      </c>
      <c r="T16" s="91">
        <f t="shared" si="8"/>
        <v>-2700</v>
      </c>
      <c r="U16" s="91">
        <f t="shared" si="8"/>
        <v>-2700</v>
      </c>
      <c r="V16" s="91">
        <f t="shared" si="8"/>
        <v>-2700</v>
      </c>
    </row>
    <row r="17" spans="2:22">
      <c r="B17" s="6" t="s">
        <v>293</v>
      </c>
      <c r="C17" s="121">
        <f>SUM(C14:C16)</f>
        <v>-3421</v>
      </c>
      <c r="D17" s="121">
        <f t="shared" ref="D17:G17" si="9">SUM(D14:D16)</f>
        <v>-4175.8916489041094</v>
      </c>
      <c r="E17" s="121">
        <f t="shared" si="9"/>
        <v>-4250.2887602709043</v>
      </c>
      <c r="F17" s="121">
        <f t="shared" si="9"/>
        <v>-4312.5806430890962</v>
      </c>
      <c r="G17" s="121">
        <f t="shared" si="9"/>
        <v>-2688.3335688288221</v>
      </c>
      <c r="K17" s="121">
        <f t="shared" ref="K17:V17" si="10">SUM(K14:K16)</f>
        <v>-4109.4365501413049</v>
      </c>
      <c r="L17" s="121">
        <f t="shared" si="10"/>
        <v>-4014.0173449371614</v>
      </c>
      <c r="M17" s="121">
        <f t="shared" si="10"/>
        <v>-4218.3268930461363</v>
      </c>
      <c r="N17" s="121">
        <f t="shared" si="10"/>
        <v>-4007.1851985323128</v>
      </c>
      <c r="O17" s="121">
        <f t="shared" si="10"/>
        <v>-4147.4864149710247</v>
      </c>
      <c r="P17" s="121">
        <f t="shared" si="10"/>
        <v>-4212.143602417932</v>
      </c>
      <c r="Q17" s="121">
        <f t="shared" si="10"/>
        <v>-4178.1545408511593</v>
      </c>
      <c r="R17" s="121">
        <f t="shared" si="10"/>
        <v>-4117.6354377605667</v>
      </c>
      <c r="S17" s="121">
        <f t="shared" si="10"/>
        <v>-4235.7248629808983</v>
      </c>
      <c r="T17" s="121">
        <f t="shared" si="10"/>
        <v>-4274.7163356435722</v>
      </c>
      <c r="U17" s="121">
        <f t="shared" si="10"/>
        <v>-4281.7377741914415</v>
      </c>
      <c r="V17" s="121">
        <f t="shared" si="10"/>
        <v>-4250.2887602709043</v>
      </c>
    </row>
    <row r="18" spans="2:22" ht="6" customHeight="1">
      <c r="B18" s="49"/>
      <c r="C18" s="91"/>
      <c r="D18" s="91"/>
      <c r="E18" s="91"/>
      <c r="F18" s="91"/>
      <c r="G18" s="91"/>
      <c r="H18" s="96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</row>
    <row r="19" spans="2:22">
      <c r="B19" s="102" t="s">
        <v>294</v>
      </c>
      <c r="C19" s="122">
        <f>SUM(C12,C17)</f>
        <v>339</v>
      </c>
      <c r="D19" s="122">
        <f t="shared" ref="D19:G19" si="11">SUM(D12,D17)</f>
        <v>1626.7394015159034</v>
      </c>
      <c r="E19" s="122">
        <f t="shared" si="11"/>
        <v>1509.6657708695029</v>
      </c>
      <c r="F19" s="122">
        <f t="shared" si="11"/>
        <v>1990.5876133639013</v>
      </c>
      <c r="G19" s="122">
        <f t="shared" si="11"/>
        <v>3837.7768470082997</v>
      </c>
      <c r="K19" s="122">
        <f t="shared" ref="K19:V19" si="12">SUM(K12,K17)</f>
        <v>1602.6235534412644</v>
      </c>
      <c r="L19" s="122">
        <f t="shared" si="12"/>
        <v>1724.1184685457029</v>
      </c>
      <c r="M19" s="122">
        <f t="shared" si="12"/>
        <v>1540.2889475662341</v>
      </c>
      <c r="N19" s="122">
        <f t="shared" si="12"/>
        <v>1585.0033040755197</v>
      </c>
      <c r="O19" s="122">
        <f t="shared" si="12"/>
        <v>1770.4035111711619</v>
      </c>
      <c r="P19" s="122">
        <f t="shared" si="12"/>
        <v>1529.4036687948292</v>
      </c>
      <c r="Q19" s="122">
        <f t="shared" si="12"/>
        <v>1501.9185800103369</v>
      </c>
      <c r="R19" s="122">
        <f t="shared" si="12"/>
        <v>1548.9279372913707</v>
      </c>
      <c r="S19" s="122">
        <f t="shared" si="12"/>
        <v>1594.1010713771384</v>
      </c>
      <c r="T19" s="122">
        <f t="shared" si="12"/>
        <v>1959.2258357751671</v>
      </c>
      <c r="U19" s="122">
        <f t="shared" si="12"/>
        <v>2304.2568086503916</v>
      </c>
      <c r="V19" s="122">
        <f t="shared" si="12"/>
        <v>1510.0583137805634</v>
      </c>
    </row>
    <row r="20" spans="2:22" ht="6" customHeight="1">
      <c r="B20" s="49"/>
      <c r="C20" s="91"/>
      <c r="D20" s="91"/>
      <c r="E20" s="91"/>
      <c r="F20" s="91"/>
      <c r="G20" s="91"/>
      <c r="H20" s="96"/>
    </row>
    <row r="21" spans="2:22">
      <c r="B21" t="s">
        <v>295</v>
      </c>
      <c r="C21" s="91">
        <f>'OLB workings'!G129</f>
        <v>-9336</v>
      </c>
      <c r="D21" s="91">
        <f>'OLB workings'!O129</f>
        <v>-8800.5</v>
      </c>
      <c r="E21" s="91">
        <f>'OLB workings'!P129</f>
        <v>-7551</v>
      </c>
      <c r="F21" s="91">
        <f>'OLB workings'!Q129</f>
        <v>-6212.25</v>
      </c>
      <c r="G21" s="91">
        <f>'OLB workings'!R129</f>
        <v>-4873.5</v>
      </c>
      <c r="K21" s="91">
        <f>D21-200/6</f>
        <v>-8833.8333333333339</v>
      </c>
      <c r="L21" s="91">
        <f>K21-200/6</f>
        <v>-8867.1666666666679</v>
      </c>
      <c r="M21" s="91">
        <f>L21-200/6+250</f>
        <v>-8650.5000000000018</v>
      </c>
      <c r="N21" s="91">
        <f>M21-200/6</f>
        <v>-8683.8333333333358</v>
      </c>
      <c r="O21" s="91">
        <f>N21-200/6</f>
        <v>-8717.1666666666697</v>
      </c>
      <c r="P21" s="91">
        <f>O21-200/6+250</f>
        <v>-8500.5000000000036</v>
      </c>
      <c r="Q21" s="91">
        <f>P21-200/6</f>
        <v>-8533.8333333333376</v>
      </c>
      <c r="R21" s="91">
        <f>Q21-200/6</f>
        <v>-8567.1666666666715</v>
      </c>
      <c r="S21" s="91">
        <f>R21-200/6+250</f>
        <v>-8350.5000000000055</v>
      </c>
      <c r="T21" s="91">
        <f>S21-200/6</f>
        <v>-8383.8333333333394</v>
      </c>
      <c r="U21" s="91">
        <f>T21-200/6</f>
        <v>-8417.1666666666733</v>
      </c>
      <c r="V21" s="91">
        <f>E21</f>
        <v>-7551</v>
      </c>
    </row>
    <row r="22" spans="2:22">
      <c r="B22" s="102" t="s">
        <v>296</v>
      </c>
      <c r="C22" s="122">
        <f>C21</f>
        <v>-9336</v>
      </c>
      <c r="D22" s="122">
        <f t="shared" ref="D22:G22" si="13">D21</f>
        <v>-8800.5</v>
      </c>
      <c r="E22" s="122">
        <f t="shared" si="13"/>
        <v>-7551</v>
      </c>
      <c r="F22" s="122">
        <f t="shared" si="13"/>
        <v>-6212.25</v>
      </c>
      <c r="G22" s="122">
        <f t="shared" si="13"/>
        <v>-4873.5</v>
      </c>
      <c r="K22" s="122">
        <f t="shared" ref="K22:V22" si="14">K21</f>
        <v>-8833.8333333333339</v>
      </c>
      <c r="L22" s="122">
        <f t="shared" si="14"/>
        <v>-8867.1666666666679</v>
      </c>
      <c r="M22" s="122">
        <f t="shared" si="14"/>
        <v>-8650.5000000000018</v>
      </c>
      <c r="N22" s="122">
        <f t="shared" si="14"/>
        <v>-8683.8333333333358</v>
      </c>
      <c r="O22" s="122">
        <f t="shared" si="14"/>
        <v>-8717.1666666666697</v>
      </c>
      <c r="P22" s="122">
        <f t="shared" si="14"/>
        <v>-8500.5000000000036</v>
      </c>
      <c r="Q22" s="122">
        <f t="shared" si="14"/>
        <v>-8533.8333333333376</v>
      </c>
      <c r="R22" s="122">
        <f t="shared" si="14"/>
        <v>-8567.1666666666715</v>
      </c>
      <c r="S22" s="122">
        <f t="shared" si="14"/>
        <v>-8350.5000000000055</v>
      </c>
      <c r="T22" s="122">
        <f t="shared" si="14"/>
        <v>-8383.8333333333394</v>
      </c>
      <c r="U22" s="122">
        <f t="shared" si="14"/>
        <v>-8417.1666666666733</v>
      </c>
      <c r="V22" s="122">
        <f t="shared" si="14"/>
        <v>-7551</v>
      </c>
    </row>
    <row r="23" spans="2:22" ht="6" customHeight="1">
      <c r="B23" s="49"/>
      <c r="C23" s="91"/>
      <c r="D23" s="91"/>
      <c r="E23" s="91"/>
      <c r="F23" s="91"/>
      <c r="G23" s="91"/>
      <c r="H23" s="96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</row>
    <row r="24" spans="2:22">
      <c r="B24" s="102" t="s">
        <v>297</v>
      </c>
      <c r="C24" s="122">
        <f>'OLB workings'!G132</f>
        <v>1020.75</v>
      </c>
      <c r="D24" s="122">
        <f>SUM(D6,D12,D17,D22)</f>
        <v>15.639401515903955</v>
      </c>
      <c r="E24" s="122">
        <f t="shared" ref="E24:G24" si="15">SUM(E6,E12,E17,E22)</f>
        <v>-1584.6142291304959</v>
      </c>
      <c r="F24" s="122">
        <f t="shared" si="15"/>
        <v>-1977.0863866360987</v>
      </c>
      <c r="G24" s="122">
        <f t="shared" si="15"/>
        <v>1059.9376470082989</v>
      </c>
      <c r="K24" s="122">
        <f t="shared" ref="K24:V24" si="16">SUM(K6,K12,K17,K22)</f>
        <v>-269.53311322540139</v>
      </c>
      <c r="L24" s="122">
        <f t="shared" si="16"/>
        <v>-409.09486478763029</v>
      </c>
      <c r="M24" s="122">
        <f t="shared" si="16"/>
        <v>-603.98105243376631</v>
      </c>
      <c r="N24" s="122">
        <f t="shared" si="16"/>
        <v>-820.323362591148</v>
      </c>
      <c r="O24" s="122">
        <f t="shared" si="16"/>
        <v>-895.97982216217315</v>
      </c>
      <c r="P24" s="122">
        <f t="shared" si="16"/>
        <v>-1148.0363312051732</v>
      </c>
      <c r="Q24" s="122">
        <f t="shared" si="16"/>
        <v>-1436.5780866563327</v>
      </c>
      <c r="R24" s="122">
        <f t="shared" si="16"/>
        <v>-1650.6253960419663</v>
      </c>
      <c r="S24" s="122">
        <f t="shared" si="16"/>
        <v>-1616.5089286228649</v>
      </c>
      <c r="T24" s="122">
        <f t="shared" si="16"/>
        <v>-1512.4408308915044</v>
      </c>
      <c r="U24" s="122">
        <f t="shared" si="16"/>
        <v>-1428.4665246829472</v>
      </c>
      <c r="V24" s="122">
        <f t="shared" si="16"/>
        <v>-1584.2216862194355</v>
      </c>
    </row>
    <row r="26" spans="2:22">
      <c r="B26" s="133" t="s">
        <v>298</v>
      </c>
      <c r="C26" s="133">
        <f>-C24+C22+C19+C6</f>
        <v>0</v>
      </c>
      <c r="D26" s="133">
        <f t="shared" ref="D26:G26" si="17">-D24+D22+D19+D6</f>
        <v>0</v>
      </c>
      <c r="E26" s="133">
        <f t="shared" si="17"/>
        <v>0</v>
      </c>
      <c r="F26" s="133">
        <f t="shared" si="17"/>
        <v>0</v>
      </c>
      <c r="G26" s="133">
        <f t="shared" si="17"/>
        <v>0</v>
      </c>
    </row>
    <row r="28" spans="2:22">
      <c r="B28" s="133" t="s">
        <v>299</v>
      </c>
      <c r="C28" s="75">
        <f>C11-'Cash Flows'!C29</f>
        <v>0.10561261500151886</v>
      </c>
      <c r="D28" s="75">
        <f>D11-'Cash Flows'!D29</f>
        <v>0</v>
      </c>
      <c r="E28" s="75">
        <f>E11-'Cash Flows'!E29</f>
        <v>0</v>
      </c>
      <c r="F28" s="75">
        <f>F11-'Cash Flows'!F29</f>
        <v>0</v>
      </c>
      <c r="G28" s="75">
        <f>G11-'Cash Flows'!G29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7DC7-0F82-482E-B811-03438BFB78C6}">
  <sheetPr>
    <tabColor rgb="FF92D050"/>
  </sheetPr>
  <dimension ref="B2:V29"/>
  <sheetViews>
    <sheetView showGridLines="0" workbookViewId="0">
      <selection activeCell="F18" sqref="F18"/>
    </sheetView>
  </sheetViews>
  <sheetFormatPr defaultColWidth="8.85546875" defaultRowHeight="15"/>
  <cols>
    <col min="2" max="2" width="42.42578125" customWidth="1"/>
  </cols>
  <sheetData>
    <row r="2" spans="2:22">
      <c r="B2" s="74"/>
      <c r="C2" s="74" t="s">
        <v>273</v>
      </c>
      <c r="D2" s="74" t="s">
        <v>257</v>
      </c>
      <c r="E2" s="74" t="s">
        <v>275</v>
      </c>
      <c r="F2" s="74" t="s">
        <v>279</v>
      </c>
      <c r="G2" s="74" t="s">
        <v>280</v>
      </c>
      <c r="K2" s="185">
        <v>46023</v>
      </c>
      <c r="L2" s="185">
        <v>46054</v>
      </c>
      <c r="M2" s="185">
        <v>46082</v>
      </c>
      <c r="N2" s="185">
        <v>46113</v>
      </c>
      <c r="O2" s="185">
        <v>46143</v>
      </c>
      <c r="P2" s="185">
        <v>46174</v>
      </c>
      <c r="Q2" s="185">
        <v>46204</v>
      </c>
      <c r="R2" s="185">
        <v>46235</v>
      </c>
      <c r="S2" s="185">
        <v>46266</v>
      </c>
      <c r="T2" s="185">
        <v>46296</v>
      </c>
      <c r="U2" s="185">
        <v>46327</v>
      </c>
      <c r="V2" s="185">
        <v>46357</v>
      </c>
    </row>
    <row r="3" spans="2:22" ht="6" customHeight="1">
      <c r="B3" s="49"/>
      <c r="C3" s="63"/>
      <c r="D3" s="63"/>
      <c r="E3" s="63"/>
      <c r="F3" s="63"/>
      <c r="G3" s="63"/>
      <c r="H3" s="96"/>
    </row>
    <row r="4" spans="2:22">
      <c r="B4" s="6" t="s">
        <v>177</v>
      </c>
      <c r="C4" s="134">
        <f>'3YP'!C73</f>
        <v>-157.10561261500152</v>
      </c>
      <c r="D4" s="134">
        <f>'3YP'!D73</f>
        <v>1295.4476659786669</v>
      </c>
      <c r="E4" s="134">
        <f>'3YP'!E73</f>
        <v>2164.1515215040004</v>
      </c>
      <c r="F4" s="134">
        <f>'3YP'!F73</f>
        <v>3418.0020472159972</v>
      </c>
      <c r="G4" s="134">
        <f>'3YP'!G73</f>
        <v>4761.5213707159983</v>
      </c>
      <c r="K4" s="134">
        <f>'2026B'!M73</f>
        <v>18.384151925361955</v>
      </c>
      <c r="L4" s="134">
        <f>'2026B'!N73</f>
        <v>200.06410712950512</v>
      </c>
      <c r="M4" s="134">
        <f>'2026B'!O73</f>
        <v>91.170479020529882</v>
      </c>
      <c r="N4" s="134">
        <f>'2026B'!P73</f>
        <v>123.28354853435351</v>
      </c>
      <c r="O4" s="134">
        <f>'2026B'!Q73</f>
        <v>227.90020709564132</v>
      </c>
      <c r="P4" s="134">
        <f>'2026B'!R73</f>
        <v>70.069349648734971</v>
      </c>
      <c r="Q4" s="134">
        <f>'2026B'!S73</f>
        <v>15.01491121550751</v>
      </c>
      <c r="R4" s="134">
        <f>'2026B'!T73</f>
        <v>125.57854930610014</v>
      </c>
      <c r="S4" s="134">
        <f>'2026B'!U73</f>
        <v>320.17313408576871</v>
      </c>
      <c r="T4" s="134">
        <f>'2026B'!V73</f>
        <v>443.69395642309428</v>
      </c>
      <c r="U4" s="134">
        <f>'2026B'!W73</f>
        <v>387.53097287522485</v>
      </c>
      <c r="V4" s="134">
        <f>'2026B'!X73</f>
        <v>141.62069715523896</v>
      </c>
    </row>
    <row r="5" spans="2:22" ht="6" customHeight="1">
      <c r="B5" s="49"/>
      <c r="C5" s="63"/>
      <c r="D5" s="63"/>
      <c r="E5" s="63"/>
      <c r="F5" s="63"/>
      <c r="G5" s="63"/>
      <c r="H5" s="96"/>
    </row>
    <row r="6" spans="2:22">
      <c r="B6" t="s">
        <v>300</v>
      </c>
      <c r="C6" s="91">
        <f>'OLB workings'!G86+5</f>
        <v>-768</v>
      </c>
      <c r="D6" s="91">
        <f>'OLB workings'!O86-500</f>
        <v>-2045.3891741369862</v>
      </c>
      <c r="E6" s="91">
        <f>SUM('Balance Sheet'!D8:D10)-SUM('Balance Sheet'!E8:E10)+SUM('Balance Sheet'!D14:D15)-SUM('Balance Sheet'!E14:E15)</f>
        <v>-171.05791082498718</v>
      </c>
      <c r="F6" s="91">
        <f>SUM('Balance Sheet'!E8:E10)-SUM('Balance Sheet'!F8:F10)+SUM('Balance Sheet'!E14:E15)-SUM('Balance Sheet'!F14:F15)</f>
        <v>-345.53702210016468</v>
      </c>
      <c r="G6" s="91">
        <f>SUM('Balance Sheet'!F8:F10)-SUM('Balance Sheet'!G8:G10)+SUM('Balance Sheet'!F14:F15)-SUM('Balance Sheet'!G14:G15)</f>
        <v>-333.00900345260425</v>
      </c>
      <c r="K6" s="91">
        <f>SUM('Balance Sheet'!D8:D10)-SUM('Balance Sheet'!K8:K10)+SUM('Balance Sheet'!D14:D15)-SUM('Balance Sheet'!K14:K15)</f>
        <v>34.85710553569379</v>
      </c>
      <c r="L6" s="91">
        <f>SUM('Balance Sheet'!K8:K10)-SUM('Balance Sheet'!L8:L10)+SUM('Balance Sheet'!K14:K15)-SUM('Balance Sheet'!L14:L15)</f>
        <v>-369.36425046662021</v>
      </c>
      <c r="M6" s="91">
        <f>SUM('Balance Sheet'!L8:L10)-SUM('Balance Sheet'!M8:M10)+SUM('Balance Sheet'!L14:L15)-SUM('Balance Sheet'!M14:M15)</f>
        <v>103.43210273817976</v>
      </c>
      <c r="N6" s="91">
        <f>SUM('Balance Sheet'!M8:M10)-SUM('Balance Sheet'!N8:N10)+SUM('Balance Sheet'!M14:M15)-SUM('Balance Sheet'!N14:N15)</f>
        <v>-124.87463891118591</v>
      </c>
      <c r="O6" s="91">
        <f>SUM('Balance Sheet'!N8:N10)-SUM('Balance Sheet'!O8:O10)+SUM('Balance Sheet'!N14:N15)-SUM('Balance Sheet'!O14:O15)</f>
        <v>-60.715972751438812</v>
      </c>
      <c r="P6" s="91">
        <f>SUM('Balance Sheet'!O8:O10)-SUM('Balance Sheet'!P8:P10)+SUM('Balance Sheet'!O14:O15)-SUM('Balance Sheet'!P14:P15)</f>
        <v>116.59283923127373</v>
      </c>
      <c r="Q6" s="91">
        <f>SUM('Balance Sheet'!P8:P10)-SUM('Balance Sheet'!Q8:Q10)+SUM('Balance Sheet'!P14:P15)-SUM('Balance Sheet'!Q14:Q15)</f>
        <v>-24.503009882941342</v>
      </c>
      <c r="R6" s="91">
        <f>SUM('Balance Sheet'!Q8:Q10)-SUM('Balance Sheet'!R8:R10)+SUM('Balance Sheet'!Q14:Q15)-SUM('Balance Sheet'!R14:R15)</f>
        <v>-133.4502496688724</v>
      </c>
      <c r="S6" s="91">
        <f>SUM('Balance Sheet'!R8:R10)-SUM('Balance Sheet'!S8:S10)+SUM('Balance Sheet'!R14:R15)-SUM('Balance Sheet'!S14:S15)</f>
        <v>-114.33927392442047</v>
      </c>
      <c r="T6" s="91">
        <f>SUM('Balance Sheet'!S8:S10)-SUM('Balance Sheet'!T8:T10)+SUM('Balance Sheet'!S14:S15)-SUM('Balance Sheet'!T14:T15)</f>
        <v>-44.069395664416788</v>
      </c>
      <c r="U6" s="91">
        <f>SUM('Balance Sheet'!T8:T10)-SUM('Balance Sheet'!U8:U10)+SUM('Balance Sheet'!T14:T15)-SUM('Balance Sheet'!U14:U15)</f>
        <v>90.09599961188178</v>
      </c>
      <c r="V6" s="91">
        <f>SUM('Balance Sheet'!U8:U10)-SUM('Balance Sheet'!V8:V10)+SUM('Balance Sheet'!U14:U15)-SUM('Balance Sheet'!V14:V15)</f>
        <v>355.28083332787969</v>
      </c>
    </row>
    <row r="7" spans="2:22">
      <c r="B7" t="s">
        <v>301</v>
      </c>
      <c r="C7" s="91">
        <f>'OLB workings'!G87+100</f>
        <v>-193</v>
      </c>
      <c r="D7" s="91">
        <f>'OLB workings'!O87-100</f>
        <v>-273.82182880666664</v>
      </c>
      <c r="E7" s="91">
        <f>-'BS Inputs'!F9</f>
        <v>-216.41515215040005</v>
      </c>
      <c r="F7" s="91">
        <f>-'BS Inputs'!G9</f>
        <v>-341.80020472159975</v>
      </c>
      <c r="G7" s="91">
        <f>-'BS Inputs'!H9</f>
        <v>-476.15213707159984</v>
      </c>
      <c r="K7" s="91"/>
      <c r="L7" s="91">
        <f>$E7/6</f>
        <v>-36.069192025066677</v>
      </c>
      <c r="M7" s="91"/>
      <c r="N7" s="91">
        <f>$E7/6</f>
        <v>-36.069192025066677</v>
      </c>
      <c r="O7" s="91"/>
      <c r="P7" s="91">
        <f>$E7/6</f>
        <v>-36.069192025066677</v>
      </c>
      <c r="Q7" s="91"/>
      <c r="R7" s="91">
        <f>$E7/6</f>
        <v>-36.069192025066677</v>
      </c>
      <c r="S7" s="91"/>
      <c r="T7" s="91">
        <f>$E7/6</f>
        <v>-36.069192025066677</v>
      </c>
      <c r="U7" s="91"/>
      <c r="V7" s="91">
        <f>$E7/6</f>
        <v>-36.069192025066677</v>
      </c>
    </row>
    <row r="8" spans="2:22" ht="6" customHeight="1">
      <c r="B8" s="49"/>
      <c r="C8" s="63"/>
      <c r="D8" s="63"/>
      <c r="E8" s="63"/>
      <c r="F8" s="63"/>
      <c r="G8" s="63"/>
      <c r="H8" s="96"/>
    </row>
    <row r="9" spans="2:22">
      <c r="B9" s="102" t="s">
        <v>302</v>
      </c>
      <c r="C9" s="122">
        <f>SUM(C4:C8)</f>
        <v>-1118.1056126150015</v>
      </c>
      <c r="D9" s="122">
        <f t="shared" ref="D9:G9" si="0">SUM(D4:D8)</f>
        <v>-1023.7633369649859</v>
      </c>
      <c r="E9" s="122">
        <f t="shared" si="0"/>
        <v>1776.6784585286132</v>
      </c>
      <c r="F9" s="122">
        <f t="shared" si="0"/>
        <v>2730.6648203942332</v>
      </c>
      <c r="G9" s="122">
        <f t="shared" si="0"/>
        <v>3952.3602301917945</v>
      </c>
      <c r="K9" s="122">
        <f t="shared" ref="K9:V9" si="1">SUM(K4:K8)</f>
        <v>53.241257461055746</v>
      </c>
      <c r="L9" s="122">
        <f t="shared" si="1"/>
        <v>-205.36933536218177</v>
      </c>
      <c r="M9" s="122">
        <f t="shared" si="1"/>
        <v>194.60258175870965</v>
      </c>
      <c r="N9" s="122">
        <f t="shared" si="1"/>
        <v>-37.660282401899075</v>
      </c>
      <c r="O9" s="122">
        <f t="shared" si="1"/>
        <v>167.18423434420251</v>
      </c>
      <c r="P9" s="122">
        <f t="shared" si="1"/>
        <v>150.59299685494202</v>
      </c>
      <c r="Q9" s="122">
        <f t="shared" si="1"/>
        <v>-9.4880986674338317</v>
      </c>
      <c r="R9" s="122">
        <f t="shared" si="1"/>
        <v>-43.940892387838936</v>
      </c>
      <c r="S9" s="122">
        <f t="shared" si="1"/>
        <v>205.83386016134824</v>
      </c>
      <c r="T9" s="122">
        <f t="shared" si="1"/>
        <v>363.55536873361081</v>
      </c>
      <c r="U9" s="122">
        <f t="shared" si="1"/>
        <v>477.62697248710663</v>
      </c>
      <c r="V9" s="122">
        <f t="shared" si="1"/>
        <v>460.83233845805199</v>
      </c>
    </row>
    <row r="10" spans="2:22" ht="6" customHeight="1">
      <c r="B10" s="49"/>
      <c r="C10" s="63"/>
      <c r="D10" s="63"/>
      <c r="E10" s="63"/>
      <c r="F10" s="63"/>
      <c r="G10" s="63"/>
      <c r="H10" s="96"/>
    </row>
    <row r="11" spans="2:22">
      <c r="B11" t="s">
        <v>303</v>
      </c>
      <c r="C11" s="91">
        <f>'OLB workings'!G91+200</f>
        <v>-392</v>
      </c>
      <c r="D11" s="91">
        <f>'OLB workings'!O91-50</f>
        <v>-270</v>
      </c>
      <c r="E11" s="91">
        <f>-'BS Inputs'!F12</f>
        <v>-300</v>
      </c>
      <c r="F11" s="91">
        <f>-'BS Inputs'!G12</f>
        <v>-300</v>
      </c>
      <c r="G11" s="91">
        <f>-'BS Inputs'!H12</f>
        <v>-300</v>
      </c>
      <c r="K11" s="91">
        <f>$E11/12</f>
        <v>-25</v>
      </c>
      <c r="L11" s="91">
        <f t="shared" ref="L11:V11" si="2">$E11/12</f>
        <v>-25</v>
      </c>
      <c r="M11" s="91">
        <f t="shared" si="2"/>
        <v>-25</v>
      </c>
      <c r="N11" s="91">
        <f t="shared" si="2"/>
        <v>-25</v>
      </c>
      <c r="O11" s="91">
        <f t="shared" si="2"/>
        <v>-25</v>
      </c>
      <c r="P11" s="91">
        <f t="shared" si="2"/>
        <v>-25</v>
      </c>
      <c r="Q11" s="91">
        <f t="shared" si="2"/>
        <v>-25</v>
      </c>
      <c r="R11" s="91">
        <f t="shared" si="2"/>
        <v>-25</v>
      </c>
      <c r="S11" s="91">
        <f t="shared" si="2"/>
        <v>-25</v>
      </c>
      <c r="T11" s="91">
        <f t="shared" si="2"/>
        <v>-25</v>
      </c>
      <c r="U11" s="91">
        <f t="shared" si="2"/>
        <v>-25</v>
      </c>
      <c r="V11" s="91">
        <f t="shared" si="2"/>
        <v>-25</v>
      </c>
    </row>
    <row r="12" spans="2:22" ht="6" customHeight="1">
      <c r="B12" s="49"/>
      <c r="C12" s="63"/>
      <c r="D12" s="63"/>
      <c r="E12" s="63"/>
      <c r="F12" s="63"/>
      <c r="G12" s="63"/>
      <c r="H12" s="96"/>
    </row>
    <row r="13" spans="2:22">
      <c r="B13" s="102" t="s">
        <v>304</v>
      </c>
      <c r="C13" s="122">
        <f>C11</f>
        <v>-392</v>
      </c>
      <c r="D13" s="122">
        <f t="shared" ref="D13:G13" si="3">D11</f>
        <v>-270</v>
      </c>
      <c r="E13" s="122">
        <f t="shared" si="3"/>
        <v>-300</v>
      </c>
      <c r="F13" s="122">
        <f t="shared" si="3"/>
        <v>-300</v>
      </c>
      <c r="G13" s="122">
        <f t="shared" si="3"/>
        <v>-300</v>
      </c>
      <c r="K13" s="122">
        <f t="shared" ref="K13:V13" si="4">K11</f>
        <v>-25</v>
      </c>
      <c r="L13" s="122">
        <f t="shared" si="4"/>
        <v>-25</v>
      </c>
      <c r="M13" s="122">
        <f t="shared" si="4"/>
        <v>-25</v>
      </c>
      <c r="N13" s="122">
        <f t="shared" si="4"/>
        <v>-25</v>
      </c>
      <c r="O13" s="122">
        <f t="shared" si="4"/>
        <v>-25</v>
      </c>
      <c r="P13" s="122">
        <f t="shared" si="4"/>
        <v>-25</v>
      </c>
      <c r="Q13" s="122">
        <f t="shared" si="4"/>
        <v>-25</v>
      </c>
      <c r="R13" s="122">
        <f t="shared" si="4"/>
        <v>-25</v>
      </c>
      <c r="S13" s="122">
        <f t="shared" si="4"/>
        <v>-25</v>
      </c>
      <c r="T13" s="122">
        <f t="shared" si="4"/>
        <v>-25</v>
      </c>
      <c r="U13" s="122">
        <f t="shared" si="4"/>
        <v>-25</v>
      </c>
      <c r="V13" s="122">
        <f t="shared" si="4"/>
        <v>-25</v>
      </c>
    </row>
    <row r="14" spans="2:22" ht="6" customHeight="1">
      <c r="B14" s="49"/>
      <c r="C14" s="63"/>
      <c r="D14" s="63"/>
      <c r="E14" s="63"/>
      <c r="F14" s="63"/>
      <c r="G14" s="63"/>
      <c r="H14" s="96"/>
    </row>
    <row r="15" spans="2:22">
      <c r="B15" t="s">
        <v>305</v>
      </c>
      <c r="C15" s="91">
        <f>'OLB workings'!G95</f>
        <v>0</v>
      </c>
      <c r="D15" s="91">
        <f>'OLB workings'!O95</f>
        <v>0</v>
      </c>
      <c r="E15" s="91">
        <f>'OLB workings'!P95</f>
        <v>0</v>
      </c>
      <c r="F15" s="91">
        <f>'OLB workings'!Q95</f>
        <v>0</v>
      </c>
      <c r="G15" s="91">
        <f>'OLB workings'!R95</f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  <c r="P15" s="91">
        <v>0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</row>
    <row r="16" spans="2:22">
      <c r="B16" t="s">
        <v>306</v>
      </c>
      <c r="C16" s="91">
        <f>'OLB workings'!G96</f>
        <v>600</v>
      </c>
      <c r="D16" s="91">
        <f>'OLB workings'!O96+3000</f>
        <v>3891</v>
      </c>
      <c r="E16" s="91">
        <v>0</v>
      </c>
      <c r="F16" s="91">
        <v>0</v>
      </c>
      <c r="G16" s="91">
        <v>-1700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</row>
    <row r="17" spans="2:22">
      <c r="B17" t="s">
        <v>307</v>
      </c>
      <c r="C17" s="91">
        <f>'OLB workings'!G97+400</f>
        <v>2900</v>
      </c>
      <c r="D17" s="91">
        <f>'OLB workings'!O97</f>
        <v>1250</v>
      </c>
      <c r="E17" s="91">
        <f>'OLB workings'!P97</f>
        <v>0</v>
      </c>
      <c r="F17" s="91">
        <f>'OLB workings'!Q97</f>
        <v>0</v>
      </c>
      <c r="G17" s="91">
        <f>'OLB workings'!R97</f>
        <v>0</v>
      </c>
      <c r="K17" s="91">
        <v>0</v>
      </c>
      <c r="L17" s="91">
        <v>0</v>
      </c>
      <c r="M17" s="91">
        <v>0</v>
      </c>
      <c r="N17" s="91">
        <v>0</v>
      </c>
      <c r="O17" s="91">
        <v>0</v>
      </c>
      <c r="P17" s="91">
        <v>0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</row>
    <row r="18" spans="2:22">
      <c r="B18" t="s">
        <v>308</v>
      </c>
      <c r="C18" s="91">
        <f>'OLB workings'!G98</f>
        <v>-747</v>
      </c>
      <c r="D18" s="91">
        <f>'OLB workings'!O98</f>
        <v>-535.5</v>
      </c>
      <c r="E18" s="91">
        <f>'OLB workings'!P98/2</f>
        <v>-624.75</v>
      </c>
      <c r="F18" s="91">
        <f>'OLB workings'!Q98</f>
        <v>-1338.75</v>
      </c>
      <c r="G18" s="91">
        <f>'OLB workings'!R98</f>
        <v>-1338.75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f>E18</f>
        <v>-624.75</v>
      </c>
    </row>
    <row r="19" spans="2:22">
      <c r="B19" t="s">
        <v>309</v>
      </c>
      <c r="C19" s="91">
        <f>'OLB workings'!G99</f>
        <v>-1135</v>
      </c>
      <c r="D19" s="91">
        <f>'OLB workings'!O99-100</f>
        <v>-1200</v>
      </c>
      <c r="E19" s="91">
        <f>'OLB workings'!P99-250</f>
        <v>-1140.06</v>
      </c>
      <c r="F19" s="91">
        <f>'OLB workings'!Q99-150</f>
        <v>-956.53</v>
      </c>
      <c r="G19" s="91">
        <f>'OLB workings'!R99-100</f>
        <v>-799.43000000000006</v>
      </c>
      <c r="K19" s="91">
        <f>-140/8</f>
        <v>-17.5</v>
      </c>
      <c r="L19" s="91">
        <f>-140/8</f>
        <v>-17.5</v>
      </c>
      <c r="M19" s="91">
        <v>-250</v>
      </c>
      <c r="N19" s="91">
        <f t="shared" ref="N19:O19" si="5">-140/8</f>
        <v>-17.5</v>
      </c>
      <c r="O19" s="91">
        <f t="shared" si="5"/>
        <v>-17.5</v>
      </c>
      <c r="P19" s="91">
        <v>-250</v>
      </c>
      <c r="Q19" s="91">
        <f t="shared" ref="Q19:R19" si="6">-140/8</f>
        <v>-17.5</v>
      </c>
      <c r="R19" s="91">
        <f t="shared" si="6"/>
        <v>-17.5</v>
      </c>
      <c r="S19" s="91">
        <v>-250</v>
      </c>
      <c r="T19" s="91">
        <f t="shared" ref="T19:U19" si="7">-140/8</f>
        <v>-17.5</v>
      </c>
      <c r="U19" s="91">
        <f t="shared" si="7"/>
        <v>-17.5</v>
      </c>
      <c r="V19" s="91">
        <v>-250</v>
      </c>
    </row>
    <row r="20" spans="2:22">
      <c r="B20" t="s">
        <v>310</v>
      </c>
      <c r="C20" s="91">
        <v>0</v>
      </c>
      <c r="D20" s="91">
        <v>-600</v>
      </c>
      <c r="E20" s="91">
        <v>0</v>
      </c>
      <c r="F20" s="91">
        <v>0</v>
      </c>
      <c r="G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</row>
    <row r="21" spans="2:22">
      <c r="B21" t="s">
        <v>311</v>
      </c>
      <c r="C21" s="91">
        <f>'OLB workings'!G100</f>
        <v>-49</v>
      </c>
      <c r="D21" s="91">
        <f>'OLB workings'!O100</f>
        <v>0</v>
      </c>
      <c r="E21" s="91">
        <f>'OLB workings'!P100</f>
        <v>0</v>
      </c>
      <c r="F21" s="91">
        <f>'OLB workings'!Q100</f>
        <v>0</v>
      </c>
      <c r="G21" s="91">
        <f>'OLB workings'!R100</f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</row>
    <row r="22" spans="2:22" ht="6" customHeight="1">
      <c r="B22" s="49"/>
      <c r="C22" s="63"/>
      <c r="D22" s="63"/>
      <c r="E22" s="63"/>
      <c r="F22" s="63"/>
      <c r="G22" s="63"/>
      <c r="H22" s="96"/>
    </row>
    <row r="23" spans="2:22">
      <c r="B23" s="102" t="s">
        <v>312</v>
      </c>
      <c r="C23" s="122">
        <f>SUM(C15:C21)</f>
        <v>1569</v>
      </c>
      <c r="D23" s="122">
        <f t="shared" ref="D23:G23" si="8">SUM(D15:D21)</f>
        <v>2805.5</v>
      </c>
      <c r="E23" s="122">
        <f t="shared" si="8"/>
        <v>-1764.81</v>
      </c>
      <c r="F23" s="122">
        <f t="shared" si="8"/>
        <v>-2295.2799999999997</v>
      </c>
      <c r="G23" s="122">
        <f t="shared" si="8"/>
        <v>-3838.1800000000003</v>
      </c>
      <c r="K23" s="122">
        <f t="shared" ref="K23:V23" si="9">SUM(K15:K21)</f>
        <v>-17.5</v>
      </c>
      <c r="L23" s="122">
        <f t="shared" si="9"/>
        <v>-17.5</v>
      </c>
      <c r="M23" s="122">
        <f t="shared" si="9"/>
        <v>-250</v>
      </c>
      <c r="N23" s="122">
        <f t="shared" si="9"/>
        <v>-17.5</v>
      </c>
      <c r="O23" s="122">
        <f t="shared" si="9"/>
        <v>-17.5</v>
      </c>
      <c r="P23" s="122">
        <f t="shared" si="9"/>
        <v>-250</v>
      </c>
      <c r="Q23" s="122">
        <f t="shared" si="9"/>
        <v>-17.5</v>
      </c>
      <c r="R23" s="122">
        <f t="shared" si="9"/>
        <v>-17.5</v>
      </c>
      <c r="S23" s="122">
        <f t="shared" si="9"/>
        <v>-250</v>
      </c>
      <c r="T23" s="122">
        <f t="shared" si="9"/>
        <v>-17.5</v>
      </c>
      <c r="U23" s="122">
        <f t="shared" si="9"/>
        <v>-17.5</v>
      </c>
      <c r="V23" s="122">
        <f t="shared" si="9"/>
        <v>-874.75</v>
      </c>
    </row>
    <row r="24" spans="2:22" ht="6" customHeight="1">
      <c r="B24" s="49"/>
      <c r="C24" s="63"/>
      <c r="D24" s="63"/>
      <c r="E24" s="63"/>
      <c r="F24" s="63"/>
      <c r="G24" s="63"/>
      <c r="H24" s="96"/>
    </row>
    <row r="25" spans="2:22" ht="15.75" thickBot="1">
      <c r="B25" s="71" t="s">
        <v>313</v>
      </c>
      <c r="C25" s="118">
        <f>SUM(C9,C13,C23)</f>
        <v>58.894387384998481</v>
      </c>
      <c r="D25" s="118">
        <f t="shared" ref="D25:G25" si="10">SUM(D9,D13,D23)</f>
        <v>1511.7366630350141</v>
      </c>
      <c r="E25" s="118">
        <f t="shared" si="10"/>
        <v>-288.13154147138675</v>
      </c>
      <c r="F25" s="118">
        <f t="shared" si="10"/>
        <v>135.38482039423343</v>
      </c>
      <c r="G25" s="118">
        <f t="shared" si="10"/>
        <v>-185.81976980820582</v>
      </c>
      <c r="K25" s="118">
        <f t="shared" ref="K25:V25" si="11">SUM(K9,K13,K23)</f>
        <v>10.741257461055746</v>
      </c>
      <c r="L25" s="118">
        <f t="shared" si="11"/>
        <v>-247.86933536218177</v>
      </c>
      <c r="M25" s="118">
        <f t="shared" si="11"/>
        <v>-80.397418241290353</v>
      </c>
      <c r="N25" s="118">
        <f t="shared" si="11"/>
        <v>-80.160282401899082</v>
      </c>
      <c r="O25" s="118">
        <f t="shared" si="11"/>
        <v>124.68423434420251</v>
      </c>
      <c r="P25" s="118">
        <f t="shared" si="11"/>
        <v>-124.40700314505798</v>
      </c>
      <c r="Q25" s="118">
        <f t="shared" si="11"/>
        <v>-51.988098667433832</v>
      </c>
      <c r="R25" s="118">
        <f t="shared" si="11"/>
        <v>-86.440892387838943</v>
      </c>
      <c r="S25" s="118">
        <f t="shared" si="11"/>
        <v>-69.166139838651759</v>
      </c>
      <c r="T25" s="118">
        <f t="shared" si="11"/>
        <v>321.05536873361081</v>
      </c>
      <c r="U25" s="118">
        <f t="shared" si="11"/>
        <v>435.12697248710663</v>
      </c>
      <c r="V25" s="118">
        <f t="shared" si="11"/>
        <v>-438.91766154194801</v>
      </c>
    </row>
    <row r="26" spans="2:22" ht="6" customHeight="1">
      <c r="B26" s="49"/>
      <c r="C26" s="63"/>
      <c r="D26" s="63"/>
      <c r="E26" s="63"/>
      <c r="F26" s="63"/>
      <c r="G26" s="63"/>
      <c r="H26" s="96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</row>
    <row r="27" spans="2:22">
      <c r="B27" s="6" t="s">
        <v>314</v>
      </c>
      <c r="C27" s="121">
        <f>'OLB workings'!G106</f>
        <v>82</v>
      </c>
      <c r="D27" s="121">
        <f>C29</f>
        <v>140.89438738499848</v>
      </c>
      <c r="E27" s="121">
        <f t="shared" ref="E27:G27" si="12">D29</f>
        <v>1652.6310504200126</v>
      </c>
      <c r="F27" s="121">
        <f t="shared" si="12"/>
        <v>1364.4995089486258</v>
      </c>
      <c r="G27" s="121">
        <f t="shared" si="12"/>
        <v>1499.8843293428592</v>
      </c>
      <c r="K27" s="121">
        <f>D29</f>
        <v>1652.6310504200126</v>
      </c>
      <c r="L27" s="121">
        <f t="shared" ref="L27" si="13">K29</f>
        <v>1663.3723078810683</v>
      </c>
      <c r="M27" s="121">
        <f t="shared" ref="M27" si="14">L29</f>
        <v>1415.5029725188865</v>
      </c>
      <c r="N27" s="121">
        <f t="shared" ref="N27" si="15">M29</f>
        <v>1335.1055542775962</v>
      </c>
      <c r="O27" s="121">
        <f t="shared" ref="O27" si="16">N29</f>
        <v>1254.945271875697</v>
      </c>
      <c r="P27" s="121">
        <f t="shared" ref="P27" si="17">O29</f>
        <v>1379.6295062198994</v>
      </c>
      <c r="Q27" s="121">
        <f t="shared" ref="Q27" si="18">P29</f>
        <v>1255.2225030748414</v>
      </c>
      <c r="R27" s="121">
        <f t="shared" ref="R27" si="19">Q29</f>
        <v>1203.2344044074075</v>
      </c>
      <c r="S27" s="121">
        <f t="shared" ref="S27" si="20">R29</f>
        <v>1116.7935120195687</v>
      </c>
      <c r="T27" s="121">
        <f t="shared" ref="T27" si="21">S29</f>
        <v>1047.6273721809168</v>
      </c>
      <c r="U27" s="121">
        <f t="shared" ref="U27" si="22">T29</f>
        <v>1368.6827409145276</v>
      </c>
      <c r="V27" s="121">
        <f t="shared" ref="V27" si="23">U29</f>
        <v>1803.8097134016343</v>
      </c>
    </row>
    <row r="28" spans="2:22">
      <c r="B28" t="s">
        <v>315</v>
      </c>
      <c r="C28" s="91">
        <f>C25</f>
        <v>58.894387384998481</v>
      </c>
      <c r="D28" s="91">
        <f t="shared" ref="D28:G28" si="24">D25</f>
        <v>1511.7366630350141</v>
      </c>
      <c r="E28" s="91">
        <f t="shared" si="24"/>
        <v>-288.13154147138675</v>
      </c>
      <c r="F28" s="91">
        <f t="shared" si="24"/>
        <v>135.38482039423343</v>
      </c>
      <c r="G28" s="91">
        <f t="shared" si="24"/>
        <v>-185.81976980820582</v>
      </c>
      <c r="K28" s="91">
        <f t="shared" ref="K28:V28" si="25">K25</f>
        <v>10.741257461055746</v>
      </c>
      <c r="L28" s="91">
        <f t="shared" si="25"/>
        <v>-247.86933536218177</v>
      </c>
      <c r="M28" s="91">
        <f t="shared" si="25"/>
        <v>-80.397418241290353</v>
      </c>
      <c r="N28" s="91">
        <f t="shared" si="25"/>
        <v>-80.160282401899082</v>
      </c>
      <c r="O28" s="91">
        <f t="shared" si="25"/>
        <v>124.68423434420251</v>
      </c>
      <c r="P28" s="91">
        <f t="shared" si="25"/>
        <v>-124.40700314505798</v>
      </c>
      <c r="Q28" s="91">
        <f t="shared" si="25"/>
        <v>-51.988098667433832</v>
      </c>
      <c r="R28" s="91">
        <f t="shared" si="25"/>
        <v>-86.440892387838943</v>
      </c>
      <c r="S28" s="91">
        <f t="shared" si="25"/>
        <v>-69.166139838651759</v>
      </c>
      <c r="T28" s="91">
        <f t="shared" si="25"/>
        <v>321.05536873361081</v>
      </c>
      <c r="U28" s="91">
        <f t="shared" si="25"/>
        <v>435.12697248710663</v>
      </c>
      <c r="V28" s="91">
        <f t="shared" si="25"/>
        <v>-438.91766154194801</v>
      </c>
    </row>
    <row r="29" spans="2:22">
      <c r="B29" s="103" t="s">
        <v>316</v>
      </c>
      <c r="C29" s="122">
        <f>SUM(C27:C28)</f>
        <v>140.89438738499848</v>
      </c>
      <c r="D29" s="122">
        <f t="shared" ref="D29:G29" si="26">SUM(D27:D28)</f>
        <v>1652.6310504200126</v>
      </c>
      <c r="E29" s="122">
        <f t="shared" si="26"/>
        <v>1364.4995089486258</v>
      </c>
      <c r="F29" s="122">
        <f t="shared" si="26"/>
        <v>1499.8843293428592</v>
      </c>
      <c r="G29" s="122">
        <f t="shared" si="26"/>
        <v>1314.0645595346534</v>
      </c>
      <c r="K29" s="122">
        <f t="shared" ref="K29:V29" si="27">SUM(K27:K28)</f>
        <v>1663.3723078810683</v>
      </c>
      <c r="L29" s="122">
        <f t="shared" si="27"/>
        <v>1415.5029725188865</v>
      </c>
      <c r="M29" s="122">
        <f t="shared" si="27"/>
        <v>1335.1055542775962</v>
      </c>
      <c r="N29" s="122">
        <f t="shared" si="27"/>
        <v>1254.945271875697</v>
      </c>
      <c r="O29" s="122">
        <f t="shared" si="27"/>
        <v>1379.6295062198994</v>
      </c>
      <c r="P29" s="122">
        <f t="shared" si="27"/>
        <v>1255.2225030748414</v>
      </c>
      <c r="Q29" s="122">
        <f t="shared" si="27"/>
        <v>1203.2344044074075</v>
      </c>
      <c r="R29" s="122">
        <f t="shared" si="27"/>
        <v>1116.7935120195687</v>
      </c>
      <c r="S29" s="122">
        <f t="shared" si="27"/>
        <v>1047.6273721809168</v>
      </c>
      <c r="T29" s="122">
        <f t="shared" si="27"/>
        <v>1368.6827409145276</v>
      </c>
      <c r="U29" s="122">
        <f t="shared" si="27"/>
        <v>1803.8097134016343</v>
      </c>
      <c r="V29" s="122">
        <f t="shared" si="27"/>
        <v>1364.8920518596863</v>
      </c>
    </row>
  </sheetData>
  <pageMargins left="0.7" right="0.7" top="0.75" bottom="0.75" header="0.3" footer="0.3"/>
  <pageSetup paperSize="9"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4D0A-96A8-41C6-AFD0-2CB9FD05D27F}">
  <sheetPr>
    <tabColor rgb="FF92D050"/>
  </sheetPr>
  <dimension ref="B2:T23"/>
  <sheetViews>
    <sheetView showGridLines="0" workbookViewId="0">
      <pane xSplit="2" ySplit="2" topLeftCell="D3" activePane="bottomRight" state="frozen"/>
      <selection pane="bottomRight" activeCell="G4" sqref="G4"/>
      <selection pane="bottomLeft" activeCell="A3" sqref="A3"/>
      <selection pane="topRight" activeCell="C1" sqref="C1"/>
    </sheetView>
  </sheetViews>
  <sheetFormatPr defaultColWidth="8.85546875" defaultRowHeight="15"/>
  <cols>
    <col min="1" max="1" width="5" customWidth="1"/>
    <col min="2" max="2" width="27.42578125" customWidth="1"/>
    <col min="3" max="3" width="18.85546875" hidden="1" customWidth="1"/>
    <col min="4" max="4" width="15" customWidth="1"/>
    <col min="5" max="5" width="22.28515625" customWidth="1"/>
    <col min="6" max="6" width="20.42578125" customWidth="1"/>
    <col min="7" max="12" width="13.28515625" customWidth="1"/>
    <col min="13" max="19" width="12.7109375" customWidth="1"/>
    <col min="20" max="20" width="15.7109375" customWidth="1"/>
  </cols>
  <sheetData>
    <row r="2" spans="2:20" ht="60">
      <c r="B2" s="68" t="s">
        <v>1</v>
      </c>
      <c r="C2" s="68" t="s">
        <v>2</v>
      </c>
      <c r="D2" s="68" t="s">
        <v>3</v>
      </c>
      <c r="E2" s="68" t="s">
        <v>4</v>
      </c>
      <c r="F2" s="68" t="s">
        <v>5</v>
      </c>
      <c r="G2" s="144" t="s">
        <v>6</v>
      </c>
      <c r="H2" s="144" t="s">
        <v>7</v>
      </c>
      <c r="I2" s="144" t="s">
        <v>8</v>
      </c>
      <c r="J2" s="144" t="s">
        <v>9</v>
      </c>
      <c r="K2" s="144" t="s">
        <v>10</v>
      </c>
      <c r="L2" s="144" t="s">
        <v>11</v>
      </c>
      <c r="M2" s="144" t="s">
        <v>12</v>
      </c>
      <c r="N2" s="144" t="s">
        <v>13</v>
      </c>
      <c r="O2" s="144" t="s">
        <v>14</v>
      </c>
      <c r="P2" s="144" t="s">
        <v>15</v>
      </c>
      <c r="Q2" s="68" t="s">
        <v>16</v>
      </c>
      <c r="R2" s="68" t="s">
        <v>17</v>
      </c>
      <c r="S2" s="68" t="s">
        <v>18</v>
      </c>
      <c r="T2" s="68" t="s">
        <v>19</v>
      </c>
    </row>
    <row r="3" spans="2:20" ht="27.95" customHeight="1">
      <c r="B3" s="146" t="s">
        <v>29</v>
      </c>
      <c r="C3" s="146"/>
      <c r="D3" s="146" t="s">
        <v>31</v>
      </c>
      <c r="E3" s="146" t="s">
        <v>32</v>
      </c>
      <c r="F3" s="146" t="s">
        <v>33</v>
      </c>
      <c r="G3" s="147">
        <f>'Initiatives Summary'!$C45</f>
        <v>269.58907499999998</v>
      </c>
      <c r="H3" s="147">
        <f>'Initiatives Summary'!$AQ45</f>
        <v>1121.2643224999999</v>
      </c>
      <c r="I3" s="147">
        <f>'1.1 Core Markets Visibility'!$E7</f>
        <v>1601.8061750000002</v>
      </c>
      <c r="J3" s="147">
        <f>'Initiatives Summary'!$C68</f>
        <v>-468.40408450000001</v>
      </c>
      <c r="K3" s="147">
        <f>'Initiatives Summary'!$AQ68</f>
        <v>-5.4050094125003341</v>
      </c>
      <c r="L3" s="147">
        <f>'1.1 Core Markets Visibility'!$E28</f>
        <v>338.18241512499969</v>
      </c>
      <c r="M3" s="147">
        <f>'Initiatives Summary'!$C77</f>
        <v>-445.73999999999995</v>
      </c>
      <c r="N3" s="145" t="str">
        <f>IF(OR(I3&gt;1000,L3&gt;500),"High",IF(OR(I3&gt;500,L3&gt;250),"Medium","Low"))</f>
        <v>High</v>
      </c>
      <c r="O3" s="145" t="s">
        <v>39</v>
      </c>
      <c r="P3" s="145" t="s">
        <v>35</v>
      </c>
      <c r="Q3" s="145" t="s">
        <v>36</v>
      </c>
      <c r="R3" s="148">
        <v>46023</v>
      </c>
      <c r="S3" s="148">
        <f>R3+6*30</f>
        <v>46203</v>
      </c>
      <c r="T3" s="146" t="s">
        <v>37</v>
      </c>
    </row>
    <row r="4" spans="2:20" ht="27.95" customHeight="1">
      <c r="B4" s="146" t="s">
        <v>42</v>
      </c>
      <c r="C4" s="146"/>
      <c r="D4" s="146" t="s">
        <v>31</v>
      </c>
      <c r="E4" s="146" t="s">
        <v>32</v>
      </c>
      <c r="F4" s="146" t="s">
        <v>33</v>
      </c>
      <c r="G4" s="147">
        <f>'Initiatives Summary'!$D45</f>
        <v>84</v>
      </c>
      <c r="H4" s="147">
        <f>'Initiatives Summary'!$AR45</f>
        <v>644</v>
      </c>
      <c r="I4" s="147">
        <f>'1.2 Core Markets Team expansion'!$E7</f>
        <v>920</v>
      </c>
      <c r="J4" s="147">
        <f>'Initiatives Summary'!$D68</f>
        <v>-72.84</v>
      </c>
      <c r="K4" s="147">
        <f>'Initiatives Summary'!$AR68</f>
        <v>293.25999999999976</v>
      </c>
      <c r="L4" s="147">
        <f>'1.2 Core Markets Team expansion'!$E28</f>
        <v>490.5999999999998</v>
      </c>
      <c r="M4" s="147">
        <f>'Initiatives Summary'!$D77</f>
        <v>-71.7</v>
      </c>
      <c r="N4" s="145" t="str">
        <f t="shared" ref="N4:N21" si="0">IF(OR(I4&gt;1000,L4&gt;500),"High",IF(OR(I4&gt;500,L4&gt;250),"Medium","Low"))</f>
        <v>Medium</v>
      </c>
      <c r="O4" s="145" t="s">
        <v>39</v>
      </c>
      <c r="P4" s="145" t="s">
        <v>35</v>
      </c>
      <c r="Q4" s="145" t="s">
        <v>36</v>
      </c>
      <c r="R4" s="148">
        <v>46113</v>
      </c>
      <c r="S4" s="148">
        <f>R4+6*30</f>
        <v>46293</v>
      </c>
      <c r="T4" s="146" t="s">
        <v>37</v>
      </c>
    </row>
    <row r="5" spans="2:20" ht="27.95" customHeight="1">
      <c r="B5" s="146" t="s">
        <v>44</v>
      </c>
      <c r="C5" s="146"/>
      <c r="D5" s="146" t="s">
        <v>46</v>
      </c>
      <c r="E5" s="146" t="s">
        <v>47</v>
      </c>
      <c r="F5" s="146" t="s">
        <v>48</v>
      </c>
      <c r="G5" s="147">
        <f>'Initiatives Summary'!$E45</f>
        <v>1349.5340957999999</v>
      </c>
      <c r="H5" s="147">
        <f>'Initiatives Summary'!$AS45</f>
        <v>3899.2851894479995</v>
      </c>
      <c r="I5" s="147">
        <f>'2.1 Mark Wuttke Contact Book'!$E7</f>
        <v>11816.0157256</v>
      </c>
      <c r="J5" s="147">
        <f>'Initiatives Summary'!$E68</f>
        <v>683.43085562300007</v>
      </c>
      <c r="K5" s="147">
        <f>'Initiatives Summary'!$AS68</f>
        <v>2116.256780719119</v>
      </c>
      <c r="L5" s="147">
        <f>'2.1 Mark Wuttke Contact Book'!$E28</f>
        <v>6978.050850663999</v>
      </c>
      <c r="M5" s="147">
        <f>'Initiatives Summary'!$E77</f>
        <v>-95.121505718500003</v>
      </c>
      <c r="N5" s="145" t="str">
        <f t="shared" si="0"/>
        <v>High</v>
      </c>
      <c r="O5" s="145" t="s">
        <v>39</v>
      </c>
      <c r="P5" s="145" t="s">
        <v>35</v>
      </c>
      <c r="Q5" s="145" t="s">
        <v>36</v>
      </c>
      <c r="R5" s="148">
        <v>45839</v>
      </c>
      <c r="S5" s="148">
        <v>46082</v>
      </c>
      <c r="T5" s="146" t="s">
        <v>53</v>
      </c>
    </row>
    <row r="6" spans="2:20" ht="27.95" customHeight="1">
      <c r="B6" s="146" t="s">
        <v>59</v>
      </c>
      <c r="C6" s="146"/>
      <c r="D6" s="146" t="s">
        <v>46</v>
      </c>
      <c r="E6" s="146" t="s">
        <v>47</v>
      </c>
      <c r="F6" s="146" t="s">
        <v>61</v>
      </c>
      <c r="G6" s="147">
        <f>'Initiatives Summary'!$F45</f>
        <v>851.84917800000005</v>
      </c>
      <c r="H6" s="147">
        <f>'Initiatives Summary'!$AT45</f>
        <v>2773.8047176800001</v>
      </c>
      <c r="I6" s="147">
        <f>'2.2 Jaime Contact Book'!$E7</f>
        <v>4623.0078628000001</v>
      </c>
      <c r="J6" s="147">
        <f>'Initiatives Summary'!$F68</f>
        <v>408.86668693000013</v>
      </c>
      <c r="K6" s="147">
        <f>'Initiatives Summary'!$AT68</f>
        <v>1442.1252551991997</v>
      </c>
      <c r="L6" s="147">
        <f>'2.2 Jaime Contact Book'!$E28</f>
        <v>2509.8754253319994</v>
      </c>
      <c r="M6" s="147">
        <f>'Initiatives Summary'!$F77</f>
        <v>-166.79622945</v>
      </c>
      <c r="N6" s="145" t="str">
        <f t="shared" si="0"/>
        <v>High</v>
      </c>
      <c r="O6" s="145" t="s">
        <v>39</v>
      </c>
      <c r="P6" s="145" t="s">
        <v>35</v>
      </c>
      <c r="Q6" s="145" t="s">
        <v>36</v>
      </c>
      <c r="R6" s="148">
        <v>45839</v>
      </c>
      <c r="S6" s="148">
        <v>46082</v>
      </c>
      <c r="T6" s="146" t="s">
        <v>53</v>
      </c>
    </row>
    <row r="7" spans="2:20" ht="27.95" customHeight="1">
      <c r="B7" s="146" t="s">
        <v>66</v>
      </c>
      <c r="C7" s="146"/>
      <c r="D7" s="146" t="s">
        <v>46</v>
      </c>
      <c r="E7" s="146" t="s">
        <v>47</v>
      </c>
      <c r="F7" s="146" t="s">
        <v>33</v>
      </c>
      <c r="G7" s="147">
        <f>'Initiatives Summary'!$G45</f>
        <v>90.648081999999988</v>
      </c>
      <c r="H7" s="147">
        <f>'Initiatives Summary'!$AU45</f>
        <v>627.21100791999993</v>
      </c>
      <c r="I7" s="147">
        <f>'2.3 US Visibility'!$E7</f>
        <v>896.0157256</v>
      </c>
      <c r="J7" s="147">
        <f>'Initiatives Summary'!$G68</f>
        <v>-150.85930424</v>
      </c>
      <c r="K7" s="147">
        <f>'Initiatives Summary'!$AU68</f>
        <v>173.56454042519985</v>
      </c>
      <c r="L7" s="147">
        <f>'2.3 US Visibility'!$E28</f>
        <v>357.69577203599982</v>
      </c>
      <c r="M7" s="147">
        <f>'Initiatives Summary'!$G77</f>
        <v>-156.5</v>
      </c>
      <c r="N7" s="145" t="str">
        <f t="shared" si="0"/>
        <v>Medium</v>
      </c>
      <c r="O7" s="145" t="s">
        <v>39</v>
      </c>
      <c r="P7" s="145" t="s">
        <v>35</v>
      </c>
      <c r="Q7" s="145" t="s">
        <v>36</v>
      </c>
      <c r="R7" s="148">
        <v>46023</v>
      </c>
      <c r="S7" s="148">
        <f>R7+6*30</f>
        <v>46203</v>
      </c>
      <c r="T7" s="146" t="s">
        <v>37</v>
      </c>
    </row>
    <row r="8" spans="2:20" ht="27.95" customHeight="1">
      <c r="B8" s="146" t="s">
        <v>68</v>
      </c>
      <c r="C8" s="146"/>
      <c r="D8" s="146" t="s">
        <v>46</v>
      </c>
      <c r="E8" s="146" t="s">
        <v>47</v>
      </c>
      <c r="F8" s="146" t="s">
        <v>33</v>
      </c>
      <c r="G8" s="147">
        <f>'Initiatives Summary'!$H45</f>
        <v>84</v>
      </c>
      <c r="H8" s="147">
        <f>'Initiatives Summary'!$AV45</f>
        <v>644</v>
      </c>
      <c r="I8" s="147">
        <f>'2.4 US Team Expansion'!$E7</f>
        <v>920</v>
      </c>
      <c r="J8" s="147">
        <f>'Initiatives Summary'!$H68</f>
        <v>-157.88</v>
      </c>
      <c r="K8" s="147">
        <f>'Initiatives Summary'!$AV68</f>
        <v>177.13999999999987</v>
      </c>
      <c r="L8" s="147">
        <f>'2.4 US Team Expansion'!$E28</f>
        <v>366.19999999999993</v>
      </c>
      <c r="M8" s="147">
        <f>'Initiatives Summary'!$H77</f>
        <v>-111.7</v>
      </c>
      <c r="N8" s="145" t="str">
        <f t="shared" si="0"/>
        <v>Medium</v>
      </c>
      <c r="O8" s="145" t="s">
        <v>39</v>
      </c>
      <c r="P8" s="145" t="s">
        <v>35</v>
      </c>
      <c r="Q8" s="145" t="s">
        <v>36</v>
      </c>
      <c r="R8" s="148">
        <v>46113</v>
      </c>
      <c r="S8" s="148">
        <f>R8+6*30</f>
        <v>46293</v>
      </c>
      <c r="T8" s="146" t="s">
        <v>37</v>
      </c>
    </row>
    <row r="9" spans="2:20" ht="27.95" customHeight="1">
      <c r="B9" s="146" t="s">
        <v>69</v>
      </c>
      <c r="C9" s="146"/>
      <c r="D9" s="146" t="s">
        <v>71</v>
      </c>
      <c r="E9" s="146" t="s">
        <v>72</v>
      </c>
      <c r="F9" s="146" t="s">
        <v>33</v>
      </c>
      <c r="G9" s="147">
        <f>'Initiatives Summary'!$I45</f>
        <v>125</v>
      </c>
      <c r="H9" s="147">
        <f>'Initiatives Summary'!$AW45</f>
        <v>250</v>
      </c>
      <c r="I9" s="147">
        <f>'3.1 China'!$E7</f>
        <v>500</v>
      </c>
      <c r="J9" s="147">
        <f>'Initiatives Summary'!$I68</f>
        <v>-33.75</v>
      </c>
      <c r="K9" s="147">
        <f>'Initiatives Summary'!$AW68</f>
        <v>33.749999999999972</v>
      </c>
      <c r="L9" s="147">
        <f>'3.1 China'!$E28</f>
        <v>192.49999999999994</v>
      </c>
      <c r="M9" s="147">
        <f>'Initiatives Summary'!$I77</f>
        <v>-100</v>
      </c>
      <c r="N9" s="145" t="str">
        <f t="shared" si="0"/>
        <v>Low</v>
      </c>
      <c r="O9" s="145" t="s">
        <v>39</v>
      </c>
      <c r="P9" s="145" t="s">
        <v>35</v>
      </c>
      <c r="Q9" s="145" t="s">
        <v>36</v>
      </c>
      <c r="R9" s="145" t="s">
        <v>73</v>
      </c>
      <c r="S9" s="145" t="s">
        <v>73</v>
      </c>
      <c r="T9" s="146" t="s">
        <v>37</v>
      </c>
    </row>
    <row r="10" spans="2:20" ht="27.95" customHeight="1">
      <c r="B10" s="146" t="s">
        <v>74</v>
      </c>
      <c r="C10" s="146"/>
      <c r="D10" s="146" t="s">
        <v>71</v>
      </c>
      <c r="E10" s="146" t="s">
        <v>76</v>
      </c>
      <c r="F10" s="146" t="s">
        <v>33</v>
      </c>
      <c r="G10" s="147">
        <f>'Initiatives Summary'!$J45</f>
        <v>50</v>
      </c>
      <c r="H10" s="147">
        <f>'Initiatives Summary'!$AX45</f>
        <v>150</v>
      </c>
      <c r="I10" s="147">
        <f>'3.2 Lane Crawford'!$E7</f>
        <v>300</v>
      </c>
      <c r="J10" s="147">
        <f>'Initiatives Summary'!$J68</f>
        <v>-23.5</v>
      </c>
      <c r="K10" s="147">
        <f>'Initiatives Summary'!$AX68</f>
        <v>10.249999999999972</v>
      </c>
      <c r="L10" s="147">
        <f>'3.2 Lane Crawford'!$E28</f>
        <v>105.49999999999994</v>
      </c>
      <c r="M10" s="147">
        <f>'Initiatives Summary'!$J77</f>
        <v>-30</v>
      </c>
      <c r="N10" s="145" t="str">
        <f t="shared" si="0"/>
        <v>Low</v>
      </c>
      <c r="O10" s="145" t="s">
        <v>39</v>
      </c>
      <c r="P10" s="145" t="s">
        <v>35</v>
      </c>
      <c r="Q10" s="145" t="s">
        <v>36</v>
      </c>
      <c r="R10" s="145" t="s">
        <v>73</v>
      </c>
      <c r="S10" s="145" t="s">
        <v>73</v>
      </c>
      <c r="T10" s="146" t="s">
        <v>37</v>
      </c>
    </row>
    <row r="11" spans="2:20" ht="27.95" customHeight="1">
      <c r="B11" s="146" t="s">
        <v>77</v>
      </c>
      <c r="C11" s="146"/>
      <c r="D11" s="146" t="s">
        <v>79</v>
      </c>
      <c r="E11" s="146" t="s">
        <v>80</v>
      </c>
      <c r="F11" s="146" t="s">
        <v>81</v>
      </c>
      <c r="G11" s="147">
        <f>'Initiatives Summary'!$K45</f>
        <v>35</v>
      </c>
      <c r="H11" s="147">
        <f>'Initiatives Summary'!$AY45</f>
        <v>166.25</v>
      </c>
      <c r="I11" s="147">
        <f>'4.1 Nadim ME'!$E7</f>
        <v>237.5</v>
      </c>
      <c r="J11" s="147">
        <f>'Initiatives Summary'!$K68</f>
        <v>22.4</v>
      </c>
      <c r="K11" s="147">
        <f>'Initiatives Summary'!$AY68</f>
        <v>107.23125</v>
      </c>
      <c r="L11" s="147">
        <f>'4.1 Nadim ME'!$E28</f>
        <v>153.1875</v>
      </c>
      <c r="M11" s="147">
        <f>'Initiatives Summary'!$K77</f>
        <v>-15</v>
      </c>
      <c r="N11" s="145" t="str">
        <f t="shared" si="0"/>
        <v>Low</v>
      </c>
      <c r="O11" s="145" t="s">
        <v>39</v>
      </c>
      <c r="P11" s="145" t="s">
        <v>35</v>
      </c>
      <c r="Q11" s="145" t="s">
        <v>36</v>
      </c>
      <c r="R11" s="148">
        <v>45839</v>
      </c>
      <c r="S11" s="148">
        <v>46082</v>
      </c>
      <c r="T11" s="146" t="s">
        <v>53</v>
      </c>
    </row>
    <row r="12" spans="2:20" ht="27.95" customHeight="1">
      <c r="B12" s="146" t="s">
        <v>83</v>
      </c>
      <c r="C12" s="146"/>
      <c r="D12" s="146" t="s">
        <v>79</v>
      </c>
      <c r="E12" s="146" t="s">
        <v>80</v>
      </c>
      <c r="F12" s="146" t="s">
        <v>33</v>
      </c>
      <c r="G12" s="147">
        <f>'Initiatives Summary'!$L45</f>
        <v>50</v>
      </c>
      <c r="H12" s="147">
        <f>'Initiatives Summary'!$AZ45</f>
        <v>125</v>
      </c>
      <c r="I12" s="147">
        <f>'4.2 ME Retail'!$E7</f>
        <v>250</v>
      </c>
      <c r="J12" s="147">
        <f>'Initiatives Summary'!$L68</f>
        <v>-18</v>
      </c>
      <c r="K12" s="147">
        <f>'Initiatives Summary'!$AZ68</f>
        <v>30.625</v>
      </c>
      <c r="L12" s="147">
        <f>'4.2 ME Retail'!$E28</f>
        <v>111.25</v>
      </c>
      <c r="M12" s="147">
        <f>'Initiatives Summary'!$L77</f>
        <v>0</v>
      </c>
      <c r="N12" s="145" t="str">
        <f t="shared" si="0"/>
        <v>Low</v>
      </c>
      <c r="O12" s="145" t="s">
        <v>39</v>
      </c>
      <c r="P12" s="145" t="s">
        <v>35</v>
      </c>
      <c r="Q12" s="145" t="s">
        <v>36</v>
      </c>
      <c r="R12" s="145" t="s">
        <v>73</v>
      </c>
      <c r="S12" s="145" t="s">
        <v>73</v>
      </c>
      <c r="T12" s="146" t="s">
        <v>37</v>
      </c>
    </row>
    <row r="13" spans="2:20" ht="27.95" customHeight="1">
      <c r="B13" s="146" t="s">
        <v>85</v>
      </c>
      <c r="C13" s="146"/>
      <c r="D13" s="146" t="s">
        <v>87</v>
      </c>
      <c r="E13" s="146" t="s">
        <v>72</v>
      </c>
      <c r="F13" s="146" t="s">
        <v>88</v>
      </c>
      <c r="G13" s="147">
        <f>'Initiatives Summary'!$M45</f>
        <v>37.5</v>
      </c>
      <c r="H13" s="147">
        <f>'Initiatives Summary'!$BA45</f>
        <v>75</v>
      </c>
      <c r="I13" s="147">
        <f>'5.1 Mingo'!$E7</f>
        <v>300</v>
      </c>
      <c r="J13" s="147">
        <f>'Initiatives Summary'!$M68</f>
        <v>25.125</v>
      </c>
      <c r="K13" s="147">
        <f>'Initiatives Summary'!$BA68</f>
        <v>50.625</v>
      </c>
      <c r="L13" s="147">
        <f>'5.1 Mingo'!$E28</f>
        <v>202.5</v>
      </c>
      <c r="M13" s="147">
        <f>'Initiatives Summary'!$M77</f>
        <v>0</v>
      </c>
      <c r="N13" s="145" t="str">
        <f t="shared" si="0"/>
        <v>Low</v>
      </c>
      <c r="O13" s="145" t="s">
        <v>39</v>
      </c>
      <c r="P13" s="145" t="s">
        <v>35</v>
      </c>
      <c r="Q13" s="145" t="s">
        <v>36</v>
      </c>
      <c r="R13" s="148">
        <v>45839</v>
      </c>
      <c r="S13" s="148">
        <v>46174</v>
      </c>
      <c r="T13" s="146" t="s">
        <v>53</v>
      </c>
    </row>
    <row r="14" spans="2:20" ht="27.95" customHeight="1">
      <c r="B14" s="146" t="s">
        <v>89</v>
      </c>
      <c r="C14" s="146"/>
      <c r="D14" s="146" t="s">
        <v>87</v>
      </c>
      <c r="E14" s="146" t="s">
        <v>72</v>
      </c>
      <c r="F14" s="146" t="s">
        <v>91</v>
      </c>
      <c r="G14" s="147">
        <f>'Initiatives Summary'!$N45</f>
        <v>119.99999999999997</v>
      </c>
      <c r="H14" s="147">
        <f>'Initiatives Summary'!$BB45</f>
        <v>325.99999999999994</v>
      </c>
      <c r="I14" s="147">
        <f>'5.2 Juan'!$E7</f>
        <v>3260</v>
      </c>
      <c r="J14" s="147">
        <f>'Initiatives Summary'!$N68</f>
        <v>69.499999999999986</v>
      </c>
      <c r="K14" s="147">
        <f>'Initiatives Summary'!$BB68</f>
        <v>194.37999999999994</v>
      </c>
      <c r="L14" s="147">
        <f>'5.2 Juan'!$E28</f>
        <v>2123.7999999999997</v>
      </c>
      <c r="M14" s="147">
        <f>'Initiatives Summary'!$N77</f>
        <v>-33</v>
      </c>
      <c r="N14" s="145" t="str">
        <f t="shared" si="0"/>
        <v>High</v>
      </c>
      <c r="O14" s="145" t="s">
        <v>39</v>
      </c>
      <c r="P14" s="145" t="s">
        <v>35</v>
      </c>
      <c r="Q14" s="145" t="s">
        <v>36</v>
      </c>
      <c r="R14" s="148">
        <v>46023</v>
      </c>
      <c r="S14" s="148">
        <v>46082</v>
      </c>
      <c r="T14" s="146" t="s">
        <v>37</v>
      </c>
    </row>
    <row r="15" spans="2:20" ht="27.95" customHeight="1">
      <c r="B15" s="146" t="s">
        <v>95</v>
      </c>
      <c r="C15" s="146"/>
      <c r="D15" s="146" t="s">
        <v>87</v>
      </c>
      <c r="E15" s="146" t="s">
        <v>72</v>
      </c>
      <c r="F15" s="146" t="s">
        <v>97</v>
      </c>
      <c r="G15" s="147">
        <f>'Initiatives Summary'!$O45</f>
        <v>25</v>
      </c>
      <c r="H15" s="147">
        <f>'Initiatives Summary'!$BC45</f>
        <v>50</v>
      </c>
      <c r="I15" s="147">
        <f>'5.3 Vishal_India'!$E7</f>
        <v>100</v>
      </c>
      <c r="J15" s="147">
        <f>'Initiatives Summary'!$O68</f>
        <v>-19.25</v>
      </c>
      <c r="K15" s="147">
        <f>'Initiatives Summary'!$BC68</f>
        <v>-9.8100000000000023</v>
      </c>
      <c r="L15" s="147">
        <f>'5.3 Vishal_India'!$E28</f>
        <v>23.939999999999998</v>
      </c>
      <c r="M15" s="147">
        <f>'Initiatives Summary'!$O77</f>
        <v>-18</v>
      </c>
      <c r="N15" s="145" t="str">
        <f t="shared" si="0"/>
        <v>Low</v>
      </c>
      <c r="O15" s="145" t="s">
        <v>39</v>
      </c>
      <c r="P15" s="145" t="s">
        <v>35</v>
      </c>
      <c r="Q15" s="145" t="s">
        <v>36</v>
      </c>
      <c r="R15" s="148">
        <v>45839</v>
      </c>
      <c r="S15" s="148">
        <v>46174</v>
      </c>
      <c r="T15" s="146" t="s">
        <v>53</v>
      </c>
    </row>
    <row r="16" spans="2:20" ht="27.95" customHeight="1">
      <c r="B16" s="146" t="s">
        <v>98</v>
      </c>
      <c r="C16" s="146"/>
      <c r="D16" s="146" t="s">
        <v>100</v>
      </c>
      <c r="E16" s="146" t="s">
        <v>101</v>
      </c>
      <c r="F16" s="146" t="s">
        <v>33</v>
      </c>
      <c r="G16" s="147">
        <f>'Initiatives Summary'!$P45</f>
        <v>36.459375000000001</v>
      </c>
      <c r="H16" s="147">
        <f>'Initiatives Summary'!$BD45</f>
        <v>44.25</v>
      </c>
      <c r="I16" s="147">
        <f>'5.4 Export Event'!$E7</f>
        <v>59</v>
      </c>
      <c r="J16" s="147">
        <f>'Initiatives Summary'!$P68</f>
        <v>-101.30140625</v>
      </c>
      <c r="K16" s="147">
        <f>'Initiatives Summary'!$BD68</f>
        <v>-108.01625</v>
      </c>
      <c r="L16" s="147">
        <f>'5.4 Export Event'!$E28</f>
        <v>-98.355000000000004</v>
      </c>
      <c r="M16" s="147">
        <f>'Initiatives Summary'!$P77</f>
        <v>-125</v>
      </c>
      <c r="N16" s="145" t="str">
        <f t="shared" si="0"/>
        <v>Low</v>
      </c>
      <c r="O16" s="145" t="s">
        <v>39</v>
      </c>
      <c r="P16" s="145" t="s">
        <v>35</v>
      </c>
      <c r="Q16" s="145" t="s">
        <v>36</v>
      </c>
      <c r="R16" s="148">
        <v>45992</v>
      </c>
      <c r="S16" s="148">
        <v>46113</v>
      </c>
      <c r="T16" s="146" t="s">
        <v>37</v>
      </c>
    </row>
    <row r="17" spans="2:20" ht="27.95" customHeight="1">
      <c r="B17" s="146" t="s">
        <v>102</v>
      </c>
      <c r="C17" s="146"/>
      <c r="D17" s="146" t="s">
        <v>100</v>
      </c>
      <c r="E17" s="146" t="s">
        <v>80</v>
      </c>
      <c r="F17" s="146" t="s">
        <v>104</v>
      </c>
      <c r="G17" s="147">
        <f>'Initiatives Summary'!$Q45</f>
        <v>250</v>
      </c>
      <c r="H17" s="147">
        <f>'Initiatives Summary'!$BE45</f>
        <v>1000</v>
      </c>
      <c r="I17" s="147">
        <f>'5.5 ABC Brokers'!E7</f>
        <v>2000</v>
      </c>
      <c r="J17" s="147">
        <f>'Initiatives Summary'!$Q68</f>
        <v>157.5</v>
      </c>
      <c r="K17" s="147">
        <f>'Initiatives Summary'!$BE68</f>
        <v>655</v>
      </c>
      <c r="L17" s="147">
        <f>'5.5 ABC Brokers'!E28</f>
        <v>1330</v>
      </c>
      <c r="M17" s="147">
        <f>'Initiatives Summary'!$Q77</f>
        <v>-8</v>
      </c>
      <c r="N17" s="145" t="str">
        <f t="shared" ref="N17" si="1">IF(OR(I17&gt;1000,L17&gt;500),"High",IF(OR(I17&gt;500,L17&gt;250),"Medium","Low"))</f>
        <v>High</v>
      </c>
      <c r="O17" s="145" t="s">
        <v>39</v>
      </c>
      <c r="P17" s="145" t="s">
        <v>34</v>
      </c>
      <c r="Q17" s="145" t="s">
        <v>36</v>
      </c>
      <c r="R17" s="148">
        <v>45992</v>
      </c>
      <c r="S17" s="148">
        <v>46174</v>
      </c>
      <c r="T17" s="146" t="s">
        <v>37</v>
      </c>
    </row>
    <row r="18" spans="2:20" ht="27.95" customHeight="1">
      <c r="B18" s="146" t="s">
        <v>105</v>
      </c>
      <c r="C18" s="146"/>
      <c r="D18" s="146" t="s">
        <v>107</v>
      </c>
      <c r="E18" s="146" t="s">
        <v>101</v>
      </c>
      <c r="F18" s="146" t="s">
        <v>33</v>
      </c>
      <c r="G18" s="147">
        <f>'Initiatives Summary'!$R45</f>
        <v>252.7</v>
      </c>
      <c r="H18" s="147">
        <f>'Initiatives Summary'!$BF45</f>
        <v>484.69574999999992</v>
      </c>
      <c r="I18" s="147">
        <f>'6.1 eComm Growth EU'!$E7</f>
        <v>692.4224999999999</v>
      </c>
      <c r="J18" s="147">
        <f>'Initiatives Summary'!$R68</f>
        <v>-46.293000000000006</v>
      </c>
      <c r="K18" s="147">
        <f>'Initiatives Summary'!$BF68</f>
        <v>134.8091062499999</v>
      </c>
      <c r="L18" s="147">
        <f>'6.1 eComm Growth EU'!$E28</f>
        <v>320.72454749999974</v>
      </c>
      <c r="M18" s="147">
        <f>'Initiatives Summary'!$R77</f>
        <v>-22.599666666666668</v>
      </c>
      <c r="N18" s="145" t="str">
        <f t="shared" si="0"/>
        <v>Medium</v>
      </c>
      <c r="O18" s="145" t="s">
        <v>39</v>
      </c>
      <c r="P18" s="145" t="s">
        <v>35</v>
      </c>
      <c r="Q18" s="145" t="s">
        <v>36</v>
      </c>
      <c r="R18" s="148">
        <v>46023</v>
      </c>
      <c r="S18" s="148">
        <v>46082</v>
      </c>
      <c r="T18" s="146" t="s">
        <v>37</v>
      </c>
    </row>
    <row r="19" spans="2:20" ht="27.95" customHeight="1">
      <c r="B19" s="146" t="s">
        <v>108</v>
      </c>
      <c r="C19" s="146"/>
      <c r="D19" s="146" t="s">
        <v>107</v>
      </c>
      <c r="E19" s="146" t="s">
        <v>101</v>
      </c>
      <c r="F19" s="146" t="s">
        <v>33</v>
      </c>
      <c r="G19" s="147">
        <f>'Initiatives Summary'!$S45</f>
        <v>119.69999999999999</v>
      </c>
      <c r="H19" s="147">
        <f>'Initiatives Summary'!$BG45</f>
        <v>308.80324999999993</v>
      </c>
      <c r="I19" s="147">
        <f>'6.2 eComm Growth US'!$E7</f>
        <v>441.14749999999992</v>
      </c>
      <c r="J19" s="147">
        <f>'Initiatives Summary'!$S68</f>
        <v>-7.9440000000000026</v>
      </c>
      <c r="K19" s="147">
        <f>'Initiatives Summary'!$BG68</f>
        <v>148.39967624999991</v>
      </c>
      <c r="L19" s="147">
        <f>'6.2 eComm Growth US'!$E28</f>
        <v>265.52433749999989</v>
      </c>
      <c r="M19" s="147">
        <f>'Initiatives Summary'!$S77</f>
        <v>-9.44</v>
      </c>
      <c r="N19" s="145" t="str">
        <f t="shared" si="0"/>
        <v>Medium</v>
      </c>
      <c r="O19" s="145" t="s">
        <v>39</v>
      </c>
      <c r="P19" s="145" t="s">
        <v>35</v>
      </c>
      <c r="Q19" s="145" t="s">
        <v>36</v>
      </c>
      <c r="R19" s="148">
        <v>46023</v>
      </c>
      <c r="S19" s="148">
        <v>46082</v>
      </c>
      <c r="T19" s="146" t="s">
        <v>37</v>
      </c>
    </row>
    <row r="20" spans="2:20" ht="27.95" customHeight="1">
      <c r="B20" s="146" t="s">
        <v>110</v>
      </c>
      <c r="C20" s="146"/>
      <c r="D20" s="146" t="s">
        <v>112</v>
      </c>
      <c r="E20" s="146" t="s">
        <v>113</v>
      </c>
      <c r="F20" s="146" t="s">
        <v>114</v>
      </c>
      <c r="G20" s="147">
        <f>'Initiatives Summary'!$T45</f>
        <v>154.417478679</v>
      </c>
      <c r="H20" s="147">
        <f>'Initiatives Summary'!$BH45</f>
        <v>810.13109061599982</v>
      </c>
      <c r="I20" s="147">
        <f>'7.1 Cambrium NPD'!$E7</f>
        <v>1080.174787488</v>
      </c>
      <c r="J20" s="147">
        <f>'Initiatives Summary'!$T68</f>
        <v>22.474211470469982</v>
      </c>
      <c r="K20" s="147">
        <f>'Initiatives Summary'!$BH68</f>
        <v>573.2581831044597</v>
      </c>
      <c r="L20" s="147">
        <f>'7.1 Cambrium NPD'!$E28</f>
        <v>769.34424413928002</v>
      </c>
      <c r="M20" s="147">
        <f>'Initiatives Summary'!$T77</f>
        <v>-300</v>
      </c>
      <c r="N20" s="145" t="str">
        <f t="shared" si="0"/>
        <v>High</v>
      </c>
      <c r="O20" s="145" t="s">
        <v>39</v>
      </c>
      <c r="P20" s="145" t="s">
        <v>35</v>
      </c>
      <c r="Q20" s="145" t="s">
        <v>36</v>
      </c>
      <c r="R20" s="148">
        <v>46023</v>
      </c>
      <c r="S20" s="148">
        <v>46296</v>
      </c>
      <c r="T20" s="146" t="s">
        <v>37</v>
      </c>
    </row>
    <row r="21" spans="2:20" ht="27.95" customHeight="1">
      <c r="B21" s="146" t="s">
        <v>115</v>
      </c>
      <c r="C21" s="146"/>
      <c r="D21" s="146" t="s">
        <v>112</v>
      </c>
      <c r="E21" s="146" t="s">
        <v>101</v>
      </c>
      <c r="F21" s="146" t="s">
        <v>33</v>
      </c>
      <c r="G21" s="147">
        <f>'Initiatives Summary'!$U45</f>
        <v>205.88997157200001</v>
      </c>
      <c r="H21" s="147">
        <f>'Initiatives Summary'!$BI45</f>
        <v>405.06554530799991</v>
      </c>
      <c r="I21" s="147">
        <f>'7.2 Social Media_Mkting'!$E7</f>
        <v>540.087393744</v>
      </c>
      <c r="J21" s="147">
        <f>'Initiatives Summary'!$U68</f>
        <v>-161.03438470604002</v>
      </c>
      <c r="K21" s="147">
        <f>'Initiatives Summary'!$BI68</f>
        <v>60.879091552229866</v>
      </c>
      <c r="L21" s="147">
        <f>'7.2 Social Media_Mkting'!$E7</f>
        <v>540.087393744</v>
      </c>
      <c r="M21" s="147">
        <f>'Initiatives Summary'!$U77</f>
        <v>-311</v>
      </c>
      <c r="N21" s="145" t="str">
        <f t="shared" si="0"/>
        <v>High</v>
      </c>
      <c r="O21" s="145" t="s">
        <v>35</v>
      </c>
      <c r="P21" s="145" t="s">
        <v>35</v>
      </c>
      <c r="Q21" s="145" t="s">
        <v>36</v>
      </c>
      <c r="R21" s="148">
        <v>46023</v>
      </c>
      <c r="S21" s="148">
        <v>46174</v>
      </c>
      <c r="T21" s="146" t="s">
        <v>37</v>
      </c>
    </row>
    <row r="22" spans="2:20" ht="27.95" hidden="1" customHeight="1"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</row>
    <row r="23" spans="2:20" ht="27.95" customHeight="1">
      <c r="B23" s="149" t="s">
        <v>117</v>
      </c>
      <c r="C23" s="149"/>
      <c r="D23" s="149"/>
      <c r="E23" s="149"/>
      <c r="F23" s="149"/>
      <c r="G23" s="150">
        <f>SUM(G3:G22)</f>
        <v>4191.2872560509995</v>
      </c>
      <c r="H23" s="150">
        <f t="shared" ref="H23:M23" si="2">SUM(H3:H22)</f>
        <v>13904.760873471998</v>
      </c>
      <c r="I23" s="150">
        <f t="shared" si="2"/>
        <v>30537.177670231998</v>
      </c>
      <c r="J23" s="150">
        <f t="shared" si="2"/>
        <v>128.2405743274301</v>
      </c>
      <c r="K23" s="150">
        <f t="shared" si="2"/>
        <v>6078.3226240877075</v>
      </c>
      <c r="L23" s="150">
        <f t="shared" si="2"/>
        <v>17080.60748604028</v>
      </c>
      <c r="M23" s="150">
        <f t="shared" si="2"/>
        <v>-2019.5974018351667</v>
      </c>
      <c r="N23" s="149"/>
      <c r="O23" s="149"/>
      <c r="P23" s="149"/>
      <c r="Q23" s="149"/>
      <c r="R23" s="149"/>
      <c r="S23" s="149"/>
      <c r="T23" s="149"/>
    </row>
  </sheetData>
  <autoFilter ref="B2:T21" xr:uid="{95654D0A-96A8-41C6-AFD0-2CB9FD05D27F}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09352B-B313-496C-9375-7E7D46A95411}">
          <x14:formula1>
            <xm:f>List!$B:$B</xm:f>
          </x14:formula1>
          <xm:sqref>N3:P21</xm:sqref>
        </x14:dataValidation>
        <x14:dataValidation type="list" allowBlank="1" showInputMessage="1" showErrorMessage="1" xr:uid="{E230CA19-6AB8-4320-A905-C24CCBA09D8A}">
          <x14:formula1>
            <xm:f>List!$D:$D</xm:f>
          </x14:formula1>
          <xm:sqref>Q3:Q21</xm:sqref>
        </x14:dataValidation>
        <x14:dataValidation type="list" allowBlank="1" showInputMessage="1" showErrorMessage="1" xr:uid="{31DE2F7C-3A57-4084-A278-C8D076F5F8D7}">
          <x14:formula1>
            <xm:f>List!$F:$F</xm:f>
          </x14:formula1>
          <xm:sqref>T3:T21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2778-5946-4C90-81C7-C154091BEECB}">
  <sheetPr>
    <tabColor rgb="FF92D050"/>
  </sheetPr>
  <dimension ref="B2:K74"/>
  <sheetViews>
    <sheetView showGridLines="0" workbookViewId="0">
      <selection activeCell="G5" sqref="G5"/>
    </sheetView>
  </sheetViews>
  <sheetFormatPr defaultColWidth="8.85546875" defaultRowHeight="15" outlineLevelRow="1"/>
  <cols>
    <col min="2" max="2" width="42.42578125" customWidth="1"/>
    <col min="3" max="5" width="11.42578125" customWidth="1"/>
    <col min="6" max="6" width="1.7109375" customWidth="1"/>
    <col min="7" max="7" width="13.42578125" customWidth="1"/>
    <col min="8" max="8" width="1.7109375" customWidth="1"/>
    <col min="9" max="11" width="11.42578125" customWidth="1"/>
  </cols>
  <sheetData>
    <row r="2" spans="2:11" ht="30">
      <c r="B2" s="74"/>
      <c r="C2" s="144" t="s">
        <v>317</v>
      </c>
      <c r="D2" s="144" t="s">
        <v>317</v>
      </c>
      <c r="E2" s="144"/>
      <c r="F2" s="1"/>
      <c r="G2" s="144" t="s">
        <v>270</v>
      </c>
      <c r="H2" s="1"/>
      <c r="I2" s="144" t="s">
        <v>318</v>
      </c>
      <c r="J2" s="144" t="s">
        <v>318</v>
      </c>
      <c r="K2" s="144"/>
    </row>
    <row r="3" spans="2:11">
      <c r="B3" s="68" t="s">
        <v>221</v>
      </c>
      <c r="C3" s="74" t="s">
        <v>275</v>
      </c>
      <c r="D3" s="74" t="s">
        <v>257</v>
      </c>
      <c r="E3" s="74" t="s">
        <v>319</v>
      </c>
      <c r="G3" s="74" t="s">
        <v>320</v>
      </c>
      <c r="I3" s="74" t="s">
        <v>275</v>
      </c>
      <c r="J3" s="74" t="s">
        <v>257</v>
      </c>
      <c r="K3" s="74" t="s">
        <v>319</v>
      </c>
    </row>
    <row r="4" spans="2:11" ht="6" customHeight="1" outlineLevel="1">
      <c r="B4" s="49"/>
      <c r="C4" s="63"/>
      <c r="D4" s="63"/>
      <c r="E4" s="87"/>
      <c r="G4" s="63"/>
      <c r="I4" s="63"/>
      <c r="J4" s="63"/>
      <c r="K4" s="87"/>
    </row>
    <row r="5" spans="2:11" outlineLevel="1">
      <c r="B5" s="45" t="s">
        <v>228</v>
      </c>
      <c r="C5" s="46">
        <f>'Sales Budget Summary'!F4</f>
        <v>4698.95</v>
      </c>
      <c r="D5" s="46">
        <f>'2025A'!C5</f>
        <v>4530.8243099999991</v>
      </c>
      <c r="E5" s="85">
        <f>IFERROR(C5/D5-1, "N/A")</f>
        <v>3.7107086591049221E-2</v>
      </c>
      <c r="G5" s="46">
        <f>SUM('Initiatives Summary'!C5:U5)</f>
        <v>326.97722528145664</v>
      </c>
      <c r="I5" s="46">
        <f>SUM(C5,G5)</f>
        <v>5025.9272252814562</v>
      </c>
      <c r="J5" s="46">
        <f>D5</f>
        <v>4530.8243099999991</v>
      </c>
      <c r="K5" s="85">
        <f>IFERROR(I5/J5-1, "N/A")</f>
        <v>0.10927435746928293</v>
      </c>
    </row>
    <row r="6" spans="2:11" outlineLevel="1">
      <c r="B6" s="45" t="s">
        <v>229</v>
      </c>
      <c r="C6" s="46">
        <f>'Sales Budget Summary'!F5</f>
        <v>1912.9</v>
      </c>
      <c r="D6" s="46">
        <f>'2025A'!C6</f>
        <v>1906.7439800000002</v>
      </c>
      <c r="E6" s="85">
        <f t="shared" ref="E6:E10" si="0">IFERROR(C6/D6-1, "N/A")</f>
        <v>3.2285509038292304E-3</v>
      </c>
      <c r="G6" s="46">
        <f>SUM('Initiatives Summary'!C6:U6)</f>
        <v>158.01164818542406</v>
      </c>
      <c r="I6" s="46">
        <f t="shared" ref="I6:I10" si="1">SUM(C6,G6)</f>
        <v>2070.9116481854244</v>
      </c>
      <c r="J6" s="46">
        <f t="shared" ref="J6:J10" si="2">D6</f>
        <v>1906.7439800000002</v>
      </c>
      <c r="K6" s="85">
        <f t="shared" ref="K6:K10" si="3">IFERROR(I6/J6-1, "N/A")</f>
        <v>8.6098432672342406E-2</v>
      </c>
    </row>
    <row r="7" spans="2:11" outlineLevel="1">
      <c r="B7" s="45" t="s">
        <v>230</v>
      </c>
      <c r="C7" s="46">
        <f>'Sales Budget Summary'!F6</f>
        <v>771.75</v>
      </c>
      <c r="D7" s="46">
        <f>'2025A'!C7</f>
        <v>641.74332000000004</v>
      </c>
      <c r="E7" s="85">
        <f t="shared" si="0"/>
        <v>0.20258361240129452</v>
      </c>
      <c r="G7" s="46">
        <f>SUM('Initiatives Summary'!C7:U7)</f>
        <v>46.804323010664966</v>
      </c>
      <c r="I7" s="46">
        <f t="shared" si="1"/>
        <v>818.55432301066492</v>
      </c>
      <c r="J7" s="46">
        <f t="shared" si="2"/>
        <v>641.74332000000004</v>
      </c>
      <c r="K7" s="85">
        <f t="shared" si="3"/>
        <v>0.27551670192790612</v>
      </c>
    </row>
    <row r="8" spans="2:11" outlineLevel="1">
      <c r="B8" s="45" t="s">
        <v>231</v>
      </c>
      <c r="C8" s="46">
        <f>'Sales Budget Summary'!F7</f>
        <v>227.5</v>
      </c>
      <c r="D8" s="46">
        <f>'2025A'!C8</f>
        <v>145.07323</v>
      </c>
      <c r="E8" s="85">
        <f t="shared" si="0"/>
        <v>0.56817353553098671</v>
      </c>
      <c r="G8" s="46">
        <f>SUM('Initiatives Summary'!C8:U8)</f>
        <v>13.797192724232303</v>
      </c>
      <c r="I8" s="46">
        <f t="shared" si="1"/>
        <v>241.2971927242323</v>
      </c>
      <c r="J8" s="46">
        <f t="shared" si="2"/>
        <v>145.07323</v>
      </c>
      <c r="K8" s="85">
        <f t="shared" si="3"/>
        <v>0.66327855748598363</v>
      </c>
    </row>
    <row r="9" spans="2:11" outlineLevel="1">
      <c r="B9" s="45" t="s">
        <v>232</v>
      </c>
      <c r="C9" s="46">
        <f>'Sales Budget Summary'!F8</f>
        <v>158.97499999999999</v>
      </c>
      <c r="D9" s="46">
        <f>'2025A'!C9</f>
        <v>42.081430000000005</v>
      </c>
      <c r="E9" s="85">
        <f t="shared" si="0"/>
        <v>2.777794623424156</v>
      </c>
      <c r="G9" s="46">
        <f>SUM('Initiatives Summary'!C9:U9)</f>
        <v>9.6413569816915619</v>
      </c>
      <c r="I9" s="46">
        <f t="shared" si="1"/>
        <v>168.61635698169155</v>
      </c>
      <c r="J9" s="46">
        <f t="shared" si="2"/>
        <v>42.081430000000005</v>
      </c>
      <c r="K9" s="85">
        <f t="shared" si="3"/>
        <v>3.0069065376744932</v>
      </c>
    </row>
    <row r="10" spans="2:11" outlineLevel="1">
      <c r="B10" s="45" t="s">
        <v>233</v>
      </c>
      <c r="C10" s="46">
        <f>'Sales Budget Summary'!F9</f>
        <v>67.5</v>
      </c>
      <c r="D10" s="46">
        <f>'2025A'!C10</f>
        <v>8.8706399999999999</v>
      </c>
      <c r="E10" s="85">
        <f t="shared" si="0"/>
        <v>6.6093720407997623</v>
      </c>
      <c r="G10" s="46">
        <f>SUM('Initiatives Summary'!C10:U10)</f>
        <v>4.0936725665304632</v>
      </c>
      <c r="I10" s="46">
        <f t="shared" si="1"/>
        <v>71.593672566530458</v>
      </c>
      <c r="J10" s="46">
        <f t="shared" si="2"/>
        <v>8.8706399999999999</v>
      </c>
      <c r="K10" s="85">
        <f t="shared" si="3"/>
        <v>7.0708576344582195</v>
      </c>
    </row>
    <row r="11" spans="2:11" outlineLevel="1">
      <c r="B11" s="47" t="s">
        <v>31</v>
      </c>
      <c r="C11" s="48">
        <f>SUM(C5:C10)</f>
        <v>7837.5750000000007</v>
      </c>
      <c r="D11" s="48">
        <f>SUM(D5:D10)</f>
        <v>7275.3369099999991</v>
      </c>
      <c r="E11" s="86">
        <f t="shared" ref="E11:E68" si="4">C11/D11-1</f>
        <v>7.7280007366696823E-2</v>
      </c>
      <c r="G11" s="48">
        <f>SUM(G5:G10)</f>
        <v>559.32541875000004</v>
      </c>
      <c r="I11" s="48">
        <f>SUM(I5:I10)</f>
        <v>8396.9004187499995</v>
      </c>
      <c r="J11" s="48">
        <f>SUM(J5:J10)</f>
        <v>7275.3369099999991</v>
      </c>
      <c r="K11" s="86">
        <f t="shared" ref="K11" si="5">I11/J11-1</f>
        <v>0.15415966609166976</v>
      </c>
    </row>
    <row r="12" spans="2:11" ht="6" customHeight="1" outlineLevel="1">
      <c r="B12" s="49"/>
      <c r="C12" s="63"/>
      <c r="D12" s="63"/>
      <c r="E12" s="87"/>
      <c r="G12" s="63"/>
      <c r="I12" s="63"/>
      <c r="J12" s="63"/>
      <c r="K12" s="87"/>
    </row>
    <row r="13" spans="2:11" outlineLevel="1">
      <c r="B13" s="44" t="s">
        <v>234</v>
      </c>
      <c r="C13" s="46">
        <f>'Sales Budget Summary'!F12</f>
        <v>321.7</v>
      </c>
      <c r="D13" s="46">
        <f>'2025A'!C13</f>
        <v>201.3082344</v>
      </c>
      <c r="E13" s="85">
        <f t="shared" ref="E13:E14" si="6">IFERROR(C13/D13-1, "N/A")</f>
        <v>0.59804690036067387</v>
      </c>
      <c r="G13" s="46">
        <f>SUM('Initiatives Summary'!C13:U13)</f>
        <v>8.4446250000000003</v>
      </c>
      <c r="I13" s="46">
        <f t="shared" ref="I13:I14" si="7">SUM(C13,G13)</f>
        <v>330.14462499999996</v>
      </c>
      <c r="J13" s="46">
        <f t="shared" ref="J13:J14" si="8">D13</f>
        <v>201.3082344</v>
      </c>
      <c r="K13" s="85">
        <f t="shared" ref="K13:K14" si="9">IFERROR(I13/J13-1, "N/A")</f>
        <v>0.63999563149514138</v>
      </c>
    </row>
    <row r="14" spans="2:11" outlineLevel="1">
      <c r="B14" s="44" t="s">
        <v>235</v>
      </c>
      <c r="C14" s="46">
        <f>'Sales Budget Summary'!F13</f>
        <v>175</v>
      </c>
      <c r="D14" s="46">
        <f>'2025A'!C14</f>
        <v>177.28904740000002</v>
      </c>
      <c r="E14" s="85">
        <f t="shared" si="6"/>
        <v>-1.2911386425555449E-2</v>
      </c>
      <c r="G14" s="46">
        <f>SUM('Initiatives Summary'!C14:U14)</f>
        <v>4.59375</v>
      </c>
      <c r="I14" s="46">
        <f t="shared" si="7"/>
        <v>179.59375</v>
      </c>
      <c r="J14" s="46">
        <f t="shared" si="8"/>
        <v>177.28904740000002</v>
      </c>
      <c r="K14" s="85">
        <f t="shared" si="9"/>
        <v>1.2999689680773807E-2</v>
      </c>
    </row>
    <row r="15" spans="2:11" outlineLevel="1">
      <c r="B15" s="51" t="s">
        <v>236</v>
      </c>
      <c r="C15" s="48">
        <f t="shared" ref="C15:D15" si="10">SUM(C13:C14)</f>
        <v>496.7</v>
      </c>
      <c r="D15" s="48">
        <f t="shared" si="10"/>
        <v>378.59728180000002</v>
      </c>
      <c r="E15" s="86">
        <f t="shared" si="4"/>
        <v>0.31194814088070921</v>
      </c>
      <c r="G15" s="48">
        <f t="shared" ref="G15" si="11">SUM(G13:G14)</f>
        <v>13.038375</v>
      </c>
      <c r="I15" s="48">
        <f t="shared" ref="I15:J15" si="12">SUM(I13:I14)</f>
        <v>509.73837499999996</v>
      </c>
      <c r="J15" s="48">
        <f t="shared" si="12"/>
        <v>378.59728180000002</v>
      </c>
      <c r="K15" s="86">
        <f t="shared" ref="K15" si="13">I15/J15-1</f>
        <v>0.3463867795788278</v>
      </c>
    </row>
    <row r="16" spans="2:11" ht="6" customHeight="1" outlineLevel="1">
      <c r="B16" s="49"/>
      <c r="C16" s="63"/>
      <c r="D16" s="63"/>
      <c r="E16" s="87"/>
      <c r="G16" s="63"/>
      <c r="I16" s="63"/>
      <c r="J16" s="63"/>
      <c r="K16" s="87"/>
    </row>
    <row r="17" spans="2:11" outlineLevel="1">
      <c r="B17" s="45" t="s">
        <v>237</v>
      </c>
      <c r="C17" s="46">
        <f>'Sales Budget Summary'!F16</f>
        <v>983.24199999999996</v>
      </c>
      <c r="D17" s="46">
        <f>'2025A'!C17</f>
        <v>754.68615419999992</v>
      </c>
      <c r="E17" s="85">
        <f t="shared" ref="E17:E18" si="14">IFERROR(C17/D17-1, "N/A")</f>
        <v>0.30284886575437331</v>
      </c>
      <c r="G17" s="46">
        <f>SUM('Initiatives Summary'!C17:U17)</f>
        <v>2371.8414583000003</v>
      </c>
      <c r="I17" s="46">
        <f t="shared" ref="I17:I18" si="15">SUM(C17,G17)</f>
        <v>3355.0834583000005</v>
      </c>
      <c r="J17" s="46">
        <f t="shared" ref="J17:J18" si="16">D17</f>
        <v>754.68615419999992</v>
      </c>
      <c r="K17" s="85">
        <f t="shared" ref="K17:K18" si="17">IFERROR(I17/J17-1, "N/A")</f>
        <v>3.4456671685682831</v>
      </c>
    </row>
    <row r="18" spans="2:11" outlineLevel="1">
      <c r="B18" s="45" t="s">
        <v>64</v>
      </c>
      <c r="C18" s="46">
        <f>'Sales Budget Summary'!F17</f>
        <v>20</v>
      </c>
      <c r="D18" s="46">
        <f>'2025A'!C18</f>
        <v>5</v>
      </c>
      <c r="E18" s="85">
        <f t="shared" si="14"/>
        <v>3</v>
      </c>
      <c r="G18" s="46">
        <f>SUM('Initiatives Summary'!C18:U18)</f>
        <v>30.525000000000002</v>
      </c>
      <c r="I18" s="46">
        <f t="shared" si="15"/>
        <v>50.525000000000006</v>
      </c>
      <c r="J18" s="46">
        <f t="shared" si="16"/>
        <v>5</v>
      </c>
      <c r="K18" s="85">
        <f t="shared" si="17"/>
        <v>9.1050000000000004</v>
      </c>
    </row>
    <row r="19" spans="2:11" outlineLevel="1">
      <c r="B19" s="47" t="s">
        <v>238</v>
      </c>
      <c r="C19" s="48">
        <f t="shared" ref="C19:D19" si="18">SUM(C17:C18)</f>
        <v>1003.242</v>
      </c>
      <c r="D19" s="48">
        <f t="shared" si="18"/>
        <v>759.68615419999992</v>
      </c>
      <c r="E19" s="86">
        <f t="shared" si="4"/>
        <v>0.32060061178353383</v>
      </c>
      <c r="G19" s="48">
        <f t="shared" ref="G19" si="19">SUM(G17:G18)</f>
        <v>2402.3664583000004</v>
      </c>
      <c r="I19" s="48">
        <f t="shared" ref="I19:J19" si="20">SUM(I17:I18)</f>
        <v>3405.6084583000006</v>
      </c>
      <c r="J19" s="48">
        <f t="shared" si="20"/>
        <v>759.68615419999992</v>
      </c>
      <c r="K19" s="86">
        <f t="shared" ref="K19" si="21">I19/J19-1</f>
        <v>3.4829150030861538</v>
      </c>
    </row>
    <row r="20" spans="2:11" ht="6" customHeight="1" outlineLevel="1">
      <c r="B20" s="49"/>
      <c r="C20" s="63"/>
      <c r="D20" s="63"/>
      <c r="E20" s="87"/>
      <c r="G20" s="63"/>
      <c r="I20" s="63"/>
      <c r="J20" s="63"/>
      <c r="K20" s="87"/>
    </row>
    <row r="21" spans="2:11" outlineLevel="1">
      <c r="B21" s="45" t="s">
        <v>239</v>
      </c>
      <c r="C21" s="46">
        <f>'Sales Budget Summary'!F20</f>
        <v>430</v>
      </c>
      <c r="D21" s="46">
        <f>'2025A'!C21</f>
        <v>447.78187000000008</v>
      </c>
      <c r="E21" s="90">
        <f t="shared" ref="E21:E27" si="22">IFERROR(C21/D21-1, "N/A")</f>
        <v>-3.9711009291198196E-2</v>
      </c>
      <c r="G21" s="46">
        <f>SUM('Initiatives Summary'!C21:U21)</f>
        <v>19.350000000000001</v>
      </c>
      <c r="I21" s="46">
        <f t="shared" ref="I21:I27" si="23">SUM(C21,G21)</f>
        <v>449.35</v>
      </c>
      <c r="J21" s="46">
        <f t="shared" ref="J21:J27" si="24">D21</f>
        <v>447.78187000000008</v>
      </c>
      <c r="K21" s="90">
        <f t="shared" ref="K21:K27" si="25">IFERROR(I21/J21-1, "N/A")</f>
        <v>3.5019952906980567E-3</v>
      </c>
    </row>
    <row r="22" spans="2:11" outlineLevel="1">
      <c r="B22" s="45" t="s">
        <v>240</v>
      </c>
      <c r="C22" s="46">
        <f>'Sales Budget Summary'!F21</f>
        <v>625</v>
      </c>
      <c r="D22" s="46">
        <f>'2025A'!C22</f>
        <v>567.51580000000001</v>
      </c>
      <c r="E22" s="90">
        <f t="shared" si="22"/>
        <v>0.10129092441126741</v>
      </c>
      <c r="G22" s="46">
        <f>SUM('Initiatives Summary'!C22:U22)</f>
        <v>28.125</v>
      </c>
      <c r="I22" s="46">
        <f t="shared" si="23"/>
        <v>653.125</v>
      </c>
      <c r="J22" s="46">
        <f t="shared" si="24"/>
        <v>567.51580000000001</v>
      </c>
      <c r="K22" s="90">
        <f t="shared" si="25"/>
        <v>0.15084901600977441</v>
      </c>
    </row>
    <row r="23" spans="2:11" outlineLevel="1">
      <c r="B23" s="45" t="s">
        <v>241</v>
      </c>
      <c r="C23" s="46">
        <f>'Sales Budget Summary'!F22</f>
        <v>350</v>
      </c>
      <c r="D23" s="46">
        <f>'2025A'!C23</f>
        <v>277.16552000000001</v>
      </c>
      <c r="E23" s="90">
        <f t="shared" si="22"/>
        <v>0.26278333610905125</v>
      </c>
      <c r="G23" s="46">
        <f>SUM('Initiatives Summary'!C23:U23)</f>
        <v>15.75</v>
      </c>
      <c r="I23" s="46">
        <f t="shared" si="23"/>
        <v>365.75</v>
      </c>
      <c r="J23" s="46">
        <f t="shared" si="24"/>
        <v>277.16552000000001</v>
      </c>
      <c r="K23" s="90">
        <f t="shared" si="25"/>
        <v>0.3196085862339586</v>
      </c>
    </row>
    <row r="24" spans="2:11" outlineLevel="1">
      <c r="B24" s="45" t="s">
        <v>242</v>
      </c>
      <c r="C24" s="46">
        <f>'Sales Budget Summary'!F23</f>
        <v>457.5</v>
      </c>
      <c r="D24" s="46">
        <f>'2025A'!C24</f>
        <v>443.66261000000003</v>
      </c>
      <c r="E24" s="90">
        <f t="shared" si="22"/>
        <v>3.1188992915134328E-2</v>
      </c>
      <c r="G24" s="46">
        <f>SUM('Initiatives Summary'!C24:U24)</f>
        <v>20.587499999999999</v>
      </c>
      <c r="I24" s="46">
        <f t="shared" si="23"/>
        <v>478.08749999999998</v>
      </c>
      <c r="J24" s="46">
        <f t="shared" si="24"/>
        <v>443.66261000000003</v>
      </c>
      <c r="K24" s="90">
        <f t="shared" si="25"/>
        <v>7.7592497596315146E-2</v>
      </c>
    </row>
    <row r="25" spans="2:11" outlineLevel="1">
      <c r="B25" s="45" t="s">
        <v>243</v>
      </c>
      <c r="C25" s="46">
        <f>'Sales Budget Summary'!F24</f>
        <v>30</v>
      </c>
      <c r="D25" s="46">
        <f>'2025A'!C25</f>
        <v>34.968969999999999</v>
      </c>
      <c r="E25" s="90">
        <f t="shared" si="22"/>
        <v>-0.14209655017005074</v>
      </c>
      <c r="G25" s="46">
        <f>SUM('Initiatives Summary'!C25:U25)</f>
        <v>1.35</v>
      </c>
      <c r="I25" s="46">
        <f t="shared" si="23"/>
        <v>31.35</v>
      </c>
      <c r="J25" s="46">
        <f t="shared" si="24"/>
        <v>34.968969999999999</v>
      </c>
      <c r="K25" s="90">
        <f t="shared" si="25"/>
        <v>-0.10349089492770303</v>
      </c>
    </row>
    <row r="26" spans="2:11" outlineLevel="1">
      <c r="B26" s="45" t="s">
        <v>244</v>
      </c>
      <c r="C26" s="46">
        <f>'Sales Budget Summary'!F25</f>
        <v>20</v>
      </c>
      <c r="D26" s="46">
        <f>'2025A'!C26</f>
        <v>14.61966</v>
      </c>
      <c r="E26" s="90">
        <f t="shared" si="22"/>
        <v>0.36802087052640076</v>
      </c>
      <c r="G26" s="46">
        <f>SUM('Initiatives Summary'!C26:U26)</f>
        <v>250.9</v>
      </c>
      <c r="I26" s="46">
        <f t="shared" si="23"/>
        <v>270.89999999999998</v>
      </c>
      <c r="J26" s="46">
        <f t="shared" si="24"/>
        <v>14.61966</v>
      </c>
      <c r="K26" s="90">
        <f t="shared" si="25"/>
        <v>17.529842691280098</v>
      </c>
    </row>
    <row r="27" spans="2:11" outlineLevel="1">
      <c r="B27" s="45" t="s">
        <v>245</v>
      </c>
      <c r="C27" s="46">
        <f>'Sales Budget Summary'!F26</f>
        <v>32</v>
      </c>
      <c r="D27" s="46">
        <f>'2025A'!C27</f>
        <v>31.812060000000002</v>
      </c>
      <c r="E27" s="90">
        <f t="shared" si="22"/>
        <v>5.9078223793114226E-3</v>
      </c>
      <c r="G27" s="46">
        <f>SUM('Initiatives Summary'!C27:U27)</f>
        <v>1.44</v>
      </c>
      <c r="I27" s="46">
        <f t="shared" si="23"/>
        <v>33.44</v>
      </c>
      <c r="J27" s="46">
        <f t="shared" si="24"/>
        <v>31.812060000000002</v>
      </c>
      <c r="K27" s="90">
        <f t="shared" si="25"/>
        <v>5.117367438638043E-2</v>
      </c>
    </row>
    <row r="28" spans="2:11" outlineLevel="1">
      <c r="B28" s="47" t="s">
        <v>100</v>
      </c>
      <c r="C28" s="48">
        <f t="shared" ref="C28:D28" si="26">SUM(C21:C27)</f>
        <v>1944.5</v>
      </c>
      <c r="D28" s="48">
        <f t="shared" si="26"/>
        <v>1817.5264900000002</v>
      </c>
      <c r="E28" s="86">
        <f t="shared" si="4"/>
        <v>6.986061039473479E-2</v>
      </c>
      <c r="G28" s="48">
        <f t="shared" ref="G28" si="27">SUM(G21:G27)</f>
        <v>337.5025</v>
      </c>
      <c r="I28" s="48">
        <f t="shared" ref="I28:J28" si="28">SUM(I21:I27)</f>
        <v>2282.0025000000001</v>
      </c>
      <c r="J28" s="48">
        <f t="shared" si="28"/>
        <v>1817.5264900000002</v>
      </c>
      <c r="K28" s="86">
        <f t="shared" ref="K28" si="29">I28/J28-1</f>
        <v>0.25555391492533341</v>
      </c>
    </row>
    <row r="29" spans="2:11" ht="6" customHeight="1" outlineLevel="1">
      <c r="B29" s="49"/>
      <c r="C29" s="63"/>
      <c r="D29" s="63"/>
      <c r="E29" s="87"/>
      <c r="G29" s="63"/>
      <c r="I29" s="63"/>
      <c r="J29" s="63"/>
      <c r="K29" s="87"/>
    </row>
    <row r="30" spans="2:11" ht="15.75" outlineLevel="1" thickBot="1">
      <c r="B30" s="52" t="s">
        <v>246</v>
      </c>
      <c r="C30" s="53">
        <f t="shared" ref="C30:D30" si="30">SUM(C11,C15,C19,C28)</f>
        <v>11282.017000000002</v>
      </c>
      <c r="D30" s="53">
        <f t="shared" si="30"/>
        <v>10231.146836</v>
      </c>
      <c r="E30" s="88">
        <f t="shared" si="4"/>
        <v>0.10271284156555538</v>
      </c>
      <c r="G30" s="53">
        <f t="shared" ref="G30" si="31">SUM(G11,G15,G19,G28)</f>
        <v>3312.2327520500007</v>
      </c>
      <c r="I30" s="53">
        <f t="shared" ref="I30:J30" si="32">SUM(I11,I15,I19,I28)</f>
        <v>14594.249752050002</v>
      </c>
      <c r="J30" s="53">
        <f t="shared" si="32"/>
        <v>10231.146836</v>
      </c>
      <c r="K30" s="88">
        <f t="shared" ref="K30" si="33">I30/J30-1</f>
        <v>0.42645296622053119</v>
      </c>
    </row>
    <row r="31" spans="2:11" ht="6" customHeight="1" outlineLevel="1">
      <c r="B31" s="49"/>
      <c r="C31" s="63"/>
      <c r="D31" s="63"/>
      <c r="E31" s="87"/>
      <c r="G31" s="63"/>
      <c r="I31" s="63"/>
      <c r="J31" s="63"/>
      <c r="K31" s="87"/>
    </row>
    <row r="32" spans="2:11" outlineLevel="1">
      <c r="B32" t="s">
        <v>247</v>
      </c>
      <c r="C32" s="46">
        <f>'Sales Budget Summary'!F31</f>
        <v>800</v>
      </c>
      <c r="D32" s="46">
        <f>'2025A'!C32</f>
        <v>500.90406999999993</v>
      </c>
      <c r="E32" s="90">
        <f t="shared" ref="E32:E34" si="34">IFERROR(C32/D32-1, "N/A")</f>
        <v>0.59711219755112022</v>
      </c>
      <c r="G32" s="46">
        <f>SUM('Initiatives Summary'!C32:U32)</f>
        <v>196</v>
      </c>
      <c r="I32" s="46">
        <f t="shared" ref="I32:I34" si="35">SUM(C32,G32)</f>
        <v>996</v>
      </c>
      <c r="J32" s="46">
        <f t="shared" ref="J32:J34" si="36">D32</f>
        <v>500.90406999999993</v>
      </c>
      <c r="K32" s="90">
        <f t="shared" ref="K32:K34" si="37">IFERROR(I32/J32-1, "N/A")</f>
        <v>0.98840468595114461</v>
      </c>
    </row>
    <row r="33" spans="2:11" outlineLevel="1">
      <c r="B33" t="s">
        <v>248</v>
      </c>
      <c r="C33" s="46">
        <f>'Sales Budget Summary'!F32</f>
        <v>200</v>
      </c>
      <c r="D33" s="46">
        <f>'2025A'!C33</f>
        <v>105.64609</v>
      </c>
      <c r="E33" s="90">
        <f t="shared" si="34"/>
        <v>0.89311312893832606</v>
      </c>
      <c r="G33" s="46">
        <f>SUM('Initiatives Summary'!C33:U33)</f>
        <v>90.25</v>
      </c>
      <c r="I33" s="46">
        <f t="shared" si="35"/>
        <v>290.25</v>
      </c>
      <c r="J33" s="46">
        <f t="shared" si="36"/>
        <v>105.64609</v>
      </c>
      <c r="K33" s="90">
        <f t="shared" si="37"/>
        <v>1.7473804283717458</v>
      </c>
    </row>
    <row r="34" spans="2:11" outlineLevel="1">
      <c r="B34" t="s">
        <v>249</v>
      </c>
      <c r="C34" s="46">
        <f>'Sales Budget Summary'!F33</f>
        <v>145</v>
      </c>
      <c r="D34" s="46">
        <f>'2025A'!C34</f>
        <v>0</v>
      </c>
      <c r="E34" s="90" t="str">
        <f t="shared" si="34"/>
        <v>N/A</v>
      </c>
      <c r="G34" s="46">
        <f>SUM('Initiatives Summary'!C34:U34)</f>
        <v>186.30624999999998</v>
      </c>
      <c r="I34" s="46">
        <f t="shared" si="35"/>
        <v>331.30624999999998</v>
      </c>
      <c r="J34" s="46">
        <f t="shared" si="36"/>
        <v>0</v>
      </c>
      <c r="K34" s="90" t="str">
        <f t="shared" si="37"/>
        <v>N/A</v>
      </c>
    </row>
    <row r="35" spans="2:11" ht="6" customHeight="1" outlineLevel="1">
      <c r="B35" s="49"/>
      <c r="C35" s="63"/>
      <c r="D35" s="63"/>
      <c r="E35" s="87"/>
      <c r="G35" s="63"/>
      <c r="I35" s="63"/>
      <c r="J35" s="63"/>
      <c r="K35" s="87"/>
    </row>
    <row r="36" spans="2:11" ht="15.75" outlineLevel="1" thickBot="1">
      <c r="B36" s="52" t="s">
        <v>250</v>
      </c>
      <c r="C36" s="53">
        <f t="shared" ref="C36:D36" si="38">SUM(C32:C34)</f>
        <v>1145</v>
      </c>
      <c r="D36" s="53">
        <f t="shared" si="38"/>
        <v>606.55015999999989</v>
      </c>
      <c r="E36" s="88">
        <f t="shared" si="4"/>
        <v>0.88772516357097353</v>
      </c>
      <c r="G36" s="53">
        <f t="shared" ref="G36" si="39">SUM(G32:G34)</f>
        <v>472.55624999999998</v>
      </c>
      <c r="I36" s="53">
        <f t="shared" ref="I36:J36" si="40">SUM(I32:I34)</f>
        <v>1617.5562500000001</v>
      </c>
      <c r="J36" s="53">
        <f t="shared" si="40"/>
        <v>606.55015999999989</v>
      </c>
      <c r="K36" s="88">
        <f t="shared" ref="K36" si="41">I36/J36-1</f>
        <v>1.6668136564336251</v>
      </c>
    </row>
    <row r="37" spans="2:11" ht="6" customHeight="1" outlineLevel="1">
      <c r="B37" s="49"/>
      <c r="C37" s="63"/>
      <c r="D37" s="63"/>
      <c r="E37" s="87"/>
      <c r="G37" s="63"/>
      <c r="I37" s="63"/>
      <c r="J37" s="63"/>
      <c r="K37" s="87"/>
    </row>
    <row r="38" spans="2:11" outlineLevel="1">
      <c r="B38" t="s">
        <v>251</v>
      </c>
      <c r="C38" s="46">
        <f>'Sales Budget Summary'!F37</f>
        <v>748</v>
      </c>
      <c r="D38" s="46">
        <f>'2025A'!C38</f>
        <v>660.48169199999995</v>
      </c>
      <c r="E38" s="90">
        <f t="shared" ref="E38:E41" si="42">IFERROR(C38/D38-1, "N/A")</f>
        <v>0.13250678869687738</v>
      </c>
      <c r="G38" s="46">
        <f>SUM('Initiatives Summary'!C38:U38)</f>
        <v>272.33500000000004</v>
      </c>
      <c r="I38" s="46">
        <f t="shared" ref="I38:I41" si="43">SUM(C38,G38)</f>
        <v>1020.335</v>
      </c>
      <c r="J38" s="46">
        <f t="shared" ref="J38:J41" si="44">D38</f>
        <v>660.48169199999995</v>
      </c>
      <c r="K38" s="90">
        <f t="shared" ref="K38:K41" si="45">IFERROR(I38/J38-1, "N/A")</f>
        <v>0.5448346447126049</v>
      </c>
    </row>
    <row r="39" spans="2:11" outlineLevel="1">
      <c r="B39" t="s">
        <v>252</v>
      </c>
      <c r="C39" s="46">
        <f>'Sales Budget Summary'!F38</f>
        <v>406</v>
      </c>
      <c r="D39" s="46">
        <f>'2025A'!C39</f>
        <v>396.49359879999997</v>
      </c>
      <c r="E39" s="90">
        <f t="shared" si="42"/>
        <v>2.3976178250472158E-2</v>
      </c>
      <c r="G39" s="46">
        <f>SUM('Initiatives Summary'!C39:U39)</f>
        <v>130.35749999999999</v>
      </c>
      <c r="I39" s="46">
        <f t="shared" si="43"/>
        <v>536.35749999999996</v>
      </c>
      <c r="J39" s="46">
        <f t="shared" si="44"/>
        <v>396.49359879999997</v>
      </c>
      <c r="K39" s="90">
        <f t="shared" si="45"/>
        <v>0.3527519778964967</v>
      </c>
    </row>
    <row r="40" spans="2:11" outlineLevel="1">
      <c r="B40" t="s">
        <v>137</v>
      </c>
      <c r="C40" s="46">
        <f>'Sales Budget Summary'!F39</f>
        <v>110</v>
      </c>
      <c r="D40" s="46">
        <f>'2025A'!C40</f>
        <v>105.87025999999999</v>
      </c>
      <c r="E40" s="90">
        <f t="shared" si="42"/>
        <v>3.9007555096209456E-2</v>
      </c>
      <c r="G40" s="46">
        <f>SUM('Initiatives Summary'!C40:U40)</f>
        <v>2.8875000000000002</v>
      </c>
      <c r="I40" s="46">
        <f t="shared" si="43"/>
        <v>112.8875</v>
      </c>
      <c r="J40" s="46">
        <f t="shared" si="44"/>
        <v>105.87025999999999</v>
      </c>
      <c r="K40" s="90">
        <f t="shared" si="45"/>
        <v>6.6281503417484844E-2</v>
      </c>
    </row>
    <row r="41" spans="2:11" outlineLevel="1">
      <c r="B41" t="s">
        <v>253</v>
      </c>
      <c r="C41" s="46">
        <f>'Sales Budget Summary'!F40</f>
        <v>34.981104799999997</v>
      </c>
      <c r="D41" s="46">
        <f>'2025A'!C41</f>
        <v>34.981104799999997</v>
      </c>
      <c r="E41" s="90">
        <f t="shared" si="42"/>
        <v>0</v>
      </c>
      <c r="G41" s="46">
        <f>SUM('Initiatives Summary'!C41:U41)</f>
        <v>0.91825400099999999</v>
      </c>
      <c r="I41" s="46">
        <f t="shared" si="43"/>
        <v>35.899358800999998</v>
      </c>
      <c r="J41" s="46">
        <f t="shared" si="44"/>
        <v>34.981104799999997</v>
      </c>
      <c r="K41" s="90">
        <f t="shared" si="45"/>
        <v>2.6250000000000107E-2</v>
      </c>
    </row>
    <row r="42" spans="2:11" ht="6" customHeight="1" outlineLevel="1">
      <c r="B42" s="49"/>
      <c r="C42" s="63"/>
      <c r="D42" s="63"/>
      <c r="E42" s="87"/>
      <c r="G42" s="63"/>
      <c r="I42" s="63"/>
      <c r="J42" s="63"/>
      <c r="K42" s="87"/>
    </row>
    <row r="43" spans="2:11" ht="15.75" outlineLevel="1" thickBot="1">
      <c r="B43" s="52" t="s">
        <v>254</v>
      </c>
      <c r="C43" s="53">
        <f t="shared" ref="C43:D43" si="46">SUM(C38:C41)</f>
        <v>1298.9811047999999</v>
      </c>
      <c r="D43" s="53">
        <f t="shared" si="46"/>
        <v>1197.8266555999999</v>
      </c>
      <c r="E43" s="88">
        <f t="shared" si="4"/>
        <v>8.4448320403532007E-2</v>
      </c>
      <c r="G43" s="53">
        <f t="shared" ref="G43" si="47">SUM(G38:G41)</f>
        <v>406.49825400099996</v>
      </c>
      <c r="I43" s="53">
        <f t="shared" ref="I43:J43" si="48">SUM(I38:I41)</f>
        <v>1705.4793588010002</v>
      </c>
      <c r="J43" s="53">
        <f t="shared" si="48"/>
        <v>1197.8266555999999</v>
      </c>
      <c r="K43" s="88">
        <f t="shared" ref="K43" si="49">I43/J43-1</f>
        <v>0.42381149294654286</v>
      </c>
    </row>
    <row r="44" spans="2:11" ht="6" customHeight="1" outlineLevel="1">
      <c r="B44" s="49"/>
      <c r="C44" s="63"/>
      <c r="D44" s="63"/>
      <c r="E44" s="87"/>
      <c r="G44" s="63"/>
      <c r="I44" s="63"/>
      <c r="J44" s="63"/>
      <c r="K44" s="87"/>
    </row>
    <row r="45" spans="2:11" ht="16.5" outlineLevel="1" thickBot="1">
      <c r="B45" s="54" t="s">
        <v>255</v>
      </c>
      <c r="C45" s="55">
        <f t="shared" ref="C45:D45" si="50">SUM(C30,C36,C43)</f>
        <v>13725.998104800001</v>
      </c>
      <c r="D45" s="55">
        <f t="shared" si="50"/>
        <v>12035.5236516</v>
      </c>
      <c r="E45" s="89">
        <f t="shared" si="4"/>
        <v>0.14045707541568153</v>
      </c>
      <c r="G45" s="55">
        <f t="shared" ref="G45" si="51">SUM(G30,G36,G43)</f>
        <v>4191.2872560510004</v>
      </c>
      <c r="I45" s="55">
        <f t="shared" ref="I45:J45" si="52">SUM(I30,I36,I43)</f>
        <v>17917.285360851001</v>
      </c>
      <c r="J45" s="55">
        <f t="shared" si="52"/>
        <v>12035.5236516</v>
      </c>
      <c r="K45" s="89">
        <f t="shared" ref="K45" si="53">I45/J45-1</f>
        <v>0.48870010807291142</v>
      </c>
    </row>
    <row r="46" spans="2:11" ht="6" customHeight="1">
      <c r="E46" s="10"/>
      <c r="K46" s="10"/>
    </row>
    <row r="47" spans="2:11">
      <c r="B47" s="64" t="s">
        <v>155</v>
      </c>
      <c r="C47" s="93">
        <f>C45</f>
        <v>13725.998104800001</v>
      </c>
      <c r="D47" s="93">
        <f>D45</f>
        <v>12035.5236516</v>
      </c>
      <c r="E47" s="10">
        <f t="shared" si="4"/>
        <v>0.14045707541568153</v>
      </c>
      <c r="G47" s="93">
        <f>G45</f>
        <v>4191.2872560510004</v>
      </c>
      <c r="I47" s="93">
        <f t="shared" ref="I47:J48" si="54">C47</f>
        <v>13725.998104800001</v>
      </c>
      <c r="J47" s="93">
        <f t="shared" si="54"/>
        <v>12035.5236516</v>
      </c>
      <c r="K47" s="10">
        <f t="shared" ref="K47:K48" si="55">I47/J47-1</f>
        <v>0.14045707541568153</v>
      </c>
    </row>
    <row r="48" spans="2:11">
      <c r="B48" t="s">
        <v>157</v>
      </c>
      <c r="C48" s="91">
        <f>COGS!H43</f>
        <v>-2651.1028262000004</v>
      </c>
      <c r="D48" s="91">
        <f>'2025A'!C48</f>
        <v>-2166.3942572880001</v>
      </c>
      <c r="E48" s="10">
        <f t="shared" si="4"/>
        <v>0.22373977741188367</v>
      </c>
      <c r="G48" s="91">
        <f>SUM('Initiatives Summary'!C48:U48)</f>
        <v>-873.45645874775016</v>
      </c>
      <c r="I48" s="91">
        <f>SUM(C48,G48)</f>
        <v>-3524.5592849477507</v>
      </c>
      <c r="J48" s="91">
        <f t="shared" si="54"/>
        <v>-2166.3942572880001</v>
      </c>
      <c r="K48" s="10">
        <f t="shared" si="55"/>
        <v>0.6269242189369395</v>
      </c>
    </row>
    <row r="49" spans="2:11" ht="6" customHeight="1">
      <c r="B49" s="49"/>
      <c r="C49" s="3"/>
      <c r="D49" s="3"/>
      <c r="E49" s="10"/>
      <c r="G49" s="3"/>
      <c r="I49" s="3"/>
      <c r="J49" s="3"/>
      <c r="K49" s="10"/>
    </row>
    <row r="50" spans="2:11">
      <c r="B50" s="65" t="s">
        <v>158</v>
      </c>
      <c r="C50" s="121">
        <f>SUM(C47:C48)</f>
        <v>11074.895278600001</v>
      </c>
      <c r="D50" s="121">
        <f>SUM(D47:D48)</f>
        <v>9869.1293943119999</v>
      </c>
      <c r="E50" s="11">
        <f t="shared" si="4"/>
        <v>0.12217550668480803</v>
      </c>
      <c r="G50" s="121">
        <f>SUM(G47:G48)</f>
        <v>3317.8307973032502</v>
      </c>
      <c r="I50" s="121">
        <f>SUM(I47:I48)</f>
        <v>10201.43881985225</v>
      </c>
      <c r="J50" s="121">
        <f>SUM(J47:J48)</f>
        <v>9869.1293943119999</v>
      </c>
      <c r="K50" s="11">
        <f t="shared" ref="K50" si="56">I50/J50-1</f>
        <v>3.3671604886625017E-2</v>
      </c>
    </row>
    <row r="51" spans="2:11">
      <c r="B51" s="66" t="s">
        <v>160</v>
      </c>
      <c r="C51" s="67">
        <f>C50/C$47</f>
        <v>0.80685536993678397</v>
      </c>
      <c r="D51" s="67">
        <f>D50/D$47</f>
        <v>0.82</v>
      </c>
      <c r="E51" s="67"/>
      <c r="G51" s="67">
        <f>G50/G$47</f>
        <v>0.79160186229499463</v>
      </c>
      <c r="I51" s="67">
        <f>I50/I$47</f>
        <v>0.74322018274829815</v>
      </c>
      <c r="J51" s="67">
        <f>J50/J$47</f>
        <v>0.82</v>
      </c>
      <c r="K51" s="67"/>
    </row>
    <row r="52" spans="2:11" ht="6" customHeight="1">
      <c r="B52" s="49"/>
      <c r="C52" s="3"/>
      <c r="D52" s="3"/>
      <c r="E52" s="10"/>
      <c r="G52" s="3"/>
      <c r="I52" s="3"/>
      <c r="J52" s="3"/>
      <c r="K52" s="10"/>
    </row>
    <row r="53" spans="2:11">
      <c r="B53" t="s">
        <v>162</v>
      </c>
      <c r="C53" s="91">
        <f>'Other COS'!K44</f>
        <v>-294.948312096</v>
      </c>
      <c r="D53" s="91">
        <f>'2025A'!C53</f>
        <v>-248</v>
      </c>
      <c r="E53" s="10">
        <f t="shared" si="4"/>
        <v>0.18930771006451619</v>
      </c>
      <c r="G53" s="91">
        <f>SUM('Initiatives Summary'!C53:U53)</f>
        <v>-202.41322884851996</v>
      </c>
      <c r="I53" s="91">
        <f t="shared" ref="I53:I54" si="57">SUM(C53,G53)</f>
        <v>-497.36154094451996</v>
      </c>
      <c r="J53" s="91">
        <f t="shared" ref="J53:J54" si="58">D53</f>
        <v>-248</v>
      </c>
      <c r="K53" s="10">
        <f t="shared" ref="K53:K54" si="59">I53/J53-1</f>
        <v>1.0054900844537094</v>
      </c>
    </row>
    <row r="54" spans="2:11">
      <c r="B54" t="s">
        <v>163</v>
      </c>
      <c r="C54" s="91">
        <f>'Other COS'!P44</f>
        <v>-195.93937499999998</v>
      </c>
      <c r="D54" s="91">
        <f>'2025A'!C54</f>
        <v>-125.73333333333301</v>
      </c>
      <c r="E54" s="10">
        <f t="shared" si="4"/>
        <v>0.5583725477200463</v>
      </c>
      <c r="G54" s="91">
        <f>SUM('Initiatives Summary'!C54:U54)</f>
        <v>-112.89965859374998</v>
      </c>
      <c r="I54" s="91">
        <f t="shared" si="57"/>
        <v>-308.83903359374995</v>
      </c>
      <c r="J54" s="91">
        <f t="shared" si="58"/>
        <v>-125.73333333333301</v>
      </c>
      <c r="K54" s="10">
        <f t="shared" si="59"/>
        <v>1.4563019638951542</v>
      </c>
    </row>
    <row r="55" spans="2:11" ht="6" customHeight="1">
      <c r="B55" s="49"/>
      <c r="C55" s="3"/>
      <c r="D55" s="3"/>
      <c r="E55" s="10"/>
      <c r="G55" s="3"/>
      <c r="I55" s="3"/>
      <c r="J55" s="3"/>
      <c r="K55" s="10"/>
    </row>
    <row r="56" spans="2:11">
      <c r="B56" s="65" t="s">
        <v>166</v>
      </c>
      <c r="C56" s="121">
        <f>SUM(C50,C53:C54)</f>
        <v>10584.007591504002</v>
      </c>
      <c r="D56" s="121">
        <f>SUM(D50,D53:D54)</f>
        <v>9495.3960609786664</v>
      </c>
      <c r="E56" s="11">
        <f t="shared" si="4"/>
        <v>0.11464624787995792</v>
      </c>
      <c r="G56" s="121">
        <f>SUM(G50,G53:G54)</f>
        <v>3002.5179098609806</v>
      </c>
      <c r="I56" s="121">
        <f>SUM(I50,I53:I54)</f>
        <v>9395.2382453139817</v>
      </c>
      <c r="J56" s="121">
        <f>SUM(J50,J53:J54)</f>
        <v>9495.3960609786664</v>
      </c>
      <c r="K56" s="11">
        <f t="shared" ref="K56" si="60">I56/J56-1</f>
        <v>-1.0548039810185816E-2</v>
      </c>
    </row>
    <row r="57" spans="2:11">
      <c r="B57" s="66" t="s">
        <v>167</v>
      </c>
      <c r="C57" s="67">
        <f>C56/C$47</f>
        <v>0.77109201900609026</v>
      </c>
      <c r="D57" s="67">
        <f>D56/D$47</f>
        <v>0.78894748046266772</v>
      </c>
      <c r="E57" s="67"/>
      <c r="G57" s="67">
        <f>G56/G$47</f>
        <v>0.71637130228337786</v>
      </c>
      <c r="I57" s="67">
        <f>I56/I$47</f>
        <v>0.68448488580429379</v>
      </c>
      <c r="J57" s="67">
        <f>J56/J$47</f>
        <v>0.78894748046266772</v>
      </c>
      <c r="K57" s="67"/>
    </row>
    <row r="58" spans="2:11" ht="6" customHeight="1">
      <c r="B58" s="49"/>
      <c r="C58" s="3"/>
      <c r="D58" s="3"/>
      <c r="E58" s="10"/>
      <c r="G58" s="3"/>
      <c r="I58" s="3"/>
      <c r="J58" s="3"/>
      <c r="K58" s="10"/>
    </row>
    <row r="59" spans="2:11">
      <c r="B59" t="s">
        <v>168</v>
      </c>
      <c r="C59" s="91"/>
      <c r="D59" s="91">
        <f>'2025A'!C59</f>
        <v>-629</v>
      </c>
      <c r="E59" s="10">
        <f t="shared" si="4"/>
        <v>-1</v>
      </c>
      <c r="G59" s="91">
        <f>SUM('Initiatives Summary'!C59:U59)</f>
        <v>-1681.917498214</v>
      </c>
      <c r="I59" s="91">
        <f t="shared" ref="I59:I60" si="61">SUM(C59,G59)</f>
        <v>-1681.917498214</v>
      </c>
      <c r="J59" s="91">
        <f t="shared" ref="J59:J60" si="62">D59</f>
        <v>-629</v>
      </c>
      <c r="K59" s="10">
        <f t="shared" ref="K59:K60" si="63">I59/J59-1</f>
        <v>1.6739546871446742</v>
      </c>
    </row>
    <row r="60" spans="2:11">
      <c r="B60" t="s">
        <v>169</v>
      </c>
      <c r="C60" s="91"/>
      <c r="D60" s="91">
        <f>'2025A'!C60</f>
        <v>-222</v>
      </c>
      <c r="E60" s="10">
        <f t="shared" si="4"/>
        <v>-1</v>
      </c>
      <c r="G60" s="91">
        <f>SUM('Initiatives Summary'!C60:U60)</f>
        <v>-419.02074910700003</v>
      </c>
      <c r="I60" s="91">
        <f t="shared" si="61"/>
        <v>-419.02074910700003</v>
      </c>
      <c r="J60" s="91">
        <f t="shared" si="62"/>
        <v>-222</v>
      </c>
      <c r="K60" s="10">
        <f t="shared" si="63"/>
        <v>0.88748085183333347</v>
      </c>
    </row>
    <row r="61" spans="2:11" ht="6" customHeight="1">
      <c r="B61" s="49"/>
      <c r="C61" s="3"/>
      <c r="D61" s="3"/>
      <c r="E61" s="10"/>
      <c r="G61" s="3"/>
      <c r="I61" s="3"/>
      <c r="J61" s="3"/>
      <c r="K61" s="10"/>
    </row>
    <row r="62" spans="2:11">
      <c r="B62" s="65" t="s">
        <v>170</v>
      </c>
      <c r="C62" s="121">
        <f>SUM(C56,C59:C60)</f>
        <v>10584.007591504002</v>
      </c>
      <c r="D62" s="121">
        <f>SUM(D56,D59:D60)</f>
        <v>8644.3960609786664</v>
      </c>
      <c r="E62" s="11">
        <f t="shared" si="4"/>
        <v>0.2243779110585713</v>
      </c>
      <c r="G62" s="121">
        <f>SUM(G56,G59:G60)</f>
        <v>901.57966253998052</v>
      </c>
      <c r="I62" s="121">
        <f>SUM(I56,I59:I60)</f>
        <v>7294.2999979929809</v>
      </c>
      <c r="J62" s="121">
        <f>SUM(J56,J59:J60)</f>
        <v>8644.3960609786664</v>
      </c>
      <c r="K62" s="11">
        <f t="shared" ref="K62" si="64">I62/J62-1</f>
        <v>-0.15618165265241624</v>
      </c>
    </row>
    <row r="63" spans="2:11">
      <c r="B63" s="66" t="s">
        <v>171</v>
      </c>
      <c r="C63" s="67">
        <f>C62/C$47</f>
        <v>0.77109201900609026</v>
      </c>
      <c r="D63" s="67">
        <f>D62/D$47</f>
        <v>0.71824012907236334</v>
      </c>
      <c r="E63" s="67"/>
      <c r="G63" s="67">
        <f>G62/G$47</f>
        <v>0.21510805808844563</v>
      </c>
      <c r="I63" s="67">
        <f>I62/I$47</f>
        <v>0.53142219183624639</v>
      </c>
      <c r="J63" s="67">
        <f>J62/J$47</f>
        <v>0.71824012907236334</v>
      </c>
      <c r="K63" s="67"/>
    </row>
    <row r="64" spans="2:11" ht="6" customHeight="1">
      <c r="B64" s="49"/>
      <c r="C64" s="3"/>
      <c r="D64" s="3"/>
      <c r="E64" s="10"/>
      <c r="G64" s="3"/>
      <c r="I64" s="3"/>
      <c r="J64" s="3"/>
      <c r="K64" s="10"/>
    </row>
    <row r="65" spans="2:11">
      <c r="B65" t="s">
        <v>172</v>
      </c>
      <c r="C65" s="91"/>
      <c r="D65" s="91">
        <f>'2025A'!C65</f>
        <v>-4690.5624749999997</v>
      </c>
      <c r="E65" s="10">
        <f t="shared" si="4"/>
        <v>-1</v>
      </c>
      <c r="G65" s="91">
        <f>SUM('Initiatives Summary'!C65:U65)</f>
        <v>-628.33908821255</v>
      </c>
      <c r="I65" s="91">
        <f t="shared" ref="I65:I66" si="65">SUM(C65,G65)</f>
        <v>-628.33908821255</v>
      </c>
      <c r="J65" s="91">
        <f t="shared" ref="J65:J66" si="66">D65</f>
        <v>-4690.5624749999997</v>
      </c>
      <c r="K65" s="10">
        <f t="shared" ref="K65:K66" si="67">I65/J65-1</f>
        <v>-0.86604184646052496</v>
      </c>
    </row>
    <row r="66" spans="2:11">
      <c r="B66" t="s">
        <v>173</v>
      </c>
      <c r="C66" s="91"/>
      <c r="D66" s="91">
        <f>'2025A'!C66</f>
        <v>-1528.3859199999999</v>
      </c>
      <c r="E66" s="10">
        <f t="shared" si="4"/>
        <v>-1</v>
      </c>
      <c r="G66" s="91">
        <f>SUM('Initiatives Summary'!C66:U66)</f>
        <v>-145</v>
      </c>
      <c r="I66" s="91">
        <f t="shared" si="65"/>
        <v>-145</v>
      </c>
      <c r="J66" s="91">
        <f t="shared" si="66"/>
        <v>-1528.3859199999999</v>
      </c>
      <c r="K66" s="10">
        <f t="shared" si="67"/>
        <v>-0.90512867326074298</v>
      </c>
    </row>
    <row r="67" spans="2:11" ht="6" customHeight="1">
      <c r="B67" s="49"/>
      <c r="C67" s="3"/>
      <c r="D67" s="3"/>
      <c r="E67" s="10"/>
      <c r="G67" s="3"/>
      <c r="I67" s="3"/>
      <c r="J67" s="3"/>
      <c r="K67" s="10"/>
    </row>
    <row r="68" spans="2:11">
      <c r="B68" s="65" t="s">
        <v>174</v>
      </c>
      <c r="C68" s="121">
        <f>SUM(C62,C65:C66)</f>
        <v>10584.007591504002</v>
      </c>
      <c r="D68" s="121">
        <f>SUM(D62,D65:D66)</f>
        <v>2425.4476659786669</v>
      </c>
      <c r="E68" s="11">
        <f t="shared" si="4"/>
        <v>3.3637336480040521</v>
      </c>
      <c r="G68" s="121">
        <f>SUM(G62,G65:G66)</f>
        <v>128.24057432743052</v>
      </c>
      <c r="I68" s="121">
        <f>SUM(I62,I65:I66)</f>
        <v>6520.9609097804314</v>
      </c>
      <c r="J68" s="121">
        <f>SUM(J62,J65:J66)</f>
        <v>2425.4476659786669</v>
      </c>
      <c r="K68" s="11">
        <f t="shared" ref="K68" si="68">I68/J68-1</f>
        <v>1.6885597249731741</v>
      </c>
    </row>
    <row r="69" spans="2:11">
      <c r="B69" s="66" t="s">
        <v>175</v>
      </c>
      <c r="C69" s="67">
        <f>C68/C$47</f>
        <v>0.77109201900609026</v>
      </c>
      <c r="D69" s="67">
        <f>D68/D$47</f>
        <v>0.2015240662716182</v>
      </c>
      <c r="E69" s="67"/>
      <c r="G69" s="67">
        <f>G68/G$47</f>
        <v>3.0596942297927303E-2</v>
      </c>
      <c r="I69" s="67">
        <f>I68/I$47</f>
        <v>0.47508100030263317</v>
      </c>
      <c r="J69" s="67">
        <f>J68/J$47</f>
        <v>0.2015240662716182</v>
      </c>
      <c r="K69" s="67"/>
    </row>
    <row r="70" spans="2:11" ht="6" customHeight="1">
      <c r="B70" s="49"/>
      <c r="C70" s="3"/>
      <c r="D70" s="3"/>
      <c r="E70" s="10"/>
      <c r="G70" s="3"/>
      <c r="I70" s="3"/>
      <c r="J70" s="3"/>
      <c r="K70" s="10"/>
    </row>
    <row r="71" spans="2:11">
      <c r="B71" t="s">
        <v>176</v>
      </c>
      <c r="C71" s="91"/>
      <c r="D71" s="91">
        <f>'2025A'!C71</f>
        <v>-1130</v>
      </c>
      <c r="E71" s="10">
        <f t="shared" ref="E71:E73" si="69">C71/D71-1</f>
        <v>-1</v>
      </c>
      <c r="G71" s="91">
        <f>SUM('Initiatives Summary'!C71:U71)</f>
        <v>-1019.3424589</v>
      </c>
      <c r="I71" s="91">
        <f>SUM(C71,G71)</f>
        <v>-1019.3424589</v>
      </c>
      <c r="J71" s="91">
        <f t="shared" ref="J71" si="70">D71</f>
        <v>-1130</v>
      </c>
      <c r="K71" s="10">
        <f t="shared" ref="K71" si="71">I71/J71-1</f>
        <v>-9.7927027522123899E-2</v>
      </c>
    </row>
    <row r="72" spans="2:11" ht="6" customHeight="1">
      <c r="B72" s="49"/>
      <c r="C72" s="3"/>
      <c r="D72" s="3"/>
      <c r="E72" s="10"/>
      <c r="G72" s="3"/>
      <c r="I72" s="3"/>
      <c r="J72" s="3"/>
      <c r="K72" s="10"/>
    </row>
    <row r="73" spans="2:11">
      <c r="B73" s="65" t="s">
        <v>177</v>
      </c>
      <c r="C73" s="121">
        <f>SUM(C68,C71)</f>
        <v>10584.007591504002</v>
      </c>
      <c r="D73" s="121">
        <f>SUM(D68,D71)</f>
        <v>1295.4476659786669</v>
      </c>
      <c r="E73" s="11">
        <f t="shared" si="69"/>
        <v>7.1701545106479792</v>
      </c>
      <c r="G73" s="121">
        <f>SUM(G68,G71)</f>
        <v>-891.10188457256947</v>
      </c>
      <c r="I73" s="121">
        <f>SUM(I68,I71)</f>
        <v>5501.6184508804317</v>
      </c>
      <c r="J73" s="121">
        <f>SUM(J68,J71)</f>
        <v>1295.4476659786669</v>
      </c>
      <c r="K73" s="11">
        <f t="shared" ref="K73" si="72">I73/J73-1</f>
        <v>3.2468859185632519</v>
      </c>
    </row>
    <row r="74" spans="2:11">
      <c r="B74" s="66" t="s">
        <v>178</v>
      </c>
      <c r="C74" s="67">
        <f>C73/C$47</f>
        <v>0.77109201900609026</v>
      </c>
      <c r="D74" s="67">
        <f>D73/D$47</f>
        <v>0.10763533880858191</v>
      </c>
      <c r="E74" s="67"/>
      <c r="G74" s="67">
        <f>G73/G$47</f>
        <v>-0.21260816310933531</v>
      </c>
      <c r="I74" s="67">
        <f>I73/I$47</f>
        <v>0.40081736926340594</v>
      </c>
      <c r="J74" s="67">
        <f>J73/J$47</f>
        <v>0.10763533880858191</v>
      </c>
      <c r="K74" s="67"/>
    </row>
  </sheetData>
  <pageMargins left="0.7" right="0.7" top="0.75" bottom="0.75" header="0.3" footer="0.3"/>
  <pageSetup paperSize="9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C905-4BA0-47A7-A751-D5546CAA95BC}">
  <sheetPr>
    <tabColor rgb="FF92D050"/>
  </sheetPr>
  <dimension ref="B1:S107"/>
  <sheetViews>
    <sheetView showGridLines="0" topLeftCell="B13" workbookViewId="0">
      <selection activeCell="G32" sqref="G32"/>
    </sheetView>
  </sheetViews>
  <sheetFormatPr defaultColWidth="8.85546875" defaultRowHeight="15" outlineLevelRow="2" outlineLevelCol="1"/>
  <cols>
    <col min="2" max="2" width="42.42578125" bestFit="1" customWidth="1"/>
    <col min="3" max="8" width="11.42578125" customWidth="1" outlineLevel="1"/>
    <col min="9" max="9" width="1.7109375" customWidth="1" outlineLevel="1"/>
    <col min="10" max="12" width="13.42578125" customWidth="1" outlineLevel="1"/>
    <col min="13" max="13" width="1.7109375" customWidth="1" outlineLevel="1"/>
    <col min="14" max="19" width="11.42578125" customWidth="1"/>
  </cols>
  <sheetData>
    <row r="1" spans="2:19" ht="15" customHeight="1"/>
    <row r="2" spans="2:19" s="1" customFormat="1" ht="30">
      <c r="B2" s="144"/>
      <c r="C2" s="144" t="s">
        <v>317</v>
      </c>
      <c r="D2" s="144" t="s">
        <v>317</v>
      </c>
      <c r="E2" s="144" t="s">
        <v>317</v>
      </c>
      <c r="F2" s="144" t="s">
        <v>317</v>
      </c>
      <c r="G2" s="144" t="s">
        <v>317</v>
      </c>
      <c r="H2" s="144" t="s">
        <v>278</v>
      </c>
      <c r="I2" s="145"/>
      <c r="J2" s="144" t="s">
        <v>270</v>
      </c>
      <c r="K2" s="144" t="s">
        <v>270</v>
      </c>
      <c r="L2" s="144" t="s">
        <v>270</v>
      </c>
      <c r="M2" s="145"/>
      <c r="N2" s="144" t="s">
        <v>318</v>
      </c>
      <c r="O2" s="144" t="s">
        <v>318</v>
      </c>
      <c r="P2" s="144" t="s">
        <v>318</v>
      </c>
      <c r="Q2" s="144" t="s">
        <v>318</v>
      </c>
      <c r="R2" s="144" t="s">
        <v>318</v>
      </c>
      <c r="S2" s="144" t="s">
        <v>318</v>
      </c>
    </row>
    <row r="3" spans="2:19">
      <c r="B3" s="68" t="s">
        <v>221</v>
      </c>
      <c r="C3" s="74" t="s">
        <v>273</v>
      </c>
      <c r="D3" s="74" t="s">
        <v>257</v>
      </c>
      <c r="E3" s="74" t="s">
        <v>275</v>
      </c>
      <c r="F3" s="74" t="s">
        <v>279</v>
      </c>
      <c r="G3" s="74" t="s">
        <v>280</v>
      </c>
      <c r="H3" s="74" t="s">
        <v>281</v>
      </c>
      <c r="J3" s="74" t="s">
        <v>320</v>
      </c>
      <c r="K3" s="74" t="s">
        <v>321</v>
      </c>
      <c r="L3" s="74" t="s">
        <v>322</v>
      </c>
      <c r="N3" s="74" t="s">
        <v>273</v>
      </c>
      <c r="O3" s="74" t="s">
        <v>257</v>
      </c>
      <c r="P3" s="74" t="s">
        <v>275</v>
      </c>
      <c r="Q3" s="74" t="s">
        <v>279</v>
      </c>
      <c r="R3" s="74" t="s">
        <v>280</v>
      </c>
      <c r="S3" s="74" t="s">
        <v>281</v>
      </c>
    </row>
    <row r="4" spans="2:19" ht="6" customHeight="1" outlineLevel="2">
      <c r="B4" s="49"/>
      <c r="C4" s="63"/>
      <c r="D4" s="63"/>
      <c r="E4" s="63"/>
      <c r="F4" s="63"/>
      <c r="G4" s="63"/>
      <c r="H4" s="87"/>
      <c r="J4" s="63"/>
      <c r="K4" s="63"/>
      <c r="L4" s="63"/>
      <c r="N4" s="63"/>
      <c r="O4" s="63"/>
      <c r="P4" s="63"/>
      <c r="Q4" s="63"/>
      <c r="R4" s="63"/>
      <c r="S4" s="87"/>
    </row>
    <row r="5" spans="2:19" outlineLevel="2">
      <c r="B5" s="45" t="s">
        <v>228</v>
      </c>
      <c r="C5" s="46">
        <f>'2025A'!F5</f>
        <v>4327.2666800000006</v>
      </c>
      <c r="D5" s="46">
        <f>'2025A'!C5</f>
        <v>4530.8243099999991</v>
      </c>
      <c r="E5" s="46">
        <f>'2026B'!C5</f>
        <v>4698.95</v>
      </c>
      <c r="F5" s="46">
        <f>'Sales Budget Summary'!G4</f>
        <v>4933.8975</v>
      </c>
      <c r="G5" s="46">
        <f>'Sales Budget Summary'!H4</f>
        <v>5131.2534000000005</v>
      </c>
      <c r="H5" s="90">
        <f>IFERROR(_xlfn.RRI(3,D5,G5), "N/A")</f>
        <v>4.2354422581478701E-2</v>
      </c>
      <c r="J5" s="46">
        <f>SUM('Initiatives Summary'!C5:U5)</f>
        <v>326.97722528145664</v>
      </c>
      <c r="K5" s="46">
        <f>SUM('Initiatives Summary'!W5:AO5)</f>
        <v>822.90820102194675</v>
      </c>
      <c r="L5" s="46">
        <f>SUM('Initiatives Summary'!AQ5:BI5)</f>
        <v>1291.9177350720677</v>
      </c>
      <c r="N5" s="46">
        <f>C5</f>
        <v>4327.2666800000006</v>
      </c>
      <c r="O5" s="46">
        <f>D5</f>
        <v>4530.8243099999991</v>
      </c>
      <c r="P5" s="46">
        <f>E5+J5</f>
        <v>5025.9272252814562</v>
      </c>
      <c r="Q5" s="46">
        <f t="shared" ref="Q5:R5" si="0">F5+K5</f>
        <v>5756.8057010219472</v>
      </c>
      <c r="R5" s="46">
        <f t="shared" si="0"/>
        <v>6423.171135072068</v>
      </c>
      <c r="S5" s="90">
        <f>IFERROR(_xlfn.RRI(3,O5,R5), "N/A")</f>
        <v>0.12337328168911554</v>
      </c>
    </row>
    <row r="6" spans="2:19" outlineLevel="2">
      <c r="B6" s="45" t="s">
        <v>229</v>
      </c>
      <c r="C6" s="46">
        <f>'2025A'!F6</f>
        <v>1811.1542800000002</v>
      </c>
      <c r="D6" s="46">
        <f>'2025A'!C6</f>
        <v>1906.7439800000002</v>
      </c>
      <c r="E6" s="46">
        <f>'2026B'!C6</f>
        <v>1912.9</v>
      </c>
      <c r="F6" s="46">
        <f>'Sales Budget Summary'!G5</f>
        <v>2008.5450000000001</v>
      </c>
      <c r="G6" s="46">
        <f>'Sales Budget Summary'!H5</f>
        <v>2088.8868000000002</v>
      </c>
      <c r="H6" s="90">
        <f t="shared" ref="H6:H11" si="1">IFERROR(_xlfn.RRI(3,D6,G6), "N/A")</f>
        <v>3.0878559663043426E-2</v>
      </c>
      <c r="J6" s="46">
        <f>SUM('Initiatives Summary'!C6:U6)</f>
        <v>158.01164818542406</v>
      </c>
      <c r="K6" s="46">
        <f>SUM('Initiatives Summary'!W6:AO6)</f>
        <v>434.60719899868741</v>
      </c>
      <c r="L6" s="46">
        <f>SUM('Initiatives Summary'!AQ6:BI6)</f>
        <v>716.84472816679443</v>
      </c>
      <c r="N6" s="46">
        <f t="shared" ref="N6:N10" si="2">C6</f>
        <v>1811.1542800000002</v>
      </c>
      <c r="O6" s="46">
        <f t="shared" ref="O6:O10" si="3">D6</f>
        <v>1906.7439800000002</v>
      </c>
      <c r="P6" s="46">
        <f t="shared" ref="P6:P10" si="4">E6+J6</f>
        <v>2070.9116481854244</v>
      </c>
      <c r="Q6" s="46">
        <f t="shared" ref="Q6:Q10" si="5">F6+K6</f>
        <v>2443.1521989986877</v>
      </c>
      <c r="R6" s="46">
        <f t="shared" ref="R6:R10" si="6">G6+L6</f>
        <v>2805.7315281667948</v>
      </c>
      <c r="S6" s="90">
        <f t="shared" ref="S6:S11" si="7">IFERROR(_xlfn.RRI(3,O6,R6), "N/A")</f>
        <v>0.13741227140080614</v>
      </c>
    </row>
    <row r="7" spans="2:19" outlineLevel="2">
      <c r="B7" s="45" t="s">
        <v>230</v>
      </c>
      <c r="C7" s="46">
        <f>'2025A'!F7</f>
        <v>723.30100698414697</v>
      </c>
      <c r="D7" s="46">
        <f>'2025A'!C7</f>
        <v>641.74332000000004</v>
      </c>
      <c r="E7" s="46">
        <f>'2026B'!C7</f>
        <v>771.75</v>
      </c>
      <c r="F7" s="46">
        <f>'Sales Budget Summary'!G6</f>
        <v>833.49</v>
      </c>
      <c r="G7" s="46">
        <f>'Sales Budget Summary'!H6</f>
        <v>891.8343000000001</v>
      </c>
      <c r="H7" s="90">
        <f t="shared" si="1"/>
        <v>0.11594023996955505</v>
      </c>
      <c r="J7" s="46">
        <f>SUM('Initiatives Summary'!C7:U7)</f>
        <v>46.804323010664966</v>
      </c>
      <c r="K7" s="46">
        <f>SUM('Initiatives Summary'!W7:AO7)</f>
        <v>110.63453111252969</v>
      </c>
      <c r="L7" s="46">
        <f>SUM('Initiatives Summary'!AQ7:BI7)</f>
        <v>168.57594760679387</v>
      </c>
      <c r="N7" s="46">
        <f t="shared" si="2"/>
        <v>723.30100698414697</v>
      </c>
      <c r="O7" s="46">
        <f t="shared" si="3"/>
        <v>641.74332000000004</v>
      </c>
      <c r="P7" s="46">
        <f t="shared" si="4"/>
        <v>818.55432301066492</v>
      </c>
      <c r="Q7" s="46">
        <f t="shared" si="5"/>
        <v>944.12453111252967</v>
      </c>
      <c r="R7" s="46">
        <f t="shared" si="6"/>
        <v>1060.410247606794</v>
      </c>
      <c r="S7" s="90">
        <f t="shared" si="7"/>
        <v>0.18223601800213785</v>
      </c>
    </row>
    <row r="8" spans="2:19" outlineLevel="2">
      <c r="B8" s="45" t="s">
        <v>231</v>
      </c>
      <c r="C8" s="46">
        <f>'2025A'!F8</f>
        <v>87.682839999999999</v>
      </c>
      <c r="D8" s="46">
        <f>'2025A'!C8</f>
        <v>145.07323</v>
      </c>
      <c r="E8" s="46">
        <f>'2026B'!C8</f>
        <v>227.5</v>
      </c>
      <c r="F8" s="46">
        <f>'Sales Budget Summary'!G7</f>
        <v>318.5</v>
      </c>
      <c r="G8" s="46">
        <f>'Sales Budget Summary'!H7</f>
        <v>414.05</v>
      </c>
      <c r="H8" s="90">
        <f t="shared" si="1"/>
        <v>0.41847549054746258</v>
      </c>
      <c r="J8" s="46">
        <f>SUM('Initiatives Summary'!C8:U8)</f>
        <v>13.797192724232303</v>
      </c>
      <c r="K8" s="46">
        <f>SUM('Initiatives Summary'!W8:AO8)</f>
        <v>42.276569796087173</v>
      </c>
      <c r="L8" s="46">
        <f>SUM('Initiatives Summary'!AQ8:BI8)</f>
        <v>78.264394077008475</v>
      </c>
      <c r="N8" s="46">
        <f t="shared" si="2"/>
        <v>87.682839999999999</v>
      </c>
      <c r="O8" s="46">
        <f t="shared" si="3"/>
        <v>145.07323</v>
      </c>
      <c r="P8" s="46">
        <f t="shared" si="4"/>
        <v>241.2971927242323</v>
      </c>
      <c r="Q8" s="46">
        <f t="shared" si="5"/>
        <v>360.77656979608719</v>
      </c>
      <c r="R8" s="46">
        <f t="shared" si="6"/>
        <v>492.3143940770085</v>
      </c>
      <c r="S8" s="90">
        <f t="shared" si="7"/>
        <v>0.50274428281590766</v>
      </c>
    </row>
    <row r="9" spans="2:19" outlineLevel="2">
      <c r="B9" s="45" t="s">
        <v>232</v>
      </c>
      <c r="C9" s="46">
        <f>'2025A'!F9</f>
        <v>36.581779999999995</v>
      </c>
      <c r="D9" s="46">
        <f>'2025A'!C9</f>
        <v>42.081430000000005</v>
      </c>
      <c r="E9" s="46">
        <f>'2026B'!C9</f>
        <v>158.97499999999999</v>
      </c>
      <c r="F9" s="46">
        <f>'Sales Budget Summary'!G8</f>
        <v>286.15499999999997</v>
      </c>
      <c r="G9" s="46">
        <f>'Sales Budget Summary'!H8</f>
        <v>457.84799999999996</v>
      </c>
      <c r="H9" s="90">
        <f t="shared" si="1"/>
        <v>1.2158665963130328</v>
      </c>
      <c r="J9" s="46">
        <f>SUM('Initiatives Summary'!C9:U9)</f>
        <v>9.6413569816915619</v>
      </c>
      <c r="K9" s="46">
        <f>SUM('Initiatives Summary'!W9:AO9)</f>
        <v>37.983208257454706</v>
      </c>
      <c r="L9" s="46">
        <f>SUM('Initiatives Summary'!AQ9:BI9)</f>
        <v>86.543162176959726</v>
      </c>
      <c r="N9" s="46">
        <f t="shared" si="2"/>
        <v>36.581779999999995</v>
      </c>
      <c r="O9" s="46">
        <f t="shared" si="3"/>
        <v>42.081430000000005</v>
      </c>
      <c r="P9" s="46">
        <f t="shared" si="4"/>
        <v>168.61635698169155</v>
      </c>
      <c r="Q9" s="46">
        <f t="shared" si="5"/>
        <v>324.13820825745466</v>
      </c>
      <c r="R9" s="46">
        <f t="shared" si="6"/>
        <v>544.39116217695971</v>
      </c>
      <c r="S9" s="90">
        <f t="shared" si="7"/>
        <v>1.3475067995760597</v>
      </c>
    </row>
    <row r="10" spans="2:19" outlineLevel="2">
      <c r="B10" s="45" t="s">
        <v>233</v>
      </c>
      <c r="C10" s="46">
        <f>'2025A'!F10</f>
        <v>0</v>
      </c>
      <c r="D10" s="46">
        <f>'2025A'!C10</f>
        <v>8.8706399999999999</v>
      </c>
      <c r="E10" s="46">
        <f>'2026B'!C10</f>
        <v>67.5</v>
      </c>
      <c r="F10" s="46">
        <f>'Sales Budget Summary'!G9</f>
        <v>135</v>
      </c>
      <c r="G10" s="46">
        <f>'Sales Budget Summary'!H9</f>
        <v>243</v>
      </c>
      <c r="H10" s="90">
        <f t="shared" si="1"/>
        <v>2.0145126201846448</v>
      </c>
      <c r="J10" s="46">
        <f>SUM('Initiatives Summary'!C10:U10)</f>
        <v>4.0936725665304632</v>
      </c>
      <c r="K10" s="46">
        <f>SUM('Initiatives Summary'!W10:AO10)</f>
        <v>17.919425188294408</v>
      </c>
      <c r="L10" s="46">
        <f>SUM('Initiatives Summary'!AQ10:BI10)</f>
        <v>45.932249150375704</v>
      </c>
      <c r="N10" s="46">
        <f t="shared" si="2"/>
        <v>0</v>
      </c>
      <c r="O10" s="46">
        <f t="shared" si="3"/>
        <v>8.8706399999999999</v>
      </c>
      <c r="P10" s="46">
        <f t="shared" si="4"/>
        <v>71.593672566530458</v>
      </c>
      <c r="Q10" s="46">
        <f t="shared" si="5"/>
        <v>152.91942518829441</v>
      </c>
      <c r="R10" s="46">
        <f t="shared" si="6"/>
        <v>288.9322491503757</v>
      </c>
      <c r="S10" s="90">
        <f t="shared" si="7"/>
        <v>2.1935987866173852</v>
      </c>
    </row>
    <row r="11" spans="2:19" outlineLevel="2">
      <c r="B11" s="47" t="s">
        <v>31</v>
      </c>
      <c r="C11" s="48">
        <f>SUM(C5:C10)</f>
        <v>6985.9865869841487</v>
      </c>
      <c r="D11" s="48">
        <f>SUM(D5:D10)</f>
        <v>7275.3369099999991</v>
      </c>
      <c r="E11" s="48">
        <f t="shared" ref="E11:G11" si="8">SUM(E5:E10)</f>
        <v>7837.5750000000007</v>
      </c>
      <c r="F11" s="48">
        <f t="shared" si="8"/>
        <v>8515.5874999999996</v>
      </c>
      <c r="G11" s="48">
        <f t="shared" si="8"/>
        <v>9226.8725000000013</v>
      </c>
      <c r="H11" s="95">
        <f t="shared" si="1"/>
        <v>8.2431618844025945E-2</v>
      </c>
      <c r="J11" s="48">
        <f>SUM(J5:J10)</f>
        <v>559.32541875000004</v>
      </c>
      <c r="K11" s="48">
        <f>SUM(K5:K10)</f>
        <v>1466.329134375</v>
      </c>
      <c r="L11" s="48">
        <f>SUM(L5:L10)</f>
        <v>2388.07821625</v>
      </c>
      <c r="N11" s="48">
        <f>SUM(N5:N10)</f>
        <v>6985.9865869841487</v>
      </c>
      <c r="O11" s="48">
        <f>SUM(O5:O10)</f>
        <v>7275.3369099999991</v>
      </c>
      <c r="P11" s="48">
        <f t="shared" ref="P11" si="9">SUM(P5:P10)</f>
        <v>8396.9004187499995</v>
      </c>
      <c r="Q11" s="48">
        <f t="shared" ref="Q11" si="10">SUM(Q5:Q10)</f>
        <v>9981.9166343750021</v>
      </c>
      <c r="R11" s="48">
        <f t="shared" ref="R11" si="11">SUM(R5:R10)</f>
        <v>11614.950716250001</v>
      </c>
      <c r="S11" s="95">
        <f t="shared" si="7"/>
        <v>0.16874945286951482</v>
      </c>
    </row>
    <row r="12" spans="2:19" ht="6" customHeight="1" outlineLevel="2">
      <c r="B12" s="49"/>
      <c r="C12" s="63"/>
      <c r="D12" s="63"/>
      <c r="E12" s="63"/>
      <c r="F12" s="63"/>
      <c r="G12" s="63"/>
      <c r="H12" s="96"/>
      <c r="J12" s="63"/>
      <c r="K12" s="63"/>
      <c r="L12" s="63"/>
      <c r="N12" s="63"/>
      <c r="O12" s="63"/>
      <c r="P12" s="63"/>
      <c r="Q12" s="63"/>
      <c r="R12" s="63"/>
      <c r="S12" s="96"/>
    </row>
    <row r="13" spans="2:19" outlineLevel="2">
      <c r="B13" s="44" t="s">
        <v>234</v>
      </c>
      <c r="C13" s="46">
        <f>'2025A'!F13</f>
        <v>120.10185645763202</v>
      </c>
      <c r="D13" s="46">
        <f>'2025A'!C13</f>
        <v>201.3082344</v>
      </c>
      <c r="E13" s="46">
        <f>'2026B'!C13</f>
        <v>321.7</v>
      </c>
      <c r="F13" s="46">
        <f>'Sales Budget Summary'!G12</f>
        <v>482.54999999999995</v>
      </c>
      <c r="G13" s="46">
        <f>'Sales Budget Summary'!H12</f>
        <v>675.56999999999994</v>
      </c>
      <c r="H13" s="90">
        <f t="shared" ref="H13:H15" si="12">IFERROR(_xlfn.RRI(3,D13,G13), "N/A")</f>
        <v>0.49716479121602419</v>
      </c>
      <c r="J13" s="46">
        <f>SUM('Initiatives Summary'!C13:U13)</f>
        <v>8.4446250000000003</v>
      </c>
      <c r="K13" s="46">
        <f>SUM('Initiatives Summary'!W13:AO13)</f>
        <v>27.143437499999997</v>
      </c>
      <c r="L13" s="46">
        <f>SUM('Initiatives Summary'!AQ13:BI13)</f>
        <v>45.600974999999991</v>
      </c>
      <c r="N13" s="46">
        <f t="shared" ref="N13:N14" si="13">C13</f>
        <v>120.10185645763202</v>
      </c>
      <c r="O13" s="46">
        <f t="shared" ref="O13:O14" si="14">D13</f>
        <v>201.3082344</v>
      </c>
      <c r="P13" s="46">
        <f t="shared" ref="P13:P14" si="15">E13+J13</f>
        <v>330.14462499999996</v>
      </c>
      <c r="Q13" s="46">
        <f t="shared" ref="Q13:Q14" si="16">F13+K13</f>
        <v>509.69343749999996</v>
      </c>
      <c r="R13" s="46">
        <f t="shared" ref="R13:R14" si="17">G13+L13</f>
        <v>721.17097499999988</v>
      </c>
      <c r="S13" s="90">
        <f t="shared" ref="S13:S15" si="18">IFERROR(_xlfn.RRI(3,O13,R13), "N/A")</f>
        <v>0.53012026321721328</v>
      </c>
    </row>
    <row r="14" spans="2:19" outlineLevel="2">
      <c r="B14" s="44" t="s">
        <v>235</v>
      </c>
      <c r="C14" s="46">
        <f>'2025A'!F14</f>
        <v>173.48070611518398</v>
      </c>
      <c r="D14" s="46">
        <f>'2025A'!C14</f>
        <v>177.28904740000002</v>
      </c>
      <c r="E14" s="46">
        <f>'2026B'!C14</f>
        <v>175</v>
      </c>
      <c r="F14" s="46">
        <f>'Sales Budget Summary'!G13</f>
        <v>175</v>
      </c>
      <c r="G14" s="46">
        <f>'Sales Budget Summary'!H13</f>
        <v>175</v>
      </c>
      <c r="H14" s="90">
        <f t="shared" si="12"/>
        <v>-4.3224521481128875E-3</v>
      </c>
      <c r="J14" s="46">
        <f>SUM('Initiatives Summary'!C14:U14)</f>
        <v>4.59375</v>
      </c>
      <c r="K14" s="46">
        <f>SUM('Initiatives Summary'!W14:AO14)</f>
        <v>9.84375</v>
      </c>
      <c r="L14" s="46">
        <f>SUM('Initiatives Summary'!AQ14:BI14)</f>
        <v>11.812499999999996</v>
      </c>
      <c r="N14" s="46">
        <f t="shared" si="13"/>
        <v>173.48070611518398</v>
      </c>
      <c r="O14" s="46">
        <f t="shared" si="14"/>
        <v>177.28904740000002</v>
      </c>
      <c r="P14" s="46">
        <f t="shared" si="15"/>
        <v>179.59375</v>
      </c>
      <c r="Q14" s="46">
        <f t="shared" si="16"/>
        <v>184.84375</v>
      </c>
      <c r="R14" s="46">
        <f t="shared" si="17"/>
        <v>186.8125</v>
      </c>
      <c r="S14" s="90">
        <f t="shared" si="18"/>
        <v>1.759432264044869E-2</v>
      </c>
    </row>
    <row r="15" spans="2:19" outlineLevel="2">
      <c r="B15" s="51" t="s">
        <v>236</v>
      </c>
      <c r="C15" s="48">
        <f t="shared" ref="C15:G15" si="19">SUM(C13:C14)</f>
        <v>293.58256257281602</v>
      </c>
      <c r="D15" s="48">
        <f t="shared" si="19"/>
        <v>378.59728180000002</v>
      </c>
      <c r="E15" s="48">
        <f t="shared" si="19"/>
        <v>496.7</v>
      </c>
      <c r="F15" s="48">
        <f t="shared" si="19"/>
        <v>657.55</v>
      </c>
      <c r="G15" s="48">
        <f t="shared" si="19"/>
        <v>850.56999999999994</v>
      </c>
      <c r="H15" s="95">
        <f t="shared" si="12"/>
        <v>0.30971717629368922</v>
      </c>
      <c r="J15" s="48">
        <f t="shared" ref="J15:K15" si="20">SUM(J13:J14)</f>
        <v>13.038375</v>
      </c>
      <c r="K15" s="48">
        <f t="shared" si="20"/>
        <v>36.987187499999997</v>
      </c>
      <c r="L15" s="48">
        <f t="shared" ref="L15" si="21">SUM(L13:L14)</f>
        <v>57.413474999999991</v>
      </c>
      <c r="N15" s="48">
        <f t="shared" ref="N15:R15" si="22">SUM(N13:N14)</f>
        <v>293.58256257281602</v>
      </c>
      <c r="O15" s="48">
        <f t="shared" si="22"/>
        <v>378.59728180000002</v>
      </c>
      <c r="P15" s="48">
        <f t="shared" si="22"/>
        <v>509.73837499999996</v>
      </c>
      <c r="Q15" s="48">
        <f t="shared" si="22"/>
        <v>694.53718749999996</v>
      </c>
      <c r="R15" s="48">
        <f t="shared" si="22"/>
        <v>907.98347499999988</v>
      </c>
      <c r="S15" s="95">
        <f t="shared" si="18"/>
        <v>0.33854656634217273</v>
      </c>
    </row>
    <row r="16" spans="2:19" ht="6" customHeight="1" outlineLevel="2">
      <c r="B16" s="49"/>
      <c r="C16" s="63"/>
      <c r="D16" s="63"/>
      <c r="E16" s="63"/>
      <c r="F16" s="63"/>
      <c r="G16" s="63"/>
      <c r="H16" s="96"/>
      <c r="J16" s="63"/>
      <c r="K16" s="63"/>
      <c r="L16" s="63"/>
      <c r="N16" s="63"/>
      <c r="O16" s="63"/>
      <c r="P16" s="63"/>
      <c r="Q16" s="63"/>
      <c r="R16" s="63"/>
      <c r="S16" s="96"/>
    </row>
    <row r="17" spans="2:19" outlineLevel="2">
      <c r="B17" s="45" t="s">
        <v>237</v>
      </c>
      <c r="C17" s="46">
        <f>'2025A'!F17</f>
        <v>723.64898508591909</v>
      </c>
      <c r="D17" s="46">
        <f>'2025A'!C17</f>
        <v>754.68615419999992</v>
      </c>
      <c r="E17" s="46">
        <f>'2026B'!C17</f>
        <v>983.24199999999996</v>
      </c>
      <c r="F17" s="46">
        <f>'Sales Budget Summary'!G16</f>
        <v>1278.2146</v>
      </c>
      <c r="G17" s="46">
        <f>'Sales Budget Summary'!H16</f>
        <v>1533.85752</v>
      </c>
      <c r="H17" s="90">
        <f t="shared" ref="H17:H19" si="23">IFERROR(_xlfn.RRI(3,D17,G17), "N/A")</f>
        <v>0.26669740018977106</v>
      </c>
      <c r="J17" s="46">
        <f>SUM('Initiatives Summary'!C17:U17)</f>
        <v>2371.8414583000003</v>
      </c>
      <c r="K17" s="46">
        <f>SUM('Initiatives Summary'!W17:AO17)</f>
        <v>5616.7003337899996</v>
      </c>
      <c r="L17" s="46">
        <f>SUM('Initiatives Summary'!AQ17:BI17)</f>
        <v>7837.8362976480003</v>
      </c>
      <c r="N17" s="46">
        <f t="shared" ref="N17:N18" si="24">C17</f>
        <v>723.64898508591909</v>
      </c>
      <c r="O17" s="46">
        <f t="shared" ref="O17:O18" si="25">D17</f>
        <v>754.68615419999992</v>
      </c>
      <c r="P17" s="46">
        <f t="shared" ref="P17:P18" si="26">E17+J17</f>
        <v>3355.0834583000005</v>
      </c>
      <c r="Q17" s="46">
        <f t="shared" ref="Q17:Q18" si="27">F17+K17</f>
        <v>6894.9149337899998</v>
      </c>
      <c r="R17" s="46">
        <f t="shared" ref="R17:R18" si="28">G17+L17</f>
        <v>9371.6938176479998</v>
      </c>
      <c r="S17" s="90">
        <f t="shared" ref="S17:S19" si="29">IFERROR(_xlfn.RRI(3,O17,R17), "N/A")</f>
        <v>1.3157085706057949</v>
      </c>
    </row>
    <row r="18" spans="2:19" outlineLevel="2">
      <c r="B18" s="45" t="s">
        <v>64</v>
      </c>
      <c r="C18" s="46">
        <f>'2025A'!F18</f>
        <v>35.717858636318098</v>
      </c>
      <c r="D18" s="46">
        <f>'2025A'!C18</f>
        <v>5</v>
      </c>
      <c r="E18" s="46">
        <f>'2026B'!C18</f>
        <v>20</v>
      </c>
      <c r="F18" s="46">
        <f>'Sales Budget Summary'!G17</f>
        <v>20</v>
      </c>
      <c r="G18" s="46">
        <f>'Sales Budget Summary'!H17</f>
        <v>20</v>
      </c>
      <c r="H18" s="90">
        <f t="shared" si="23"/>
        <v>0.58740105196819936</v>
      </c>
      <c r="J18" s="46">
        <f>SUM('Initiatives Summary'!C18:U18)</f>
        <v>30.525000000000002</v>
      </c>
      <c r="K18" s="46">
        <f>SUM('Initiatives Summary'!W18:AO18)</f>
        <v>151.125</v>
      </c>
      <c r="L18" s="46">
        <f>SUM('Initiatives Summary'!AQ18:BI18)</f>
        <v>211.35</v>
      </c>
      <c r="N18" s="46">
        <f t="shared" si="24"/>
        <v>35.717858636318098</v>
      </c>
      <c r="O18" s="46">
        <f t="shared" si="25"/>
        <v>5</v>
      </c>
      <c r="P18" s="46">
        <f t="shared" si="26"/>
        <v>50.525000000000006</v>
      </c>
      <c r="Q18" s="46">
        <f t="shared" si="27"/>
        <v>171.125</v>
      </c>
      <c r="R18" s="46">
        <f t="shared" si="28"/>
        <v>231.35</v>
      </c>
      <c r="S18" s="90">
        <f t="shared" si="29"/>
        <v>2.5900445107932186</v>
      </c>
    </row>
    <row r="19" spans="2:19" outlineLevel="2">
      <c r="B19" s="47" t="s">
        <v>238</v>
      </c>
      <c r="C19" s="48">
        <f t="shared" ref="C19:G19" si="30">SUM(C17:C18)</f>
        <v>759.36684372223715</v>
      </c>
      <c r="D19" s="48">
        <f t="shared" si="30"/>
        <v>759.68615419999992</v>
      </c>
      <c r="E19" s="48">
        <f t="shared" si="30"/>
        <v>1003.242</v>
      </c>
      <c r="F19" s="48">
        <f t="shared" si="30"/>
        <v>1298.2146</v>
      </c>
      <c r="G19" s="48">
        <f t="shared" si="30"/>
        <v>1553.85752</v>
      </c>
      <c r="H19" s="95">
        <f t="shared" si="23"/>
        <v>0.26938197637891537</v>
      </c>
      <c r="J19" s="48">
        <f t="shared" ref="J19:K19" si="31">SUM(J17:J18)</f>
        <v>2402.3664583000004</v>
      </c>
      <c r="K19" s="48">
        <f t="shared" si="31"/>
        <v>5767.8253337899996</v>
      </c>
      <c r="L19" s="48">
        <f t="shared" ref="L19" si="32">SUM(L17:L18)</f>
        <v>8049.1862976480006</v>
      </c>
      <c r="N19" s="48">
        <f t="shared" ref="N19:R19" si="33">SUM(N17:N18)</f>
        <v>759.36684372223715</v>
      </c>
      <c r="O19" s="48">
        <f t="shared" si="33"/>
        <v>759.68615419999992</v>
      </c>
      <c r="P19" s="48">
        <f t="shared" si="33"/>
        <v>3405.6084583000006</v>
      </c>
      <c r="Q19" s="48">
        <f t="shared" si="33"/>
        <v>7066.0399337899998</v>
      </c>
      <c r="R19" s="48">
        <f t="shared" si="33"/>
        <v>9603.0438176480002</v>
      </c>
      <c r="S19" s="95">
        <f t="shared" si="29"/>
        <v>1.3294759610233906</v>
      </c>
    </row>
    <row r="20" spans="2:19" ht="6" customHeight="1" outlineLevel="2">
      <c r="B20" s="49"/>
      <c r="C20" s="63"/>
      <c r="D20" s="63"/>
      <c r="E20" s="63"/>
      <c r="F20" s="63"/>
      <c r="G20" s="63"/>
      <c r="H20" s="96"/>
      <c r="J20" s="63"/>
      <c r="K20" s="63"/>
      <c r="L20" s="63"/>
      <c r="N20" s="63"/>
      <c r="O20" s="63"/>
      <c r="P20" s="63"/>
      <c r="Q20" s="63"/>
      <c r="R20" s="63"/>
      <c r="S20" s="96"/>
    </row>
    <row r="21" spans="2:19" outlineLevel="2">
      <c r="B21" s="45" t="s">
        <v>239</v>
      </c>
      <c r="C21" s="46">
        <f>'2025A'!F21</f>
        <v>400.00112999999999</v>
      </c>
      <c r="D21" s="46">
        <f>'2025A'!C21</f>
        <v>447.78187000000008</v>
      </c>
      <c r="E21" s="46">
        <f>'2026B'!C21</f>
        <v>430</v>
      </c>
      <c r="F21" s="46">
        <f>'Sales Budget Summary'!G20</f>
        <v>440</v>
      </c>
      <c r="G21" s="46">
        <f>'Sales Budget Summary'!H20</f>
        <v>450</v>
      </c>
      <c r="H21" s="90">
        <f t="shared" ref="H21:H28" si="34">IFERROR(_xlfn.RRI(3,D21,G21), "N/A")</f>
        <v>1.6484793319253566E-3</v>
      </c>
      <c r="J21" s="46">
        <f>SUM('Initiatives Summary'!C21:U21)</f>
        <v>19.350000000000001</v>
      </c>
      <c r="K21" s="46">
        <f>SUM('Initiatives Summary'!W21:AO21)</f>
        <v>33</v>
      </c>
      <c r="L21" s="46">
        <f>SUM('Initiatives Summary'!AQ21:BI21)</f>
        <v>38.812499999999993</v>
      </c>
      <c r="N21" s="46">
        <f t="shared" ref="N21:N27" si="35">C21</f>
        <v>400.00112999999999</v>
      </c>
      <c r="O21" s="46">
        <f t="shared" ref="O21:O27" si="36">D21</f>
        <v>447.78187000000008</v>
      </c>
      <c r="P21" s="46">
        <f t="shared" ref="P21:P27" si="37">E21+J21</f>
        <v>449.35</v>
      </c>
      <c r="Q21" s="46">
        <f t="shared" ref="Q21:Q27" si="38">F21+K21</f>
        <v>473</v>
      </c>
      <c r="R21" s="46">
        <f t="shared" ref="R21:R27" si="39">G21+L21</f>
        <v>488.8125</v>
      </c>
      <c r="S21" s="90">
        <f t="shared" ref="S21:S28" si="40">IFERROR(_xlfn.RRI(3,O21,R21), "N/A")</f>
        <v>2.9655473576838842E-2</v>
      </c>
    </row>
    <row r="22" spans="2:19" outlineLevel="2">
      <c r="B22" s="45" t="s">
        <v>240</v>
      </c>
      <c r="C22" s="46">
        <f>'2025A'!F22</f>
        <v>487.42534000000006</v>
      </c>
      <c r="D22" s="46">
        <f>'2025A'!C22</f>
        <v>567.51580000000001</v>
      </c>
      <c r="E22" s="46">
        <f>'2026B'!C22</f>
        <v>625</v>
      </c>
      <c r="F22" s="46">
        <f>'Sales Budget Summary'!G21</f>
        <v>650</v>
      </c>
      <c r="G22" s="46">
        <f>'Sales Budget Summary'!H21</f>
        <v>675</v>
      </c>
      <c r="H22" s="90">
        <f t="shared" si="34"/>
        <v>5.9518648888459369E-2</v>
      </c>
      <c r="J22" s="46">
        <f>SUM('Initiatives Summary'!C22:U22)</f>
        <v>28.125</v>
      </c>
      <c r="K22" s="46">
        <f>SUM('Initiatives Summary'!W22:AO22)</f>
        <v>48.750000000000007</v>
      </c>
      <c r="L22" s="46">
        <f>SUM('Initiatives Summary'!AQ22:BI22)</f>
        <v>58.21875</v>
      </c>
      <c r="N22" s="46">
        <f t="shared" si="35"/>
        <v>487.42534000000006</v>
      </c>
      <c r="O22" s="46">
        <f t="shared" si="36"/>
        <v>567.51580000000001</v>
      </c>
      <c r="P22" s="46">
        <f t="shared" si="37"/>
        <v>653.125</v>
      </c>
      <c r="Q22" s="46">
        <f t="shared" si="38"/>
        <v>698.75</v>
      </c>
      <c r="R22" s="46">
        <f t="shared" si="39"/>
        <v>733.21875</v>
      </c>
      <c r="S22" s="90">
        <f t="shared" si="40"/>
        <v>8.9143745231229587E-2</v>
      </c>
    </row>
    <row r="23" spans="2:19" outlineLevel="2">
      <c r="B23" s="45" t="s">
        <v>241</v>
      </c>
      <c r="C23" s="46">
        <f>'2025A'!F23</f>
        <v>297.28224</v>
      </c>
      <c r="D23" s="46">
        <f>'2025A'!C23</f>
        <v>277.16552000000001</v>
      </c>
      <c r="E23" s="46">
        <f>'2026B'!C23</f>
        <v>350</v>
      </c>
      <c r="F23" s="46">
        <f>'Sales Budget Summary'!G22</f>
        <v>380</v>
      </c>
      <c r="G23" s="46">
        <f>'Sales Budget Summary'!H22</f>
        <v>420</v>
      </c>
      <c r="H23" s="90">
        <f t="shared" si="34"/>
        <v>0.14860321994325232</v>
      </c>
      <c r="J23" s="46">
        <f>SUM('Initiatives Summary'!C23:U23)</f>
        <v>15.75</v>
      </c>
      <c r="K23" s="46">
        <f>SUM('Initiatives Summary'!W23:AO23)</f>
        <v>28.500000000000004</v>
      </c>
      <c r="L23" s="46">
        <f>SUM('Initiatives Summary'!AQ23:BI23)</f>
        <v>36.224999999999994</v>
      </c>
      <c r="N23" s="46">
        <f t="shared" si="35"/>
        <v>297.28224</v>
      </c>
      <c r="O23" s="46">
        <f t="shared" si="36"/>
        <v>277.16552000000001</v>
      </c>
      <c r="P23" s="46">
        <f t="shared" si="37"/>
        <v>365.75</v>
      </c>
      <c r="Q23" s="46">
        <f t="shared" si="38"/>
        <v>408.5</v>
      </c>
      <c r="R23" s="46">
        <f t="shared" si="39"/>
        <v>456.22500000000002</v>
      </c>
      <c r="S23" s="90">
        <f t="shared" si="40"/>
        <v>0.18071920118259466</v>
      </c>
    </row>
    <row r="24" spans="2:19" outlineLevel="2">
      <c r="B24" s="45" t="s">
        <v>242</v>
      </c>
      <c r="C24" s="46">
        <f>'2025A'!F24</f>
        <v>245.10886000000005</v>
      </c>
      <c r="D24" s="46">
        <f>'2025A'!C24</f>
        <v>443.66261000000003</v>
      </c>
      <c r="E24" s="46">
        <f>'2026B'!C24</f>
        <v>457.5</v>
      </c>
      <c r="F24" s="46">
        <f>'Sales Budget Summary'!G23</f>
        <v>520</v>
      </c>
      <c r="G24" s="46">
        <f>'Sales Budget Summary'!H23</f>
        <v>625</v>
      </c>
      <c r="H24" s="90">
        <f t="shared" si="34"/>
        <v>0.121008904991174</v>
      </c>
      <c r="J24" s="46">
        <f>SUM('Initiatives Summary'!C24:U24)</f>
        <v>20.587499999999999</v>
      </c>
      <c r="K24" s="46">
        <f>SUM('Initiatives Summary'!W24:AO24)</f>
        <v>39</v>
      </c>
      <c r="L24" s="46">
        <f>SUM('Initiatives Summary'!AQ24:BI24)</f>
        <v>53.90625</v>
      </c>
      <c r="N24" s="46">
        <f t="shared" si="35"/>
        <v>245.10886000000005</v>
      </c>
      <c r="O24" s="46">
        <f t="shared" si="36"/>
        <v>443.66261000000003</v>
      </c>
      <c r="P24" s="46">
        <f t="shared" si="37"/>
        <v>478.08749999999998</v>
      </c>
      <c r="Q24" s="46">
        <f t="shared" si="38"/>
        <v>559</v>
      </c>
      <c r="R24" s="46">
        <f t="shared" si="39"/>
        <v>678.90625</v>
      </c>
      <c r="S24" s="90">
        <f t="shared" si="40"/>
        <v>0.15235332431433313</v>
      </c>
    </row>
    <row r="25" spans="2:19" outlineLevel="2">
      <c r="B25" s="45" t="s">
        <v>243</v>
      </c>
      <c r="C25" s="46">
        <f>'2025A'!F25</f>
        <v>28.565149999999996</v>
      </c>
      <c r="D25" s="46">
        <f>'2025A'!C25</f>
        <v>34.968969999999999</v>
      </c>
      <c r="E25" s="46">
        <f>'2026B'!C25</f>
        <v>30</v>
      </c>
      <c r="F25" s="46">
        <f>'Sales Budget Summary'!G24</f>
        <v>40</v>
      </c>
      <c r="G25" s="46">
        <f>'Sales Budget Summary'!H24</f>
        <v>50</v>
      </c>
      <c r="H25" s="90">
        <f t="shared" si="34"/>
        <v>0.12658091036364283</v>
      </c>
      <c r="J25" s="46">
        <f>SUM('Initiatives Summary'!C25:U25)</f>
        <v>1.35</v>
      </c>
      <c r="K25" s="46">
        <f>SUM('Initiatives Summary'!W25:AO25)</f>
        <v>3.0000000000000004</v>
      </c>
      <c r="L25" s="46">
        <f>SUM('Initiatives Summary'!AQ25:BI25)</f>
        <v>4.3125</v>
      </c>
      <c r="N25" s="46">
        <f t="shared" si="35"/>
        <v>28.565149999999996</v>
      </c>
      <c r="O25" s="46">
        <f t="shared" si="36"/>
        <v>34.968969999999999</v>
      </c>
      <c r="P25" s="46">
        <f t="shared" si="37"/>
        <v>31.35</v>
      </c>
      <c r="Q25" s="46">
        <f t="shared" si="38"/>
        <v>43</v>
      </c>
      <c r="R25" s="46">
        <f t="shared" si="39"/>
        <v>54.3125</v>
      </c>
      <c r="S25" s="90">
        <f t="shared" si="40"/>
        <v>0.1580811279789367</v>
      </c>
    </row>
    <row r="26" spans="2:19" outlineLevel="2">
      <c r="B26" s="45" t="s">
        <v>244</v>
      </c>
      <c r="C26" s="46">
        <f>'2025A'!F26</f>
        <v>15.133949999999999</v>
      </c>
      <c r="D26" s="46">
        <f>'2025A'!C26</f>
        <v>14.61966</v>
      </c>
      <c r="E26" s="46">
        <f>'2026B'!C26</f>
        <v>20</v>
      </c>
      <c r="F26" s="46">
        <f>'Sales Budget Summary'!G25</f>
        <v>50</v>
      </c>
      <c r="G26" s="46">
        <f>'Sales Budget Summary'!H25</f>
        <v>100</v>
      </c>
      <c r="H26" s="90">
        <f t="shared" si="34"/>
        <v>0.89825364490749182</v>
      </c>
      <c r="J26" s="46">
        <f>SUM('Initiatives Summary'!C26:U26)</f>
        <v>250.9</v>
      </c>
      <c r="K26" s="46">
        <f>SUM('Initiatives Summary'!W26:AO26)</f>
        <v>503.75</v>
      </c>
      <c r="L26" s="46">
        <f>SUM('Initiatives Summary'!AQ26:BI26)</f>
        <v>1008.625</v>
      </c>
      <c r="N26" s="46">
        <f t="shared" si="35"/>
        <v>15.133949999999999</v>
      </c>
      <c r="O26" s="46">
        <f t="shared" si="36"/>
        <v>14.61966</v>
      </c>
      <c r="P26" s="46">
        <f t="shared" si="37"/>
        <v>270.89999999999998</v>
      </c>
      <c r="Q26" s="46">
        <f t="shared" si="38"/>
        <v>553.75</v>
      </c>
      <c r="R26" s="46">
        <f t="shared" si="39"/>
        <v>1108.625</v>
      </c>
      <c r="S26" s="90">
        <f t="shared" si="40"/>
        <v>3.2326835313640148</v>
      </c>
    </row>
    <row r="27" spans="2:19" outlineLevel="2">
      <c r="B27" s="45" t="s">
        <v>245</v>
      </c>
      <c r="C27" s="46">
        <f>'2025A'!F27</f>
        <v>54.728430000000003</v>
      </c>
      <c r="D27" s="46">
        <f>'2025A'!C27</f>
        <v>31.812060000000002</v>
      </c>
      <c r="E27" s="46">
        <f>'2026B'!C27</f>
        <v>32</v>
      </c>
      <c r="F27" s="46">
        <f>'Sales Budget Summary'!G26</f>
        <v>36</v>
      </c>
      <c r="G27" s="46">
        <f>'Sales Budget Summary'!H26</f>
        <v>40</v>
      </c>
      <c r="H27" s="90">
        <f t="shared" si="34"/>
        <v>7.9334517426726148E-2</v>
      </c>
      <c r="J27" s="46">
        <f>SUM('Initiatives Summary'!C27:U27)</f>
        <v>1.44</v>
      </c>
      <c r="K27" s="46">
        <f>SUM('Initiatives Summary'!W27:AO27)</f>
        <v>2.7</v>
      </c>
      <c r="L27" s="46">
        <f>SUM('Initiatives Summary'!AQ27:BI27)</f>
        <v>3.4499999999999997</v>
      </c>
      <c r="N27" s="46">
        <f t="shared" si="35"/>
        <v>54.728430000000003</v>
      </c>
      <c r="O27" s="46">
        <f t="shared" si="36"/>
        <v>31.812060000000002</v>
      </c>
      <c r="P27" s="46">
        <f t="shared" si="37"/>
        <v>33.44</v>
      </c>
      <c r="Q27" s="46">
        <f t="shared" si="38"/>
        <v>38.700000000000003</v>
      </c>
      <c r="R27" s="46">
        <f t="shared" si="39"/>
        <v>43.45</v>
      </c>
      <c r="S27" s="90">
        <f t="shared" si="40"/>
        <v>0.10951368331341405</v>
      </c>
    </row>
    <row r="28" spans="2:19" outlineLevel="2">
      <c r="B28" s="47" t="s">
        <v>100</v>
      </c>
      <c r="C28" s="48">
        <f t="shared" ref="C28:G28" si="41">SUM(C21:C27)</f>
        <v>1528.2451000000001</v>
      </c>
      <c r="D28" s="48">
        <f t="shared" si="41"/>
        <v>1817.5264900000002</v>
      </c>
      <c r="E28" s="48">
        <f t="shared" si="41"/>
        <v>1944.5</v>
      </c>
      <c r="F28" s="48">
        <f t="shared" si="41"/>
        <v>2116</v>
      </c>
      <c r="G28" s="48">
        <f t="shared" si="41"/>
        <v>2360</v>
      </c>
      <c r="H28" s="95">
        <f t="shared" si="34"/>
        <v>9.0963995121111862E-2</v>
      </c>
      <c r="J28" s="48">
        <f t="shared" ref="J28:K28" si="42">SUM(J21:J27)</f>
        <v>337.5025</v>
      </c>
      <c r="K28" s="48">
        <f t="shared" si="42"/>
        <v>658.7</v>
      </c>
      <c r="L28" s="48">
        <f t="shared" ref="L28" si="43">SUM(L21:L27)</f>
        <v>1203.55</v>
      </c>
      <c r="N28" s="48">
        <f t="shared" ref="N28:R28" si="44">SUM(N21:N27)</f>
        <v>1528.2451000000001</v>
      </c>
      <c r="O28" s="48">
        <f t="shared" si="44"/>
        <v>1817.5264900000002</v>
      </c>
      <c r="P28" s="48">
        <f t="shared" si="44"/>
        <v>2282.0025000000001</v>
      </c>
      <c r="Q28" s="48">
        <f t="shared" si="44"/>
        <v>2774.7</v>
      </c>
      <c r="R28" s="48">
        <f t="shared" si="44"/>
        <v>3563.5499999999997</v>
      </c>
      <c r="S28" s="95">
        <f t="shared" si="40"/>
        <v>0.25160522973299537</v>
      </c>
    </row>
    <row r="29" spans="2:19" ht="6" customHeight="1" outlineLevel="2">
      <c r="B29" s="49"/>
      <c r="C29" s="63"/>
      <c r="D29" s="63"/>
      <c r="E29" s="63"/>
      <c r="F29" s="63"/>
      <c r="G29" s="63"/>
      <c r="H29" s="96"/>
      <c r="J29" s="63"/>
      <c r="K29" s="63"/>
      <c r="L29" s="63"/>
      <c r="N29" s="63"/>
      <c r="O29" s="63"/>
      <c r="P29" s="63"/>
      <c r="Q29" s="63"/>
      <c r="R29" s="63"/>
      <c r="S29" s="96"/>
    </row>
    <row r="30" spans="2:19" ht="15.75" outlineLevel="2" thickBot="1">
      <c r="B30" s="52" t="s">
        <v>246</v>
      </c>
      <c r="C30" s="53">
        <f t="shared" ref="C30:G30" si="45">SUM(C11,C15,C19,C28)</f>
        <v>9567.1810932792014</v>
      </c>
      <c r="D30" s="53">
        <f t="shared" si="45"/>
        <v>10231.146836</v>
      </c>
      <c r="E30" s="53">
        <f t="shared" si="45"/>
        <v>11282.017000000002</v>
      </c>
      <c r="F30" s="53">
        <f t="shared" si="45"/>
        <v>12587.352099999998</v>
      </c>
      <c r="G30" s="53">
        <f t="shared" si="45"/>
        <v>13991.300020000001</v>
      </c>
      <c r="H30" s="97">
        <f>IFERROR(_xlfn.RRI(3,D30,G30), "N/A")</f>
        <v>0.1099700246596591</v>
      </c>
      <c r="J30" s="53">
        <f t="shared" ref="J30:K30" si="46">SUM(J11,J15,J19,J28)</f>
        <v>3312.2327520500007</v>
      </c>
      <c r="K30" s="53">
        <f t="shared" si="46"/>
        <v>7929.8416556649991</v>
      </c>
      <c r="L30" s="53">
        <f t="shared" ref="L30" si="47">SUM(L11,L15,L19,L28)</f>
        <v>11698.227988897999</v>
      </c>
      <c r="N30" s="53">
        <f t="shared" ref="N30:R30" si="48">SUM(N11,N15,N19,N28)</f>
        <v>9567.1810932792014</v>
      </c>
      <c r="O30" s="53">
        <f t="shared" si="48"/>
        <v>10231.146836</v>
      </c>
      <c r="P30" s="53">
        <f t="shared" si="48"/>
        <v>14594.249752050002</v>
      </c>
      <c r="Q30" s="53">
        <f t="shared" si="48"/>
        <v>20517.193755665005</v>
      </c>
      <c r="R30" s="53">
        <f t="shared" si="48"/>
        <v>25689.528008898</v>
      </c>
      <c r="S30" s="97">
        <f>IFERROR(_xlfn.RRI(3,O30,R30), "N/A")</f>
        <v>0.35918091941421659</v>
      </c>
    </row>
    <row r="31" spans="2:19" ht="6" customHeight="1" outlineLevel="1">
      <c r="B31" s="49"/>
      <c r="C31" s="63"/>
      <c r="D31" s="63"/>
      <c r="E31" s="63"/>
      <c r="F31" s="63"/>
      <c r="G31" s="63"/>
      <c r="H31" s="96"/>
      <c r="J31" s="63"/>
      <c r="K31" s="63"/>
      <c r="L31" s="63"/>
      <c r="N31" s="63"/>
      <c r="O31" s="63"/>
      <c r="P31" s="63"/>
      <c r="Q31" s="63"/>
      <c r="R31" s="63"/>
      <c r="S31" s="96"/>
    </row>
    <row r="32" spans="2:19" outlineLevel="1">
      <c r="B32" t="s">
        <v>247</v>
      </c>
      <c r="C32" s="46">
        <f>'2025A'!F32</f>
        <v>227.20375000000004</v>
      </c>
      <c r="D32" s="46">
        <f>'2025A'!C32</f>
        <v>500.90406999999993</v>
      </c>
      <c r="E32" s="46">
        <f>'2026B'!C32</f>
        <v>800</v>
      </c>
      <c r="F32" s="46">
        <f>'Sales Budget Summary'!G31</f>
        <v>1200</v>
      </c>
      <c r="G32" s="46">
        <f>'Sales Budget Summary'!H31</f>
        <v>1600</v>
      </c>
      <c r="H32" s="90">
        <f t="shared" ref="H32:H34" si="49">IFERROR(_xlfn.RRI(3,D32,G32), "N/A")</f>
        <v>0.4727255026098498</v>
      </c>
      <c r="J32" s="46">
        <f>SUM('Initiatives Summary'!C32:U32)</f>
        <v>196</v>
      </c>
      <c r="K32" s="46">
        <f>SUM('Initiatives Summary'!W32:AO32)</f>
        <v>342.5</v>
      </c>
      <c r="L32" s="46">
        <f>SUM('Initiatives Summary'!AQ32:BI32)</f>
        <v>508</v>
      </c>
      <c r="N32" s="46">
        <f t="shared" ref="N32:N34" si="50">C32</f>
        <v>227.20375000000004</v>
      </c>
      <c r="O32" s="46">
        <f t="shared" ref="O32:O34" si="51">D32</f>
        <v>500.90406999999993</v>
      </c>
      <c r="P32" s="46">
        <f t="shared" ref="P32:P34" si="52">E32+J32</f>
        <v>996</v>
      </c>
      <c r="Q32" s="46">
        <f t="shared" ref="Q32:Q34" si="53">F32+K32</f>
        <v>1542.5</v>
      </c>
      <c r="R32" s="46">
        <f t="shared" ref="R32:R34" si="54">G32+L32</f>
        <v>2108</v>
      </c>
      <c r="S32" s="90">
        <f t="shared" ref="S32:S34" si="55">IFERROR(_xlfn.RRI(3,O32,R32), "N/A")</f>
        <v>0.61450235195568759</v>
      </c>
    </row>
    <row r="33" spans="2:19" outlineLevel="1">
      <c r="B33" t="s">
        <v>248</v>
      </c>
      <c r="C33" s="46">
        <f>'2025A'!F33</f>
        <v>0</v>
      </c>
      <c r="D33" s="46">
        <f>'2025A'!C33</f>
        <v>105.64609</v>
      </c>
      <c r="E33" s="46">
        <f>'2026B'!C33</f>
        <v>200</v>
      </c>
      <c r="F33" s="46">
        <f>'Sales Budget Summary'!G32</f>
        <v>300</v>
      </c>
      <c r="G33" s="46">
        <f>'Sales Budget Summary'!H32</f>
        <v>500</v>
      </c>
      <c r="H33" s="90">
        <f t="shared" si="49"/>
        <v>0.67895423654083675</v>
      </c>
      <c r="J33" s="46">
        <f>SUM('Initiatives Summary'!C33:U33)</f>
        <v>90.25</v>
      </c>
      <c r="K33" s="46">
        <f>SUM('Initiatives Summary'!W33:AO33)</f>
        <v>179.375</v>
      </c>
      <c r="L33" s="46">
        <f>SUM('Initiatives Summary'!AQ33:BI33)</f>
        <v>325</v>
      </c>
      <c r="N33" s="46">
        <f t="shared" si="50"/>
        <v>0</v>
      </c>
      <c r="O33" s="46">
        <f t="shared" si="51"/>
        <v>105.64609</v>
      </c>
      <c r="P33" s="46">
        <f t="shared" si="52"/>
        <v>290.25</v>
      </c>
      <c r="Q33" s="46">
        <f t="shared" si="53"/>
        <v>479.375</v>
      </c>
      <c r="R33" s="46">
        <f t="shared" si="54"/>
        <v>825</v>
      </c>
      <c r="S33" s="90">
        <f t="shared" si="55"/>
        <v>0.98396271792261847</v>
      </c>
    </row>
    <row r="34" spans="2:19" outlineLevel="1">
      <c r="B34" t="s">
        <v>249</v>
      </c>
      <c r="C34" s="46">
        <f>'2025A'!F34</f>
        <v>0</v>
      </c>
      <c r="D34" s="46">
        <f>'2025A'!C34</f>
        <v>0</v>
      </c>
      <c r="E34" s="46">
        <f>'2026B'!C34</f>
        <v>145</v>
      </c>
      <c r="F34" s="46">
        <f>'Sales Budget Summary'!G33</f>
        <v>225</v>
      </c>
      <c r="G34" s="46">
        <f>'Sales Budget Summary'!H33</f>
        <v>375</v>
      </c>
      <c r="H34" s="90" t="str">
        <f t="shared" si="49"/>
        <v>N/A</v>
      </c>
      <c r="J34" s="46">
        <f>SUM('Initiatives Summary'!C34:U34)</f>
        <v>186.30624999999998</v>
      </c>
      <c r="K34" s="46">
        <f>SUM('Initiatives Summary'!W34:AO34)</f>
        <v>340.15624999999994</v>
      </c>
      <c r="L34" s="46">
        <f>SUM('Initiatives Summary'!AQ34:BI34)</f>
        <v>476.31249999999994</v>
      </c>
      <c r="N34" s="46">
        <f t="shared" si="50"/>
        <v>0</v>
      </c>
      <c r="O34" s="46">
        <f t="shared" si="51"/>
        <v>0</v>
      </c>
      <c r="P34" s="46">
        <f t="shared" si="52"/>
        <v>331.30624999999998</v>
      </c>
      <c r="Q34" s="46">
        <f t="shared" si="53"/>
        <v>565.15625</v>
      </c>
      <c r="R34" s="46">
        <f t="shared" si="54"/>
        <v>851.3125</v>
      </c>
      <c r="S34" s="90" t="str">
        <f t="shared" si="55"/>
        <v>N/A</v>
      </c>
    </row>
    <row r="35" spans="2:19" ht="6" customHeight="1" outlineLevel="1">
      <c r="B35" s="49"/>
      <c r="C35" s="63"/>
      <c r="D35" s="63"/>
      <c r="E35" s="63"/>
      <c r="F35" s="63"/>
      <c r="G35" s="63"/>
      <c r="H35" s="96"/>
      <c r="J35" s="63"/>
      <c r="K35" s="63"/>
      <c r="L35" s="63"/>
      <c r="N35" s="63"/>
      <c r="O35" s="63"/>
      <c r="P35" s="63"/>
      <c r="Q35" s="63"/>
      <c r="R35" s="63"/>
      <c r="S35" s="96"/>
    </row>
    <row r="36" spans="2:19" ht="15.75" outlineLevel="1" thickBot="1">
      <c r="B36" s="52" t="s">
        <v>250</v>
      </c>
      <c r="C36" s="53">
        <f t="shared" ref="C36:G36" si="56">SUM(C32:C34)</f>
        <v>227.20375000000004</v>
      </c>
      <c r="D36" s="53">
        <f t="shared" si="56"/>
        <v>606.55015999999989</v>
      </c>
      <c r="E36" s="53">
        <f t="shared" si="56"/>
        <v>1145</v>
      </c>
      <c r="F36" s="53">
        <f t="shared" si="56"/>
        <v>1725</v>
      </c>
      <c r="G36" s="53">
        <f t="shared" si="56"/>
        <v>2475</v>
      </c>
      <c r="H36" s="97">
        <f>IFERROR(_xlfn.RRI(3,D36,G36), "N/A")</f>
        <v>0.59797320920415142</v>
      </c>
      <c r="J36" s="53">
        <f t="shared" ref="J36:K36" si="57">SUM(J32:J34)</f>
        <v>472.55624999999998</v>
      </c>
      <c r="K36" s="53">
        <f t="shared" si="57"/>
        <v>862.03125</v>
      </c>
      <c r="L36" s="53">
        <f t="shared" ref="L36" si="58">SUM(L32:L34)</f>
        <v>1309.3125</v>
      </c>
      <c r="N36" s="53">
        <f t="shared" ref="N36:R36" si="59">SUM(N32:N34)</f>
        <v>227.20375000000004</v>
      </c>
      <c r="O36" s="53">
        <f t="shared" si="59"/>
        <v>606.55015999999989</v>
      </c>
      <c r="P36" s="53">
        <f t="shared" si="59"/>
        <v>1617.5562500000001</v>
      </c>
      <c r="Q36" s="53">
        <f t="shared" si="59"/>
        <v>2587.03125</v>
      </c>
      <c r="R36" s="53">
        <f t="shared" si="59"/>
        <v>3784.3125</v>
      </c>
      <c r="S36" s="97">
        <f>IFERROR(_xlfn.RRI(3,O36,R36), "N/A")</f>
        <v>0.84094193305828746</v>
      </c>
    </row>
    <row r="37" spans="2:19" ht="6" customHeight="1" outlineLevel="1">
      <c r="B37" s="49"/>
      <c r="C37" s="63"/>
      <c r="D37" s="63"/>
      <c r="E37" s="63"/>
      <c r="F37" s="63"/>
      <c r="G37" s="63"/>
      <c r="H37" s="96"/>
      <c r="J37" s="63"/>
      <c r="K37" s="63"/>
      <c r="L37" s="63"/>
      <c r="N37" s="63"/>
      <c r="O37" s="63"/>
      <c r="P37" s="63"/>
      <c r="Q37" s="63"/>
      <c r="R37" s="63"/>
      <c r="S37" s="96"/>
    </row>
    <row r="38" spans="2:19" outlineLevel="1">
      <c r="B38" t="s">
        <v>251</v>
      </c>
      <c r="C38" s="46">
        <f>'2025A'!F38</f>
        <v>394.85068254782402</v>
      </c>
      <c r="D38" s="46">
        <f>'2025A'!C38</f>
        <v>660.48169199999995</v>
      </c>
      <c r="E38" s="46">
        <f>'2026B'!C38</f>
        <v>748</v>
      </c>
      <c r="F38" s="46">
        <f>'Sales Budget Summary'!G37</f>
        <v>822.80000000000007</v>
      </c>
      <c r="G38" s="46">
        <f>'Sales Budget Summary'!H37</f>
        <v>888.62400000000014</v>
      </c>
      <c r="H38" s="90">
        <f t="shared" ref="H38:H41" si="60">IFERROR(_xlfn.RRI(3,D38,G38), "N/A")</f>
        <v>0.10395766247333982</v>
      </c>
      <c r="J38" s="46">
        <f>SUM('Initiatives Summary'!C38:U38)</f>
        <v>272.33500000000004</v>
      </c>
      <c r="K38" s="46">
        <f>SUM('Initiatives Summary'!W38:AO38)</f>
        <v>406.88749999999999</v>
      </c>
      <c r="L38" s="46">
        <f>SUM('Initiatives Summary'!AQ38:BI38)</f>
        <v>544.67786999999998</v>
      </c>
      <c r="N38" s="46">
        <f t="shared" ref="N38:N41" si="61">C38</f>
        <v>394.85068254782402</v>
      </c>
      <c r="O38" s="46">
        <f t="shared" ref="O38:O41" si="62">D38</f>
        <v>660.48169199999995</v>
      </c>
      <c r="P38" s="46">
        <f t="shared" ref="P38:P41" si="63">E38+J38</f>
        <v>1020.335</v>
      </c>
      <c r="Q38" s="46">
        <f t="shared" ref="Q38:Q41" si="64">F38+K38</f>
        <v>1229.6875</v>
      </c>
      <c r="R38" s="46">
        <f t="shared" ref="R38:R41" si="65">G38+L38</f>
        <v>1433.3018700000002</v>
      </c>
      <c r="S38" s="90">
        <f t="shared" ref="S38:S41" si="66">IFERROR(_xlfn.RRI(3,O38,R38), "N/A")</f>
        <v>0.29466963195036566</v>
      </c>
    </row>
    <row r="39" spans="2:19" outlineLevel="1">
      <c r="B39" t="s">
        <v>252</v>
      </c>
      <c r="C39" s="46">
        <f>'2025A'!F39</f>
        <v>306.28693608745948</v>
      </c>
      <c r="D39" s="46">
        <f>'2025A'!C39</f>
        <v>396.49359879999997</v>
      </c>
      <c r="E39" s="46">
        <f>'2026B'!C39</f>
        <v>406</v>
      </c>
      <c r="F39" s="46">
        <f>'Sales Budget Summary'!G38</f>
        <v>446.6</v>
      </c>
      <c r="G39" s="46">
        <f>'Sales Budget Summary'!H38</f>
        <v>482.32800000000003</v>
      </c>
      <c r="H39" s="90">
        <f t="shared" si="60"/>
        <v>6.7502165425224137E-2</v>
      </c>
      <c r="J39" s="46">
        <f>SUM('Initiatives Summary'!C39:U39)</f>
        <v>130.35749999999999</v>
      </c>
      <c r="K39" s="46">
        <f>SUM('Initiatives Summary'!W39:AO39)</f>
        <v>232.77624999999998</v>
      </c>
      <c r="L39" s="46">
        <f>SUM('Initiatives Summary'!AQ39:BI39)</f>
        <v>341.36038999999994</v>
      </c>
      <c r="N39" s="46">
        <f t="shared" si="61"/>
        <v>306.28693608745948</v>
      </c>
      <c r="O39" s="46">
        <f t="shared" si="62"/>
        <v>396.49359879999997</v>
      </c>
      <c r="P39" s="46">
        <f t="shared" si="63"/>
        <v>536.35749999999996</v>
      </c>
      <c r="Q39" s="46">
        <f t="shared" si="64"/>
        <v>679.37625000000003</v>
      </c>
      <c r="R39" s="46">
        <f t="shared" si="65"/>
        <v>823.68839000000003</v>
      </c>
      <c r="S39" s="90">
        <f t="shared" si="66"/>
        <v>0.27597526262357563</v>
      </c>
    </row>
    <row r="40" spans="2:19" outlineLevel="1">
      <c r="B40" t="s">
        <v>137</v>
      </c>
      <c r="C40" s="46">
        <f>'2025A'!F40</f>
        <v>20.505599999999998</v>
      </c>
      <c r="D40" s="46">
        <f>'2025A'!C40</f>
        <v>105.87025999999999</v>
      </c>
      <c r="E40" s="46">
        <f>'2026B'!C40</f>
        <v>110</v>
      </c>
      <c r="F40" s="46">
        <f>'Sales Budget Summary'!G39</f>
        <v>121.00000000000001</v>
      </c>
      <c r="G40" s="46">
        <f>'Sales Budget Summary'!H39</f>
        <v>130.68000000000004</v>
      </c>
      <c r="H40" s="90">
        <f t="shared" si="60"/>
        <v>7.270025053797724E-2</v>
      </c>
      <c r="J40" s="46">
        <f>SUM('Initiatives Summary'!C40:U40)</f>
        <v>2.8875000000000002</v>
      </c>
      <c r="K40" s="46">
        <f>SUM('Initiatives Summary'!W40:AO40)</f>
        <v>6.8062500000000021</v>
      </c>
      <c r="L40" s="46">
        <f>SUM('Initiatives Summary'!AQ40:BI40)</f>
        <v>8.8209000000000017</v>
      </c>
      <c r="N40" s="46">
        <f t="shared" si="61"/>
        <v>20.505599999999998</v>
      </c>
      <c r="O40" s="46">
        <f t="shared" si="62"/>
        <v>105.87025999999999</v>
      </c>
      <c r="P40" s="46">
        <f t="shared" si="63"/>
        <v>112.8875</v>
      </c>
      <c r="Q40" s="46">
        <f t="shared" si="64"/>
        <v>127.80625000000002</v>
      </c>
      <c r="R40" s="46">
        <f t="shared" si="65"/>
        <v>139.50090000000003</v>
      </c>
      <c r="S40" s="90">
        <f t="shared" si="66"/>
        <v>9.631244291631913E-2</v>
      </c>
    </row>
    <row r="41" spans="2:19" outlineLevel="1">
      <c r="B41" t="s">
        <v>253</v>
      </c>
      <c r="C41" s="46">
        <f>'2025A'!F41</f>
        <v>16.666325470512</v>
      </c>
      <c r="D41" s="46">
        <f>'2025A'!C41</f>
        <v>34.981104799999997</v>
      </c>
      <c r="E41" s="46">
        <f>'2026B'!C41</f>
        <v>34.981104799999997</v>
      </c>
      <c r="F41" s="46">
        <f>'Sales Budget Summary'!G40</f>
        <v>34.981104799999997</v>
      </c>
      <c r="G41" s="46">
        <f>'Sales Budget Summary'!H40</f>
        <v>34.981104799999997</v>
      </c>
      <c r="H41" s="90">
        <f t="shared" si="60"/>
        <v>0</v>
      </c>
      <c r="J41" s="46">
        <f>SUM('Initiatives Summary'!C41:U41)</f>
        <v>0.91825400099999999</v>
      </c>
      <c r="K41" s="46">
        <f>SUM('Initiatives Summary'!W41:AO41)</f>
        <v>1.967687145</v>
      </c>
      <c r="L41" s="46">
        <f>SUM('Initiatives Summary'!AQ41:BI41)</f>
        <v>2.3612245739999995</v>
      </c>
      <c r="N41" s="46">
        <f t="shared" si="61"/>
        <v>16.666325470512</v>
      </c>
      <c r="O41" s="46">
        <f t="shared" si="62"/>
        <v>34.981104799999997</v>
      </c>
      <c r="P41" s="46">
        <f t="shared" si="63"/>
        <v>35.899358800999998</v>
      </c>
      <c r="Q41" s="46">
        <f t="shared" si="64"/>
        <v>36.948791944999996</v>
      </c>
      <c r="R41" s="46">
        <f t="shared" si="65"/>
        <v>37.342329373999995</v>
      </c>
      <c r="S41" s="90">
        <f t="shared" si="66"/>
        <v>2.2011920260575968E-2</v>
      </c>
    </row>
    <row r="42" spans="2:19" ht="6" customHeight="1" outlineLevel="1">
      <c r="B42" s="49"/>
      <c r="C42" s="63"/>
      <c r="D42" s="63"/>
      <c r="E42" s="63"/>
      <c r="F42" s="63"/>
      <c r="G42" s="63"/>
      <c r="H42" s="96"/>
      <c r="J42" s="63"/>
      <c r="K42" s="63"/>
      <c r="L42" s="63"/>
      <c r="N42" s="63"/>
      <c r="O42" s="63"/>
      <c r="P42" s="63"/>
      <c r="Q42" s="63"/>
      <c r="R42" s="63"/>
      <c r="S42" s="96"/>
    </row>
    <row r="43" spans="2:19" ht="15.75" outlineLevel="1" thickBot="1">
      <c r="B43" s="52" t="s">
        <v>254</v>
      </c>
      <c r="C43" s="53">
        <f t="shared" ref="C43:G43" si="67">SUM(C38:C41)</f>
        <v>738.30954410579545</v>
      </c>
      <c r="D43" s="53">
        <f t="shared" si="67"/>
        <v>1197.8266555999999</v>
      </c>
      <c r="E43" s="53">
        <f t="shared" si="67"/>
        <v>1298.9811047999999</v>
      </c>
      <c r="F43" s="53">
        <f t="shared" si="67"/>
        <v>1425.3811048</v>
      </c>
      <c r="G43" s="53">
        <f t="shared" si="67"/>
        <v>1536.6131048000002</v>
      </c>
      <c r="H43" s="97">
        <f>IFERROR(_xlfn.RRI(3,D43,G43), "N/A")</f>
        <v>8.6567855967726759E-2</v>
      </c>
      <c r="J43" s="53">
        <f t="shared" ref="J43:K43" si="68">SUM(J38:J41)</f>
        <v>406.49825400099996</v>
      </c>
      <c r="K43" s="53">
        <f t="shared" si="68"/>
        <v>648.43768714499993</v>
      </c>
      <c r="L43" s="53">
        <f t="shared" ref="L43" si="69">SUM(L38:L41)</f>
        <v>897.22038457399992</v>
      </c>
      <c r="N43" s="53">
        <f t="shared" ref="N43:R43" si="70">SUM(N38:N41)</f>
        <v>738.30954410579545</v>
      </c>
      <c r="O43" s="53">
        <f t="shared" si="70"/>
        <v>1197.8266555999999</v>
      </c>
      <c r="P43" s="53">
        <f t="shared" si="70"/>
        <v>1705.4793588010002</v>
      </c>
      <c r="Q43" s="53">
        <f t="shared" si="70"/>
        <v>2073.8187919450002</v>
      </c>
      <c r="R43" s="53">
        <f t="shared" si="70"/>
        <v>2433.8334893740007</v>
      </c>
      <c r="S43" s="97">
        <f>IFERROR(_xlfn.RRI(3,O43,R43), "N/A")</f>
        <v>0.26657903889068657</v>
      </c>
    </row>
    <row r="44" spans="2:19" ht="6" customHeight="1" outlineLevel="1">
      <c r="B44" s="49"/>
      <c r="C44" s="63"/>
      <c r="D44" s="63"/>
      <c r="E44" s="63"/>
      <c r="F44" s="63"/>
      <c r="G44" s="63"/>
      <c r="H44" s="96"/>
      <c r="J44" s="63"/>
      <c r="K44" s="63"/>
      <c r="L44" s="63"/>
      <c r="N44" s="63"/>
      <c r="O44" s="63"/>
      <c r="P44" s="63"/>
      <c r="Q44" s="63"/>
      <c r="R44" s="63"/>
      <c r="S44" s="96"/>
    </row>
    <row r="45" spans="2:19" ht="16.5" outlineLevel="1" thickBot="1">
      <c r="B45" s="54" t="s">
        <v>255</v>
      </c>
      <c r="C45" s="55">
        <f t="shared" ref="C45:G45" si="71">SUM(C30,C36,C43)</f>
        <v>10532.694387384998</v>
      </c>
      <c r="D45" s="55">
        <f t="shared" si="71"/>
        <v>12035.5236516</v>
      </c>
      <c r="E45" s="55">
        <f t="shared" si="71"/>
        <v>13725.998104800001</v>
      </c>
      <c r="F45" s="55">
        <f t="shared" si="71"/>
        <v>15737.733204799999</v>
      </c>
      <c r="G45" s="55">
        <f t="shared" si="71"/>
        <v>18002.913124800001</v>
      </c>
      <c r="H45" s="98">
        <f>IFERROR(_xlfn.RRI(3,D45,G45), "N/A")</f>
        <v>0.14364858865248253</v>
      </c>
      <c r="J45" s="55">
        <f t="shared" ref="J45:K45" si="72">SUM(J30,J36,J43)</f>
        <v>4191.2872560510004</v>
      </c>
      <c r="K45" s="55">
        <f t="shared" si="72"/>
        <v>9440.3105928099994</v>
      </c>
      <c r="L45" s="55">
        <f t="shared" ref="L45" si="73">SUM(L30,L36,L43)</f>
        <v>13904.760873472</v>
      </c>
      <c r="N45" s="55">
        <f t="shared" ref="N45:R45" si="74">SUM(N30,N36,N43)</f>
        <v>10532.694387384998</v>
      </c>
      <c r="O45" s="55">
        <f t="shared" si="74"/>
        <v>12035.5236516</v>
      </c>
      <c r="P45" s="55">
        <f t="shared" si="74"/>
        <v>17917.285360851001</v>
      </c>
      <c r="Q45" s="55">
        <f t="shared" si="74"/>
        <v>25178.043797610004</v>
      </c>
      <c r="R45" s="55">
        <f t="shared" si="74"/>
        <v>31907.673998271999</v>
      </c>
      <c r="S45" s="98">
        <f>IFERROR(_xlfn.RRI(3,O45,R45), "N/A")</f>
        <v>0.38402324792006204</v>
      </c>
    </row>
    <row r="46" spans="2:19" ht="6" customHeight="1">
      <c r="H46" s="16"/>
      <c r="S46" s="16"/>
    </row>
    <row r="47" spans="2:19">
      <c r="B47" s="64" t="s">
        <v>155</v>
      </c>
      <c r="C47" s="93">
        <f>C45</f>
        <v>10532.694387384998</v>
      </c>
      <c r="D47" s="93">
        <f>D45</f>
        <v>12035.5236516</v>
      </c>
      <c r="E47" s="93">
        <f t="shared" ref="E47:G47" si="75">E45</f>
        <v>13725.998104800001</v>
      </c>
      <c r="F47" s="93">
        <f t="shared" si="75"/>
        <v>15737.733204799999</v>
      </c>
      <c r="G47" s="93">
        <f t="shared" si="75"/>
        <v>18002.913124800001</v>
      </c>
      <c r="H47" s="99">
        <f t="shared" ref="H47:H48" si="76">IFERROR(_xlfn.RRI(3,D47,G47), "N/A")</f>
        <v>0.14364858865248253</v>
      </c>
      <c r="J47" s="93">
        <f>J45</f>
        <v>4191.2872560510004</v>
      </c>
      <c r="K47" s="93">
        <f>K45</f>
        <v>9440.3105928099994</v>
      </c>
      <c r="L47" s="93">
        <f>L45</f>
        <v>13904.760873472</v>
      </c>
      <c r="N47" s="93">
        <f>N45</f>
        <v>10532.694387384998</v>
      </c>
      <c r="O47" s="93">
        <f>O45</f>
        <v>12035.5236516</v>
      </c>
      <c r="P47" s="93">
        <f t="shared" ref="P47:R47" si="77">P45</f>
        <v>17917.285360851001</v>
      </c>
      <c r="Q47" s="93">
        <f t="shared" si="77"/>
        <v>25178.043797610004</v>
      </c>
      <c r="R47" s="93">
        <f t="shared" si="77"/>
        <v>31907.673998271999</v>
      </c>
      <c r="S47" s="99">
        <f t="shared" ref="S47:S48" si="78">IFERROR(_xlfn.RRI(3,O47,R47), "N/A")</f>
        <v>0.38402324792006204</v>
      </c>
    </row>
    <row r="48" spans="2:19">
      <c r="B48" t="s">
        <v>157</v>
      </c>
      <c r="C48" s="91">
        <f>'2025A'!F48</f>
        <v>-2037.9</v>
      </c>
      <c r="D48" s="91">
        <f>'2025A'!C48</f>
        <v>-2166.3942572880001</v>
      </c>
      <c r="E48" s="91">
        <f>'2026B'!C48</f>
        <v>-2591.1028262000004</v>
      </c>
      <c r="F48" s="91">
        <f>'3YP'!F48</f>
        <v>-2930.0132581880007</v>
      </c>
      <c r="G48" s="91">
        <f>'3YP'!G48</f>
        <v>-3435.1847735760025</v>
      </c>
      <c r="H48" s="16">
        <f t="shared" si="76"/>
        <v>0.16610467222441705</v>
      </c>
      <c r="J48" s="91">
        <f>SUM('Initiatives Summary'!C48:U48)</f>
        <v>-873.45645874775016</v>
      </c>
      <c r="K48" s="91">
        <f>SUM('Initiatives Summary'!W48:AO48)</f>
        <v>-1899.4647658259751</v>
      </c>
      <c r="L48" s="91">
        <f>SUM('Initiatives Summary'!AQ48:BI48)</f>
        <v>-2783.9213520172416</v>
      </c>
      <c r="N48" s="91">
        <f>C48</f>
        <v>-2037.9</v>
      </c>
      <c r="O48" s="91">
        <f>D48</f>
        <v>-2166.3942572880001</v>
      </c>
      <c r="P48" s="91">
        <f t="shared" ref="P48" si="79">E48+J48</f>
        <v>-3464.5592849477507</v>
      </c>
      <c r="Q48" s="91">
        <f t="shared" ref="Q48" si="80">F48+K48</f>
        <v>-4829.4780240139753</v>
      </c>
      <c r="R48" s="91">
        <f t="shared" ref="R48" si="81">G48+L48</f>
        <v>-6219.1061255932436</v>
      </c>
      <c r="S48" s="16">
        <f t="shared" si="78"/>
        <v>0.42122713489635677</v>
      </c>
    </row>
    <row r="49" spans="2:19" ht="6" customHeight="1">
      <c r="B49" s="49"/>
      <c r="C49" s="3"/>
      <c r="D49" s="3"/>
      <c r="E49" s="3"/>
      <c r="F49" s="3"/>
      <c r="G49" s="3"/>
      <c r="H49" s="16"/>
      <c r="J49" s="3"/>
      <c r="K49" s="3"/>
      <c r="L49" s="3"/>
      <c r="N49" s="3"/>
      <c r="O49" s="3"/>
      <c r="P49" s="3"/>
      <c r="Q49" s="3"/>
      <c r="R49" s="3"/>
      <c r="S49" s="16"/>
    </row>
    <row r="50" spans="2:19">
      <c r="B50" s="65" t="s">
        <v>158</v>
      </c>
      <c r="C50" s="121">
        <f>SUM(C47:C48)</f>
        <v>8494.7943873849981</v>
      </c>
      <c r="D50" s="121">
        <f>SUM(D47:D48)</f>
        <v>9869.1293943119999</v>
      </c>
      <c r="E50" s="121">
        <f>SUM(E47:E48)</f>
        <v>11134.895278600001</v>
      </c>
      <c r="F50" s="121">
        <f t="shared" ref="F50:G50" si="82">SUM(F47:F48)</f>
        <v>12807.719946611998</v>
      </c>
      <c r="G50" s="121">
        <f t="shared" si="82"/>
        <v>14567.728351223999</v>
      </c>
      <c r="H50" s="18">
        <f>IFERROR(_xlfn.RRI(3,D50,G50), "N/A")</f>
        <v>0.1385995219416829</v>
      </c>
      <c r="J50" s="121">
        <f>SUM(J47:J48)</f>
        <v>3317.8307973032502</v>
      </c>
      <c r="K50" s="121">
        <f>SUM(K47:K48)</f>
        <v>7540.8458269840248</v>
      </c>
      <c r="L50" s="121">
        <f>SUM(L47:L48)</f>
        <v>11120.839521454758</v>
      </c>
      <c r="N50" s="121">
        <f>SUM(N47:N48)</f>
        <v>8494.7943873849981</v>
      </c>
      <c r="O50" s="121">
        <f>SUM(O47:O48)</f>
        <v>9869.1293943119999</v>
      </c>
      <c r="P50" s="121">
        <f>SUM(P47:P48)</f>
        <v>14452.726075903251</v>
      </c>
      <c r="Q50" s="121">
        <f t="shared" ref="Q50:R50" si="83">SUM(Q47:Q48)</f>
        <v>20348.565773596027</v>
      </c>
      <c r="R50" s="121">
        <f t="shared" si="83"/>
        <v>25688.567872678756</v>
      </c>
      <c r="S50" s="18">
        <f>IFERROR(_xlfn.RRI(3,O50,R50), "N/A")</f>
        <v>0.37558368642465445</v>
      </c>
    </row>
    <row r="51" spans="2:19">
      <c r="B51" s="66" t="s">
        <v>160</v>
      </c>
      <c r="C51" s="67">
        <f>C50/C$47</f>
        <v>0.80651674442953636</v>
      </c>
      <c r="D51" s="67">
        <f>D50/D$47</f>
        <v>0.82</v>
      </c>
      <c r="E51" s="67">
        <f>E50/E$47</f>
        <v>0.81122663675045326</v>
      </c>
      <c r="F51" s="67">
        <f t="shared" ref="F51:G51" si="84">F50/F$47</f>
        <v>0.81382240885273438</v>
      </c>
      <c r="G51" s="67">
        <f t="shared" si="84"/>
        <v>0.80918728264905937</v>
      </c>
      <c r="H51" s="100"/>
      <c r="J51" s="67">
        <f>J50/J$47</f>
        <v>0.79160186229499463</v>
      </c>
      <c r="K51" s="67">
        <f>K50/K$47</f>
        <v>0.79879213219185186</v>
      </c>
      <c r="L51" s="67">
        <f>L50/L$47</f>
        <v>0.79978646325888958</v>
      </c>
      <c r="N51" s="67">
        <f>N50/N$47</f>
        <v>0.80651674442953636</v>
      </c>
      <c r="O51" s="67">
        <f>O50/O$47</f>
        <v>0.82</v>
      </c>
      <c r="P51" s="67">
        <f>P50/P$47</f>
        <v>0.80663592641562987</v>
      </c>
      <c r="Q51" s="67">
        <f t="shared" ref="Q51" si="85">Q50/Q$47</f>
        <v>0.80818692417746885</v>
      </c>
      <c r="R51" s="67">
        <f t="shared" ref="R51" si="86">R50/R$47</f>
        <v>0.80509058335214134</v>
      </c>
      <c r="S51" s="100"/>
    </row>
    <row r="52" spans="2:19" ht="6" customHeight="1">
      <c r="B52" s="49"/>
      <c r="C52" s="3"/>
      <c r="D52" s="3"/>
      <c r="E52" s="3"/>
      <c r="F52" s="3"/>
      <c r="G52" s="3"/>
      <c r="H52" s="16"/>
      <c r="J52" s="3"/>
      <c r="K52" s="3"/>
      <c r="L52" s="3"/>
      <c r="N52" s="3"/>
      <c r="O52" s="3"/>
      <c r="P52" s="3"/>
      <c r="Q52" s="3"/>
      <c r="R52" s="3"/>
      <c r="S52" s="16"/>
    </row>
    <row r="53" spans="2:19">
      <c r="B53" t="s">
        <v>162</v>
      </c>
      <c r="C53" s="91">
        <f>'2025A'!F53</f>
        <v>-255.9</v>
      </c>
      <c r="D53" s="91">
        <f>'2025A'!C53</f>
        <v>-248</v>
      </c>
      <c r="E53" s="91">
        <f>'2026B'!C53</f>
        <v>-269.948312096</v>
      </c>
      <c r="F53" s="91">
        <f>'3YP'!F53</f>
        <v>-323.99751909600002</v>
      </c>
      <c r="G53" s="91">
        <f>'3YP'!G53</f>
        <v>-364.50681349600001</v>
      </c>
      <c r="H53" s="16">
        <f t="shared" ref="H53:H54" si="87">IFERROR(_xlfn.RRI(3,D53,G53), "N/A")</f>
        <v>0.13697606773694693</v>
      </c>
      <c r="J53" s="91">
        <f>SUM('Initiatives Summary'!C53:U53)</f>
        <v>-202.41322884851996</v>
      </c>
      <c r="K53" s="91">
        <f>SUM('Initiatives Summary'!W53:AO53)</f>
        <v>-466.73353720195001</v>
      </c>
      <c r="L53" s="91">
        <f>SUM('Initiatives Summary'!AQ53:BI53)</f>
        <v>-656.16341968934</v>
      </c>
      <c r="N53" s="91">
        <f t="shared" ref="N53:N54" si="88">C53</f>
        <v>-255.9</v>
      </c>
      <c r="O53" s="91">
        <f t="shared" ref="O53:O54" si="89">D53</f>
        <v>-248</v>
      </c>
      <c r="P53" s="91">
        <f t="shared" ref="P53:P54" si="90">E53+J53</f>
        <v>-472.36154094451996</v>
      </c>
      <c r="Q53" s="91">
        <f t="shared" ref="Q53:Q54" si="91">F53+K53</f>
        <v>-790.73105629795009</v>
      </c>
      <c r="R53" s="91">
        <f t="shared" ref="R53:R54" si="92">G53+L53</f>
        <v>-1020.6702331853401</v>
      </c>
      <c r="S53" s="16">
        <f t="shared" ref="S53:S54" si="93">IFERROR(_xlfn.RRI(3,O53,R53), "N/A")</f>
        <v>0.60254877349392344</v>
      </c>
    </row>
    <row r="54" spans="2:19">
      <c r="B54" t="s">
        <v>163</v>
      </c>
      <c r="C54" s="91">
        <f>'2025A'!F54</f>
        <v>-99</v>
      </c>
      <c r="D54" s="91">
        <f>'2025A'!C54</f>
        <v>-125.73333333333301</v>
      </c>
      <c r="E54" s="91">
        <f>'2026B'!C54</f>
        <v>-180.93937499999998</v>
      </c>
      <c r="F54" s="91">
        <f>'3YP'!F54</f>
        <v>-212.88968750000004</v>
      </c>
      <c r="G54" s="91">
        <f>'3YP'!G54</f>
        <v>-230.67181250000002</v>
      </c>
      <c r="H54" s="16">
        <f t="shared" si="87"/>
        <v>0.22418776003258167</v>
      </c>
      <c r="J54" s="91">
        <f>SUM('Initiatives Summary'!C54:U54)</f>
        <v>-112.89965859374998</v>
      </c>
      <c r="K54" s="91">
        <f>SUM('Initiatives Summary'!W54:AO54)</f>
        <v>-289.46986504687493</v>
      </c>
      <c r="L54" s="91">
        <f>SUM('Initiatives Summary'!AQ54:BI54)</f>
        <v>-396.27827701874992</v>
      </c>
      <c r="N54" s="91">
        <f t="shared" si="88"/>
        <v>-99</v>
      </c>
      <c r="O54" s="91">
        <f t="shared" si="89"/>
        <v>-125.73333333333301</v>
      </c>
      <c r="P54" s="91">
        <f t="shared" si="90"/>
        <v>-293.83903359374995</v>
      </c>
      <c r="Q54" s="91">
        <f t="shared" si="91"/>
        <v>-502.35955254687497</v>
      </c>
      <c r="R54" s="91">
        <f t="shared" si="92"/>
        <v>-626.95008951874991</v>
      </c>
      <c r="S54" s="16">
        <f t="shared" si="93"/>
        <v>0.70841816231011423</v>
      </c>
    </row>
    <row r="55" spans="2:19" ht="6" customHeight="1">
      <c r="B55" s="49"/>
      <c r="C55" s="3"/>
      <c r="D55" s="3"/>
      <c r="E55" s="3"/>
      <c r="F55" s="3"/>
      <c r="G55" s="3"/>
      <c r="H55" s="16"/>
      <c r="J55" s="3"/>
      <c r="K55" s="3"/>
      <c r="L55" s="3"/>
      <c r="N55" s="3"/>
      <c r="O55" s="3"/>
      <c r="P55" s="3"/>
      <c r="Q55" s="3"/>
      <c r="R55" s="3"/>
      <c r="S55" s="16"/>
    </row>
    <row r="56" spans="2:19">
      <c r="B56" s="65" t="s">
        <v>166</v>
      </c>
      <c r="C56" s="121">
        <f>SUM(C50,C53:C54)</f>
        <v>8139.8943873849985</v>
      </c>
      <c r="D56" s="121">
        <f>SUM(D50,D53:D54)</f>
        <v>9495.3960609786664</v>
      </c>
      <c r="E56" s="121">
        <f>SUM(E50,E53:E54)</f>
        <v>10684.007591504002</v>
      </c>
      <c r="F56" s="121">
        <f t="shared" ref="F56:G56" si="94">SUM(F50,F53:F54)</f>
        <v>12270.832740015998</v>
      </c>
      <c r="G56" s="121">
        <f t="shared" si="94"/>
        <v>13972.549725227998</v>
      </c>
      <c r="H56" s="18">
        <f>IFERROR(_xlfn.RRI(3,D56,G56), "N/A")</f>
        <v>0.13741999843493513</v>
      </c>
      <c r="J56" s="121">
        <f>SUM(J50,J53:J54)</f>
        <v>3002.5179098609806</v>
      </c>
      <c r="K56" s="121">
        <f>SUM(K50,K53:K54)</f>
        <v>6784.6424247352006</v>
      </c>
      <c r="L56" s="121">
        <f>SUM(L50,L53:L54)</f>
        <v>10068.397824746669</v>
      </c>
      <c r="N56" s="121">
        <f>SUM(N50,N53:N54)</f>
        <v>8139.8943873849985</v>
      </c>
      <c r="O56" s="121">
        <f>SUM(O50,O53:O54)</f>
        <v>9495.3960609786664</v>
      </c>
      <c r="P56" s="121">
        <f>SUM(P50,P53:P54)</f>
        <v>13686.525501364982</v>
      </c>
      <c r="Q56" s="121">
        <f t="shared" ref="Q56:R56" si="95">SUM(Q50,Q53:Q54)</f>
        <v>19055.475164751202</v>
      </c>
      <c r="R56" s="121">
        <f t="shared" si="95"/>
        <v>24040.947549974666</v>
      </c>
      <c r="S56" s="18">
        <f>IFERROR(_xlfn.RRI(3,O56,R56), "N/A")</f>
        <v>0.36294866599138298</v>
      </c>
    </row>
    <row r="57" spans="2:19">
      <c r="B57" s="66" t="s">
        <v>167</v>
      </c>
      <c r="C57" s="67">
        <f>C56/C$47</f>
        <v>0.77282166253054352</v>
      </c>
      <c r="D57" s="67">
        <f>D56/D$47</f>
        <v>0.78894748046266772</v>
      </c>
      <c r="E57" s="67">
        <f>E56/E$47</f>
        <v>0.77837746369553917</v>
      </c>
      <c r="F57" s="67">
        <f t="shared" ref="F57:G57" si="96">F56/F$47</f>
        <v>0.77970776225088134</v>
      </c>
      <c r="G57" s="67">
        <f t="shared" si="96"/>
        <v>0.77612715388711417</v>
      </c>
      <c r="H57" s="100"/>
      <c r="J57" s="67">
        <f>J56/J$47</f>
        <v>0.71637130228337786</v>
      </c>
      <c r="K57" s="67">
        <f>K56/K$47</f>
        <v>0.71868847513370704</v>
      </c>
      <c r="L57" s="67">
        <f>L56/L$47</f>
        <v>0.72409715753943804</v>
      </c>
      <c r="N57" s="67">
        <f>N56/N$47</f>
        <v>0.77282166253054352</v>
      </c>
      <c r="O57" s="67">
        <f>O56/O$47</f>
        <v>0.78894748046266772</v>
      </c>
      <c r="P57" s="67">
        <f>P56/P$47</f>
        <v>0.76387271987473249</v>
      </c>
      <c r="Q57" s="67">
        <f t="shared" ref="Q57" si="97">Q56/Q$47</f>
        <v>0.7568290578063106</v>
      </c>
      <c r="R57" s="67">
        <f t="shared" ref="R57" si="98">R56/R$47</f>
        <v>0.75345346549788095</v>
      </c>
      <c r="S57" s="100"/>
    </row>
    <row r="58" spans="2:19" ht="6" customHeight="1">
      <c r="B58" s="49"/>
      <c r="C58" s="3"/>
      <c r="D58" s="3"/>
      <c r="E58" s="3"/>
      <c r="F58" s="3"/>
      <c r="G58" s="3"/>
      <c r="H58" s="16"/>
      <c r="J58" s="3"/>
      <c r="K58" s="3"/>
      <c r="L58" s="3"/>
      <c r="N58" s="3"/>
      <c r="O58" s="3"/>
      <c r="P58" s="3"/>
      <c r="Q58" s="3"/>
      <c r="R58" s="3"/>
      <c r="S58" s="16"/>
    </row>
    <row r="59" spans="2:19">
      <c r="B59" t="s">
        <v>168</v>
      </c>
      <c r="C59" s="91">
        <f>'2025A'!F59</f>
        <v>-548</v>
      </c>
      <c r="D59" s="91">
        <f>'2025A'!C59</f>
        <v>-629</v>
      </c>
      <c r="E59" s="91">
        <f>'2026B'!C59</f>
        <v>-861.64400000000001</v>
      </c>
      <c r="F59" s="91">
        <f>'3YP'!F59</f>
        <v>-1000</v>
      </c>
      <c r="G59" s="91">
        <f>'3YP'!G59</f>
        <v>-1100</v>
      </c>
      <c r="H59" s="16">
        <f t="shared" ref="H59:H60" si="99">IFERROR(_xlfn.RRI(3,D59,G59), "N/A")</f>
        <v>0.20479737670970688</v>
      </c>
      <c r="J59" s="91">
        <f>SUM('Initiatives Summary'!C59:U59)</f>
        <v>-1681.917498214</v>
      </c>
      <c r="K59" s="91">
        <f>SUM('Initiatives Summary'!W59:AO59)</f>
        <v>-1928.7735476782</v>
      </c>
      <c r="L59" s="91">
        <f>SUM('Initiatives Summary'!AQ59:BI59)</f>
        <v>-1888.5114872138402</v>
      </c>
      <c r="N59" s="91">
        <f t="shared" ref="N59:N60" si="100">C59</f>
        <v>-548</v>
      </c>
      <c r="O59" s="91">
        <f t="shared" ref="O59:O60" si="101">D59</f>
        <v>-629</v>
      </c>
      <c r="P59" s="91">
        <f t="shared" ref="P59:P60" si="102">E59+J59</f>
        <v>-2543.561498214</v>
      </c>
      <c r="Q59" s="91">
        <f t="shared" ref="Q59:Q60" si="103">F59+K59</f>
        <v>-2928.7735476782</v>
      </c>
      <c r="R59" s="91">
        <f t="shared" ref="R59:R60" si="104">G59+L59</f>
        <v>-2988.5114872138402</v>
      </c>
      <c r="S59" s="16">
        <f t="shared" ref="S59:S60" si="105">IFERROR(_xlfn.RRI(3,O59,R59), "N/A")</f>
        <v>0.68113050226255134</v>
      </c>
    </row>
    <row r="60" spans="2:19">
      <c r="B60" t="s">
        <v>169</v>
      </c>
      <c r="C60" s="91">
        <f>'2025A'!F60</f>
        <v>-273</v>
      </c>
      <c r="D60" s="91">
        <f>'2025A'!C60</f>
        <v>-222</v>
      </c>
      <c r="E60" s="91">
        <f>'2026B'!C60</f>
        <v>-299.04899999999998</v>
      </c>
      <c r="F60" s="91">
        <f>'3YP'!F60</f>
        <v>-328.95389999999998</v>
      </c>
      <c r="G60" s="91">
        <f>'3YP'!G60</f>
        <v>-361.84929</v>
      </c>
      <c r="H60" s="16">
        <f t="shared" si="99"/>
        <v>0.1768603111268503</v>
      </c>
      <c r="J60" s="91">
        <f>SUM('Initiatives Summary'!C60:U60)</f>
        <v>-419.02074910700003</v>
      </c>
      <c r="K60" s="91">
        <f>SUM('Initiatives Summary'!W60:AO60)</f>
        <v>-495.11687383909998</v>
      </c>
      <c r="L60" s="91">
        <f>SUM('Initiatives Summary'!AQ60:BI60)</f>
        <v>-517.65634860692012</v>
      </c>
      <c r="N60" s="91">
        <f t="shared" si="100"/>
        <v>-273</v>
      </c>
      <c r="O60" s="91">
        <f t="shared" si="101"/>
        <v>-222</v>
      </c>
      <c r="P60" s="91">
        <f t="shared" si="102"/>
        <v>-718.06974910700001</v>
      </c>
      <c r="Q60" s="91">
        <f t="shared" si="103"/>
        <v>-824.07077383909996</v>
      </c>
      <c r="R60" s="91">
        <f t="shared" si="104"/>
        <v>-879.50563860692012</v>
      </c>
      <c r="S60" s="16">
        <f t="shared" si="105"/>
        <v>0.58232328066031358</v>
      </c>
    </row>
    <row r="61" spans="2:19" ht="6" customHeight="1">
      <c r="B61" s="49"/>
      <c r="C61" s="3"/>
      <c r="D61" s="3"/>
      <c r="E61" s="3"/>
      <c r="F61" s="3"/>
      <c r="G61" s="3"/>
      <c r="H61" s="16"/>
      <c r="J61" s="3"/>
      <c r="K61" s="3"/>
      <c r="L61" s="3"/>
      <c r="N61" s="3"/>
      <c r="O61" s="3"/>
      <c r="P61" s="3"/>
      <c r="Q61" s="3"/>
      <c r="R61" s="3"/>
      <c r="S61" s="16"/>
    </row>
    <row r="62" spans="2:19">
      <c r="B62" s="65" t="s">
        <v>170</v>
      </c>
      <c r="C62" s="121">
        <f>SUM(C56,C59:C60)</f>
        <v>7318.8943873849985</v>
      </c>
      <c r="D62" s="121">
        <f>SUM(D56,D59:D60)</f>
        <v>8644.3960609786664</v>
      </c>
      <c r="E62" s="121">
        <f>SUM(E56,E59:E60)</f>
        <v>9523.3145915040004</v>
      </c>
      <c r="F62" s="121">
        <f t="shared" ref="F62:G62" si="106">SUM(F56,F59:F60)</f>
        <v>10941.878840015997</v>
      </c>
      <c r="G62" s="121">
        <f t="shared" si="106"/>
        <v>12510.700435227998</v>
      </c>
      <c r="H62" s="18">
        <f>IFERROR(_xlfn.RRI(3,D62,G62), "N/A")</f>
        <v>0.1311381656540096</v>
      </c>
      <c r="J62" s="121">
        <f>SUM(J56,J59:J60)</f>
        <v>901.57966253998052</v>
      </c>
      <c r="K62" s="121">
        <f>SUM(K56,K59:K60)</f>
        <v>4360.7520032179009</v>
      </c>
      <c r="L62" s="121">
        <f>SUM(L56,L59:L60)</f>
        <v>7662.2299889259093</v>
      </c>
      <c r="N62" s="121">
        <f>SUM(N56,N59:N60)</f>
        <v>7318.8943873849985</v>
      </c>
      <c r="O62" s="121">
        <f>SUM(O56,O59:O60)</f>
        <v>8644.3960609786664</v>
      </c>
      <c r="P62" s="121">
        <f>SUM(P56,P59:P60)</f>
        <v>10424.894254043982</v>
      </c>
      <c r="Q62" s="121">
        <f t="shared" ref="Q62:R62" si="107">SUM(Q56,Q59:Q60)</f>
        <v>15302.630843233903</v>
      </c>
      <c r="R62" s="121">
        <f t="shared" si="107"/>
        <v>20172.930424153907</v>
      </c>
      <c r="S62" s="18">
        <f>IFERROR(_xlfn.RRI(3,O62,R62), "N/A")</f>
        <v>0.32641098914454614</v>
      </c>
    </row>
    <row r="63" spans="2:19">
      <c r="B63" s="66" t="s">
        <v>171</v>
      </c>
      <c r="C63" s="67">
        <f>C62/C$47</f>
        <v>0.69487389628914276</v>
      </c>
      <c r="D63" s="67">
        <f>D62/D$47</f>
        <v>0.71824012907236334</v>
      </c>
      <c r="E63" s="67">
        <f>E62/E$47</f>
        <v>0.69381581716623464</v>
      </c>
      <c r="F63" s="67">
        <f t="shared" ref="F63:G63" si="108">F62/F$47</f>
        <v>0.6952639683000047</v>
      </c>
      <c r="G63" s="67">
        <f t="shared" si="108"/>
        <v>0.6949264459868898</v>
      </c>
      <c r="H63" s="100"/>
      <c r="J63" s="67">
        <f>J62/J$47</f>
        <v>0.21510805808844563</v>
      </c>
      <c r="K63" s="67">
        <f>K62/K$47</f>
        <v>0.46192886985510517</v>
      </c>
      <c r="L63" s="67">
        <f>L62/L$47</f>
        <v>0.55105082774520675</v>
      </c>
      <c r="N63" s="67">
        <f>N62/N$47</f>
        <v>0.69487389628914276</v>
      </c>
      <c r="O63" s="67">
        <f>O62/O$47</f>
        <v>0.71824012907236334</v>
      </c>
      <c r="P63" s="67">
        <f>P62/P$47</f>
        <v>0.58183447124318388</v>
      </c>
      <c r="Q63" s="67">
        <f t="shared" ref="Q63" si="109">Q62/Q$47</f>
        <v>0.60777679815961272</v>
      </c>
      <c r="R63" s="67">
        <f t="shared" ref="R63" si="110">R62/R$47</f>
        <v>0.63222817260971131</v>
      </c>
      <c r="S63" s="100"/>
    </row>
    <row r="64" spans="2:19" ht="6" customHeight="1">
      <c r="B64" s="49"/>
      <c r="C64" s="3"/>
      <c r="D64" s="3"/>
      <c r="E64" s="3"/>
      <c r="F64" s="3"/>
      <c r="G64" s="3"/>
      <c r="H64" s="16"/>
      <c r="J64" s="3"/>
      <c r="K64" s="3"/>
      <c r="L64" s="3"/>
      <c r="N64" s="3"/>
      <c r="O64" s="3"/>
      <c r="P64" s="3"/>
      <c r="Q64" s="3"/>
      <c r="R64" s="3"/>
      <c r="S64" s="16"/>
    </row>
    <row r="65" spans="2:19">
      <c r="B65" t="s">
        <v>172</v>
      </c>
      <c r="C65" s="91">
        <f>'2025A'!F65</f>
        <v>-4405</v>
      </c>
      <c r="D65" s="91">
        <f>'2025A'!C65</f>
        <v>-4690.5624749999997</v>
      </c>
      <c r="E65" s="91">
        <f>'2026B'!C65</f>
        <v>-4997</v>
      </c>
      <c r="F65" s="91">
        <f>'3YP'!F65</f>
        <v>-5196.88</v>
      </c>
      <c r="G65" s="91">
        <f>'3YP'!G65</f>
        <v>-5404.7552000000005</v>
      </c>
      <c r="H65" s="16">
        <f t="shared" ref="H65:H66" si="111">IFERROR(_xlfn.RRI(3,D65,G65), "N/A")</f>
        <v>4.8375913390342085E-2</v>
      </c>
      <c r="J65" s="91">
        <f>SUM('Initiatives Summary'!C65:U65)</f>
        <v>-628.33908821255</v>
      </c>
      <c r="K65" s="91">
        <f>SUM('Initiatives Summary'!W65:AO65)</f>
        <v>-1036.0293590485001</v>
      </c>
      <c r="L65" s="91">
        <f>SUM('Initiatives Summary'!AQ65:BI65)</f>
        <v>-1351.6073648382001</v>
      </c>
      <c r="N65" s="91">
        <f t="shared" ref="N65:N66" si="112">C65</f>
        <v>-4405</v>
      </c>
      <c r="O65" s="91">
        <f t="shared" ref="O65:O66" si="113">D65</f>
        <v>-4690.5624749999997</v>
      </c>
      <c r="P65" s="91">
        <f t="shared" ref="P65:P66" si="114">E65+J65</f>
        <v>-5625.3390882125495</v>
      </c>
      <c r="Q65" s="91">
        <f t="shared" ref="Q65:Q66" si="115">F65+K65</f>
        <v>-6232.9093590484999</v>
      </c>
      <c r="R65" s="91">
        <f t="shared" ref="R65:R66" si="116">G65+L65</f>
        <v>-6756.3625648382003</v>
      </c>
      <c r="S65" s="16">
        <f t="shared" ref="S65:S66" si="117">IFERROR(_xlfn.RRI(3,O65,R65), "N/A")</f>
        <v>0.12935204005787382</v>
      </c>
    </row>
    <row r="66" spans="2:19">
      <c r="B66" t="s">
        <v>173</v>
      </c>
      <c r="C66" s="91">
        <f>'2025A'!F66</f>
        <v>-1398</v>
      </c>
      <c r="D66" s="91">
        <f>'2025A'!C66</f>
        <v>-1528.3859199999999</v>
      </c>
      <c r="E66" s="91">
        <f>'2026B'!C66</f>
        <v>-1620.8430699999999</v>
      </c>
      <c r="F66" s="91">
        <f>'3YP'!F66</f>
        <v>-1685.6767927999999</v>
      </c>
      <c r="G66" s="91">
        <f>'3YP'!G66</f>
        <v>-1753.103864512</v>
      </c>
      <c r="H66" s="16">
        <f t="shared" si="111"/>
        <v>4.6786724720556672E-2</v>
      </c>
      <c r="J66" s="91">
        <f>SUM('Initiatives Summary'!C66:U66)</f>
        <v>-145</v>
      </c>
      <c r="K66" s="91">
        <f>SUM('Initiatives Summary'!W66:AO66)</f>
        <v>-183</v>
      </c>
      <c r="L66" s="91">
        <f>SUM('Initiatives Summary'!AQ66:BI66)</f>
        <v>-232.3</v>
      </c>
      <c r="N66" s="91">
        <f t="shared" si="112"/>
        <v>-1398</v>
      </c>
      <c r="O66" s="91">
        <f t="shared" si="113"/>
        <v>-1528.3859199999999</v>
      </c>
      <c r="P66" s="91">
        <f t="shared" si="114"/>
        <v>-1765.8430699999999</v>
      </c>
      <c r="Q66" s="91">
        <f t="shared" si="115"/>
        <v>-1868.6767927999999</v>
      </c>
      <c r="R66" s="91">
        <f t="shared" si="116"/>
        <v>-1985.4038645119999</v>
      </c>
      <c r="S66" s="16">
        <f t="shared" si="117"/>
        <v>9.1118564242424149E-2</v>
      </c>
    </row>
    <row r="67" spans="2:19" ht="6" customHeight="1">
      <c r="B67" s="49"/>
      <c r="C67" s="3"/>
      <c r="D67" s="3"/>
      <c r="E67" s="3"/>
      <c r="F67" s="3"/>
      <c r="G67" s="3"/>
      <c r="H67" s="16"/>
      <c r="J67" s="3"/>
      <c r="K67" s="3"/>
      <c r="L67" s="3"/>
      <c r="N67" s="3"/>
      <c r="O67" s="3"/>
      <c r="P67" s="3"/>
      <c r="Q67" s="3"/>
      <c r="R67" s="3"/>
      <c r="S67" s="16"/>
    </row>
    <row r="68" spans="2:19">
      <c r="B68" s="65" t="s">
        <v>174</v>
      </c>
      <c r="C68" s="121">
        <f>SUM(C62,C65:C66)</f>
        <v>1515.8943873849985</v>
      </c>
      <c r="D68" s="121">
        <f>SUM(D62,D65:D66)</f>
        <v>2425.4476659786669</v>
      </c>
      <c r="E68" s="121">
        <f>SUM(E62,E65:E66)</f>
        <v>2905.4715215040005</v>
      </c>
      <c r="F68" s="121">
        <f t="shared" ref="F68:G68" si="118">SUM(F62,F65:F66)</f>
        <v>4059.3220472159974</v>
      </c>
      <c r="G68" s="121">
        <f t="shared" si="118"/>
        <v>5352.841370715998</v>
      </c>
      <c r="H68" s="18">
        <f>IFERROR(_xlfn.RRI(3,D68,G68), "N/A")</f>
        <v>0.30195954055210938</v>
      </c>
      <c r="J68" s="121">
        <f>SUM(J62,J65:J66)</f>
        <v>128.24057432743052</v>
      </c>
      <c r="K68" s="121">
        <f>SUM(K62,K65:K66)</f>
        <v>3141.7226441694011</v>
      </c>
      <c r="L68" s="121">
        <f>SUM(L62,L65:L66)</f>
        <v>6078.3226240877093</v>
      </c>
      <c r="N68" s="121">
        <f>SUM(N62,N65:N66)</f>
        <v>1515.8943873849985</v>
      </c>
      <c r="O68" s="121">
        <f>SUM(O62,O65:O66)</f>
        <v>2425.4476659786669</v>
      </c>
      <c r="P68" s="121">
        <f>SUM(P62,P65:P66)</f>
        <v>3033.7120958314326</v>
      </c>
      <c r="Q68" s="121">
        <f t="shared" ref="Q68:R68" si="119">SUM(Q62,Q65:Q66)</f>
        <v>7201.0446913854039</v>
      </c>
      <c r="R68" s="121">
        <f t="shared" si="119"/>
        <v>11431.163994803706</v>
      </c>
      <c r="S68" s="18">
        <f>IFERROR(_xlfn.RRI(3,O68,R68), "N/A")</f>
        <v>0.67661307635354628</v>
      </c>
    </row>
    <row r="69" spans="2:19">
      <c r="B69" s="66" t="s">
        <v>175</v>
      </c>
      <c r="C69" s="67">
        <f>C68/C$47</f>
        <v>0.14392275439042307</v>
      </c>
      <c r="D69" s="67">
        <f>D68/D$47</f>
        <v>0.2015240662716182</v>
      </c>
      <c r="E69" s="67">
        <f>E68/E$47</f>
        <v>0.2116765206668616</v>
      </c>
      <c r="F69" s="67">
        <f t="shared" ref="F69:G69" si="120">F68/F$47</f>
        <v>0.25793562480636706</v>
      </c>
      <c r="G69" s="67">
        <f t="shared" si="120"/>
        <v>0.2973319558678626</v>
      </c>
      <c r="H69" s="100"/>
      <c r="J69" s="67">
        <f>J68/J$47</f>
        <v>3.0596942297927303E-2</v>
      </c>
      <c r="K69" s="67">
        <f>K68/K$47</f>
        <v>0.33279865246830159</v>
      </c>
      <c r="L69" s="67">
        <f>L68/L$47</f>
        <v>0.43713967319525432</v>
      </c>
      <c r="N69" s="67">
        <f>N68/N$47</f>
        <v>0.14392275439042307</v>
      </c>
      <c r="O69" s="67">
        <f>O68/O$47</f>
        <v>0.2015240662716182</v>
      </c>
      <c r="P69" s="67">
        <f>P68/P$47</f>
        <v>0.16931761897703812</v>
      </c>
      <c r="Q69" s="67">
        <f t="shared" ref="Q69" si="121">Q68/Q$47</f>
        <v>0.28600493148991007</v>
      </c>
      <c r="R69" s="67">
        <f t="shared" ref="R69" si="122">R68/R$47</f>
        <v>0.35825751496090802</v>
      </c>
      <c r="S69" s="100"/>
    </row>
    <row r="70" spans="2:19" ht="6" customHeight="1">
      <c r="B70" s="49"/>
      <c r="C70" s="3"/>
      <c r="D70" s="3"/>
      <c r="E70" s="3"/>
      <c r="F70" s="3"/>
      <c r="G70" s="3"/>
      <c r="H70" s="16"/>
      <c r="J70" s="3"/>
      <c r="K70" s="3"/>
      <c r="L70" s="3"/>
      <c r="N70" s="3"/>
      <c r="O70" s="3"/>
      <c r="P70" s="3"/>
      <c r="Q70" s="3"/>
      <c r="R70" s="3"/>
      <c r="S70" s="16"/>
    </row>
    <row r="71" spans="2:19">
      <c r="B71" t="s">
        <v>176</v>
      </c>
      <c r="C71" s="91">
        <f>'2025A'!F71</f>
        <v>-1673</v>
      </c>
      <c r="D71" s="91">
        <f>'2025A'!C71</f>
        <v>-1130</v>
      </c>
      <c r="E71" s="91">
        <f>'2026B'!C71</f>
        <v>-741.32</v>
      </c>
      <c r="F71" s="91">
        <f>'3YP'!F71</f>
        <v>-641.32000000000005</v>
      </c>
      <c r="G71" s="91">
        <f>'3YP'!G71</f>
        <v>-591.32000000000005</v>
      </c>
      <c r="H71" s="16">
        <f>IFERROR(_xlfn.RRI(3,D71,G71), "N/A")</f>
        <v>-0.19416144611359965</v>
      </c>
      <c r="J71" s="91">
        <f>SUM('Initiatives Summary'!C71:U71)</f>
        <v>-1019.3424589</v>
      </c>
      <c r="K71" s="91">
        <f>SUM('Initiatives Summary'!W71:AO71)</f>
        <v>-972.67519657000003</v>
      </c>
      <c r="L71" s="91">
        <f>SUM('Initiatives Summary'!AQ71:BI71)</f>
        <v>-835.35023588400009</v>
      </c>
      <c r="N71" s="91">
        <f>C71</f>
        <v>-1673</v>
      </c>
      <c r="O71" s="91">
        <f>D71</f>
        <v>-1130</v>
      </c>
      <c r="P71" s="91">
        <f t="shared" ref="P71" si="123">E71+J71</f>
        <v>-1760.6624589</v>
      </c>
      <c r="Q71" s="91">
        <f t="shared" ref="Q71" si="124">F71+K71</f>
        <v>-1613.9951965700002</v>
      </c>
      <c r="R71" s="91">
        <f t="shared" ref="R71" si="125">G71+L71</f>
        <v>-1426.6702358840002</v>
      </c>
      <c r="S71" s="16">
        <f>IFERROR(_xlfn.RRI(3,O71,R71), "N/A")</f>
        <v>8.0807589762538212E-2</v>
      </c>
    </row>
    <row r="72" spans="2:19" ht="6" customHeight="1">
      <c r="B72" s="49"/>
      <c r="C72" s="3"/>
      <c r="D72" s="3"/>
      <c r="E72" s="3"/>
      <c r="F72" s="3"/>
      <c r="G72" s="3"/>
      <c r="H72" s="16"/>
      <c r="J72" s="3"/>
      <c r="K72" s="3"/>
      <c r="L72" s="3"/>
      <c r="N72" s="3"/>
      <c r="O72" s="3"/>
      <c r="P72" s="3"/>
      <c r="Q72" s="3"/>
      <c r="R72" s="3"/>
      <c r="S72" s="16"/>
    </row>
    <row r="73" spans="2:19">
      <c r="B73" s="65" t="s">
        <v>177</v>
      </c>
      <c r="C73" s="121">
        <f>SUM(C68,C71)</f>
        <v>-157.10561261500152</v>
      </c>
      <c r="D73" s="121">
        <f>SUM(D68,D71)</f>
        <v>1295.4476659786669</v>
      </c>
      <c r="E73" s="121">
        <f>SUM(E68,E71)</f>
        <v>2164.1515215040004</v>
      </c>
      <c r="F73" s="121">
        <f t="shared" ref="F73:G73" si="126">SUM(F68,F71)</f>
        <v>3418.0020472159972</v>
      </c>
      <c r="G73" s="121">
        <f t="shared" si="126"/>
        <v>4761.5213707159983</v>
      </c>
      <c r="H73" s="18">
        <f>IFERROR(_xlfn.RRI(3,D73,G73), "N/A")</f>
        <v>0.54327014600947443</v>
      </c>
      <c r="J73" s="121">
        <f>SUM(J68,J71)</f>
        <v>-891.10188457256947</v>
      </c>
      <c r="K73" s="121">
        <f>SUM(K68,K71)</f>
        <v>2169.047447599401</v>
      </c>
      <c r="L73" s="121">
        <f>SUM(L68,L71)</f>
        <v>5242.9723882037088</v>
      </c>
      <c r="N73" s="121">
        <f>SUM(N68,N71)</f>
        <v>-157.10561261500152</v>
      </c>
      <c r="O73" s="121">
        <f>SUM(O68,O71)</f>
        <v>1295.4476659786669</v>
      </c>
      <c r="P73" s="121">
        <f>SUM(P68,P71)</f>
        <v>1273.0496369314326</v>
      </c>
      <c r="Q73" s="121">
        <f t="shared" ref="Q73:R73" si="127">SUM(Q68,Q71)</f>
        <v>5587.0494948154037</v>
      </c>
      <c r="R73" s="121">
        <f t="shared" si="127"/>
        <v>10004.493758919707</v>
      </c>
      <c r="S73" s="18">
        <f>IFERROR(_xlfn.RRI(3,O73,R73), "N/A")</f>
        <v>0.9766286303606353</v>
      </c>
    </row>
    <row r="74" spans="2:19">
      <c r="B74" s="66" t="s">
        <v>178</v>
      </c>
      <c r="C74" s="67">
        <f>C73/C$47</f>
        <v>-1.491599460088454E-2</v>
      </c>
      <c r="D74" s="67">
        <f>D73/D$47</f>
        <v>0.10763533880858191</v>
      </c>
      <c r="E74" s="67">
        <f>E73/E$47</f>
        <v>0.15766806209503945</v>
      </c>
      <c r="F74" s="67">
        <f t="shared" ref="F74:G74" si="128">F73/F$47</f>
        <v>0.21718515638411692</v>
      </c>
      <c r="G74" s="67">
        <f t="shared" si="128"/>
        <v>0.26448616052902801</v>
      </c>
      <c r="H74" s="100"/>
      <c r="J74" s="67">
        <f>J73/J$47</f>
        <v>-0.21260816310933531</v>
      </c>
      <c r="K74" s="67">
        <f>K73/K$47</f>
        <v>0.22976441572286904</v>
      </c>
      <c r="L74" s="67">
        <f>L73/L$47</f>
        <v>0.37706311067933856</v>
      </c>
      <c r="N74" s="67">
        <f>N73/N$47</f>
        <v>-1.491599460088454E-2</v>
      </c>
      <c r="O74" s="67">
        <f>O73/O$47</f>
        <v>0.10763533880858191</v>
      </c>
      <c r="P74" s="67">
        <f>P73/P$47</f>
        <v>7.1051479690836805E-2</v>
      </c>
      <c r="Q74" s="67">
        <f t="shared" ref="Q74" si="129">Q73/Q$47</f>
        <v>0.22190165128498776</v>
      </c>
      <c r="R74" s="67">
        <f t="shared" ref="R74" si="130">R73/R$47</f>
        <v>0.31354506628911633</v>
      </c>
      <c r="S74" s="100"/>
    </row>
    <row r="80" spans="2:19">
      <c r="B80" s="74"/>
      <c r="C80" s="74" t="s">
        <v>273</v>
      </c>
      <c r="D80" s="74" t="s">
        <v>257</v>
      </c>
      <c r="E80" s="74" t="s">
        <v>275</v>
      </c>
      <c r="F80" s="74" t="s">
        <v>279</v>
      </c>
      <c r="G80" s="74" t="s">
        <v>280</v>
      </c>
      <c r="J80" s="74" t="s">
        <v>275</v>
      </c>
      <c r="K80" s="74" t="s">
        <v>279</v>
      </c>
      <c r="L80" s="74" t="s">
        <v>280</v>
      </c>
      <c r="N80" s="74" t="s">
        <v>273</v>
      </c>
      <c r="O80" s="74" t="s">
        <v>257</v>
      </c>
      <c r="P80" s="74" t="s">
        <v>275</v>
      </c>
      <c r="Q80" s="74" t="s">
        <v>279</v>
      </c>
      <c r="R80" s="74" t="s">
        <v>280</v>
      </c>
    </row>
    <row r="81" spans="2:19" ht="6" customHeight="1">
      <c r="B81" s="49"/>
      <c r="C81" s="3"/>
      <c r="D81" s="3"/>
      <c r="E81" s="3"/>
      <c r="F81" s="3"/>
      <c r="G81" s="3"/>
      <c r="H81" s="16"/>
      <c r="J81" s="3"/>
      <c r="K81" s="3"/>
      <c r="L81" s="3"/>
      <c r="N81" s="3"/>
      <c r="O81" s="3"/>
      <c r="P81" s="3"/>
      <c r="Q81" s="3"/>
      <c r="R81" s="3"/>
      <c r="S81" s="16"/>
    </row>
    <row r="82" spans="2:19">
      <c r="B82" s="6" t="s">
        <v>177</v>
      </c>
      <c r="C82" s="134">
        <f>'Cash Flows'!C4</f>
        <v>-157.10561261500152</v>
      </c>
      <c r="D82" s="134">
        <f>'Cash Flows'!D4</f>
        <v>1295.4476659786669</v>
      </c>
      <c r="E82" s="134">
        <f>'Cash Flows'!E4</f>
        <v>2164.1515215040004</v>
      </c>
      <c r="F82" s="134">
        <f>'Cash Flows'!F4</f>
        <v>3418.0020472159972</v>
      </c>
      <c r="G82" s="134">
        <f>'Cash Flows'!G4</f>
        <v>4761.5213707159983</v>
      </c>
      <c r="J82" s="134">
        <f>P82-E82</f>
        <v>-891.10188457256777</v>
      </c>
      <c r="K82" s="134">
        <f t="shared" ref="K82:L82" si="131">Q82-F82</f>
        <v>2169.0474475994065</v>
      </c>
      <c r="L82" s="134">
        <f t="shared" si="131"/>
        <v>5242.9723882037088</v>
      </c>
      <c r="N82" s="134">
        <f>C82</f>
        <v>-157.10561261500152</v>
      </c>
      <c r="O82" s="134">
        <f>D82</f>
        <v>1295.4476659786669</v>
      </c>
      <c r="P82" s="134">
        <f>P73</f>
        <v>1273.0496369314326</v>
      </c>
      <c r="Q82" s="134">
        <f t="shared" ref="Q82:R82" si="132">Q73</f>
        <v>5587.0494948154037</v>
      </c>
      <c r="R82" s="134">
        <f t="shared" si="132"/>
        <v>10004.493758919707</v>
      </c>
    </row>
    <row r="83" spans="2:19" ht="6" customHeight="1">
      <c r="B83" s="49"/>
      <c r="C83" s="3"/>
      <c r="D83" s="3"/>
      <c r="E83" s="3"/>
      <c r="F83" s="3"/>
      <c r="G83" s="3"/>
      <c r="H83" s="16"/>
      <c r="J83" s="3"/>
      <c r="K83" s="3"/>
      <c r="L83" s="3"/>
      <c r="N83" s="3"/>
      <c r="O83" s="3"/>
      <c r="P83" s="3"/>
      <c r="Q83" s="3"/>
      <c r="R83" s="3"/>
      <c r="S83" s="16"/>
    </row>
    <row r="84" spans="2:19">
      <c r="B84" t="s">
        <v>300</v>
      </c>
      <c r="C84" s="91">
        <f>'Cash Flows'!C6</f>
        <v>-768</v>
      </c>
      <c r="D84" s="91">
        <f>'Cash Flows'!D6</f>
        <v>-2045.3891741369862</v>
      </c>
      <c r="E84" s="91">
        <f>'Cash Flows'!E6</f>
        <v>-171.05791082498718</v>
      </c>
      <c r="F84" s="91">
        <f>'Cash Flows'!F6</f>
        <v>-345.53702210016468</v>
      </c>
      <c r="G84" s="91">
        <f>'Cash Flows'!G6</f>
        <v>-333.00900345260425</v>
      </c>
      <c r="J84" s="91">
        <f t="shared" ref="J84:J85" si="133">P84-E84</f>
        <v>-200</v>
      </c>
      <c r="K84" s="91">
        <f t="shared" ref="K84:K85" si="134">Q84-F84</f>
        <v>-219.27611086363368</v>
      </c>
      <c r="L84" s="91">
        <f t="shared" ref="L84:L85" si="135">R84-G84</f>
        <v>-366.68049436113211</v>
      </c>
      <c r="N84" s="91">
        <f t="shared" ref="N84:O85" si="136">C84</f>
        <v>-768</v>
      </c>
      <c r="O84" s="91">
        <f t="shared" si="136"/>
        <v>-2045.3891741369862</v>
      </c>
      <c r="P84" s="91">
        <f>E84-200</f>
        <v>-371.05791082498718</v>
      </c>
      <c r="Q84" s="91">
        <f>F84/F82*Q82</f>
        <v>-564.81313296379835</v>
      </c>
      <c r="R84" s="91">
        <f>G84/G82*R82</f>
        <v>-699.68949781373635</v>
      </c>
    </row>
    <row r="85" spans="2:19">
      <c r="B85" t="s">
        <v>301</v>
      </c>
      <c r="C85" s="91">
        <f>'Cash Flows'!C7</f>
        <v>-193</v>
      </c>
      <c r="D85" s="91">
        <f>'Cash Flows'!D7</f>
        <v>-273.82182880666664</v>
      </c>
      <c r="E85" s="91">
        <f>'Cash Flows'!E7</f>
        <v>-216.41515215040005</v>
      </c>
      <c r="F85" s="91">
        <f>'Cash Flows'!F7</f>
        <v>-341.80020472159975</v>
      </c>
      <c r="G85" s="91">
        <f>'Cash Flows'!G7</f>
        <v>-476.15213707159984</v>
      </c>
      <c r="J85" s="91">
        <f t="shared" si="133"/>
        <v>89.110188457256783</v>
      </c>
      <c r="K85" s="91">
        <f t="shared" si="134"/>
        <v>-216.90474475994068</v>
      </c>
      <c r="L85" s="91">
        <f t="shared" si="135"/>
        <v>-524.29723882037092</v>
      </c>
      <c r="N85" s="91">
        <f t="shared" si="136"/>
        <v>-193</v>
      </c>
      <c r="O85" s="91">
        <f t="shared" si="136"/>
        <v>-273.82182880666664</v>
      </c>
      <c r="P85" s="91">
        <f>-P82*10%</f>
        <v>-127.30496369314326</v>
      </c>
      <c r="Q85" s="91">
        <f t="shared" ref="Q85:R85" si="137">-Q82*10%</f>
        <v>-558.70494948154044</v>
      </c>
      <c r="R85" s="91">
        <f t="shared" si="137"/>
        <v>-1000.4493758919707</v>
      </c>
    </row>
    <row r="86" spans="2:19" ht="6" customHeight="1">
      <c r="B86" s="49"/>
      <c r="C86" s="3"/>
      <c r="D86" s="3"/>
      <c r="E86" s="3"/>
      <c r="F86" s="3"/>
      <c r="G86" s="3"/>
      <c r="H86" s="16"/>
      <c r="J86" s="3"/>
      <c r="K86" s="3"/>
      <c r="L86" s="3"/>
      <c r="N86" s="3"/>
      <c r="O86" s="3"/>
      <c r="P86" s="3"/>
      <c r="Q86" s="3"/>
      <c r="R86" s="3"/>
      <c r="S86" s="16"/>
    </row>
    <row r="87" spans="2:19">
      <c r="B87" s="102" t="s">
        <v>302</v>
      </c>
      <c r="C87" s="122">
        <f>SUM(C82:C86)</f>
        <v>-1118.1056126150015</v>
      </c>
      <c r="D87" s="122">
        <f>SUM(D82:D86)</f>
        <v>-1023.7633369649859</v>
      </c>
      <c r="E87" s="122">
        <f t="shared" ref="E87:G87" si="138">SUM(E82:E86)</f>
        <v>1776.6784585286132</v>
      </c>
      <c r="F87" s="122">
        <f t="shared" si="138"/>
        <v>2730.6648203942332</v>
      </c>
      <c r="G87" s="122">
        <f t="shared" si="138"/>
        <v>3952.3602301917945</v>
      </c>
      <c r="J87" s="122">
        <f t="shared" ref="J87" si="139">SUM(J82:J86)</f>
        <v>-1001.991696115311</v>
      </c>
      <c r="K87" s="122">
        <f t="shared" ref="K87" si="140">SUM(K82:K86)</f>
        <v>1732.8665919758321</v>
      </c>
      <c r="L87" s="122">
        <f t="shared" ref="L87" si="141">SUM(L82:L86)</f>
        <v>4351.9946550222057</v>
      </c>
      <c r="N87" s="122">
        <f>SUM(N82:N86)</f>
        <v>-1118.1056126150015</v>
      </c>
      <c r="O87" s="122">
        <f>SUM(O82:O86)</f>
        <v>-1023.7633369649859</v>
      </c>
      <c r="P87" s="122">
        <f t="shared" ref="P87" si="142">SUM(P82:P86)</f>
        <v>774.68676241330218</v>
      </c>
      <c r="Q87" s="122">
        <f t="shared" ref="Q87" si="143">SUM(Q82:Q86)</f>
        <v>4463.5314123700655</v>
      </c>
      <c r="R87" s="122">
        <f t="shared" ref="R87" si="144">SUM(R82:R86)</f>
        <v>8304.3548852139993</v>
      </c>
    </row>
    <row r="88" spans="2:19" ht="6" customHeight="1">
      <c r="B88" s="49"/>
      <c r="C88" s="3"/>
      <c r="D88" s="3"/>
      <c r="E88" s="3"/>
      <c r="F88" s="3"/>
      <c r="G88" s="3"/>
      <c r="H88" s="16"/>
      <c r="J88" s="3"/>
      <c r="K88" s="3"/>
      <c r="L88" s="3"/>
      <c r="N88" s="3"/>
      <c r="O88" s="3"/>
      <c r="P88" s="3"/>
      <c r="Q88" s="3"/>
      <c r="R88" s="3"/>
      <c r="S88" s="16"/>
    </row>
    <row r="89" spans="2:19">
      <c r="B89" t="s">
        <v>303</v>
      </c>
      <c r="C89" s="91">
        <f>'Cash Flows'!C11</f>
        <v>-392</v>
      </c>
      <c r="D89" s="91">
        <f>'Cash Flows'!D11</f>
        <v>-270</v>
      </c>
      <c r="E89" s="91">
        <f>'Cash Flows'!E11</f>
        <v>-300</v>
      </c>
      <c r="F89" s="91">
        <f>'Cash Flows'!F11</f>
        <v>-300</v>
      </c>
      <c r="G89" s="91">
        <f>'Cash Flows'!G11</f>
        <v>-300</v>
      </c>
      <c r="J89" s="91">
        <f>P89-E89</f>
        <v>-100</v>
      </c>
      <c r="K89" s="91">
        <f t="shared" ref="K89" si="145">Q89-F89</f>
        <v>-100</v>
      </c>
      <c r="L89" s="91">
        <f t="shared" ref="L89" si="146">R89-G89</f>
        <v>-100</v>
      </c>
      <c r="N89" s="91">
        <f>C89</f>
        <v>-392</v>
      </c>
      <c r="O89" s="91">
        <f>D89</f>
        <v>-270</v>
      </c>
      <c r="P89" s="91">
        <f>E89-100</f>
        <v>-400</v>
      </c>
      <c r="Q89" s="91">
        <f t="shared" ref="Q89:R89" si="147">F89-100</f>
        <v>-400</v>
      </c>
      <c r="R89" s="91">
        <f t="shared" si="147"/>
        <v>-400</v>
      </c>
    </row>
    <row r="90" spans="2:19" ht="6" customHeight="1">
      <c r="B90" s="49"/>
      <c r="C90" s="3"/>
      <c r="D90" s="3"/>
      <c r="E90" s="3"/>
      <c r="F90" s="3"/>
      <c r="G90" s="3"/>
      <c r="H90" s="16"/>
      <c r="J90" s="3"/>
      <c r="K90" s="3"/>
      <c r="L90" s="3"/>
      <c r="N90" s="3"/>
      <c r="O90" s="3"/>
      <c r="P90" s="3"/>
      <c r="Q90" s="3"/>
      <c r="R90" s="3"/>
      <c r="S90" s="16"/>
    </row>
    <row r="91" spans="2:19">
      <c r="B91" s="102" t="s">
        <v>304</v>
      </c>
      <c r="C91" s="122">
        <f>C89</f>
        <v>-392</v>
      </c>
      <c r="D91" s="122">
        <f>D89</f>
        <v>-270</v>
      </c>
      <c r="E91" s="122">
        <f t="shared" ref="E91:G91" si="148">E89</f>
        <v>-300</v>
      </c>
      <c r="F91" s="122">
        <f t="shared" si="148"/>
        <v>-300</v>
      </c>
      <c r="G91" s="122">
        <f t="shared" si="148"/>
        <v>-300</v>
      </c>
      <c r="J91" s="122">
        <f t="shared" ref="J91:L91" si="149">J89</f>
        <v>-100</v>
      </c>
      <c r="K91" s="122">
        <f t="shared" si="149"/>
        <v>-100</v>
      </c>
      <c r="L91" s="122">
        <f t="shared" si="149"/>
        <v>-100</v>
      </c>
      <c r="N91" s="122">
        <f>N89</f>
        <v>-392</v>
      </c>
      <c r="O91" s="122">
        <f>O89</f>
        <v>-270</v>
      </c>
      <c r="P91" s="122">
        <f t="shared" ref="P91:R91" si="150">P89</f>
        <v>-400</v>
      </c>
      <c r="Q91" s="122">
        <f t="shared" si="150"/>
        <v>-400</v>
      </c>
      <c r="R91" s="122">
        <f t="shared" si="150"/>
        <v>-400</v>
      </c>
    </row>
    <row r="92" spans="2:19" ht="6" customHeight="1">
      <c r="B92" s="49"/>
      <c r="C92" s="3"/>
      <c r="D92" s="3"/>
      <c r="E92" s="3"/>
      <c r="F92" s="3"/>
      <c r="G92" s="3"/>
      <c r="H92" s="16"/>
      <c r="J92" s="3"/>
      <c r="K92" s="3"/>
      <c r="L92" s="3"/>
      <c r="N92" s="3"/>
      <c r="O92" s="3"/>
      <c r="P92" s="3"/>
      <c r="Q92" s="3"/>
      <c r="R92" s="3"/>
      <c r="S92" s="16"/>
    </row>
    <row r="93" spans="2:19">
      <c r="B93" t="s">
        <v>305</v>
      </c>
      <c r="C93" s="91">
        <f>'Cash Flows'!C15</f>
        <v>0</v>
      </c>
      <c r="D93" s="91">
        <f>'Cash Flows'!D15</f>
        <v>0</v>
      </c>
      <c r="E93" s="91">
        <f>'Cash Flows'!E15</f>
        <v>0</v>
      </c>
      <c r="F93" s="91">
        <f>'Cash Flows'!F15</f>
        <v>0</v>
      </c>
      <c r="G93" s="91">
        <f>'Cash Flows'!G15</f>
        <v>0</v>
      </c>
      <c r="J93" s="91">
        <f t="shared" ref="J93:J99" si="151">P93-E93</f>
        <v>0</v>
      </c>
      <c r="K93" s="91">
        <f t="shared" ref="K93:K99" si="152">Q93-F93</f>
        <v>0</v>
      </c>
      <c r="L93" s="91">
        <f t="shared" ref="L93:L99" si="153">R93-G93</f>
        <v>0</v>
      </c>
      <c r="N93" s="91">
        <f t="shared" ref="N93:O99" si="154">C93</f>
        <v>0</v>
      </c>
      <c r="O93" s="91">
        <f t="shared" si="154"/>
        <v>0</v>
      </c>
      <c r="P93" s="91">
        <f>E93</f>
        <v>0</v>
      </c>
      <c r="Q93" s="91">
        <f t="shared" ref="Q93:R93" si="155">F93</f>
        <v>0</v>
      </c>
      <c r="R93" s="91">
        <f t="shared" si="155"/>
        <v>0</v>
      </c>
    </row>
    <row r="94" spans="2:19">
      <c r="B94" t="s">
        <v>306</v>
      </c>
      <c r="C94" s="91">
        <f>'Cash Flows'!C16</f>
        <v>600</v>
      </c>
      <c r="D94" s="91">
        <f>'Cash Flows'!D16</f>
        <v>3891</v>
      </c>
      <c r="E94" s="91">
        <f>'Cash Flows'!E16</f>
        <v>0</v>
      </c>
      <c r="F94" s="91">
        <f>'Cash Flows'!F16</f>
        <v>0</v>
      </c>
      <c r="G94" s="91">
        <f>'Cash Flows'!G16</f>
        <v>-1700</v>
      </c>
      <c r="J94" s="91">
        <f t="shared" si="151"/>
        <v>500</v>
      </c>
      <c r="K94" s="91">
        <f t="shared" si="152"/>
        <v>0</v>
      </c>
      <c r="L94" s="91">
        <f t="shared" si="153"/>
        <v>-1500</v>
      </c>
      <c r="N94" s="91">
        <f t="shared" si="154"/>
        <v>600</v>
      </c>
      <c r="O94" s="91">
        <f t="shared" si="154"/>
        <v>3891</v>
      </c>
      <c r="P94" s="91">
        <v>500</v>
      </c>
      <c r="Q94" s="91">
        <f t="shared" ref="Q94:Q99" si="156">F94</f>
        <v>0</v>
      </c>
      <c r="R94" s="91">
        <f>G94-1500</f>
        <v>-3200</v>
      </c>
    </row>
    <row r="95" spans="2:19">
      <c r="B95" t="s">
        <v>307</v>
      </c>
      <c r="C95" s="91">
        <f>'Cash Flows'!C17</f>
        <v>2900</v>
      </c>
      <c r="D95" s="91">
        <f>'Cash Flows'!D17</f>
        <v>1250</v>
      </c>
      <c r="E95" s="91">
        <f>'Cash Flows'!E17</f>
        <v>0</v>
      </c>
      <c r="F95" s="91">
        <f>'Cash Flows'!F17</f>
        <v>0</v>
      </c>
      <c r="G95" s="91">
        <f>'Cash Flows'!G17</f>
        <v>0</v>
      </c>
      <c r="J95" s="91">
        <f t="shared" si="151"/>
        <v>0</v>
      </c>
      <c r="K95" s="91">
        <f t="shared" si="152"/>
        <v>0</v>
      </c>
      <c r="L95" s="91">
        <f t="shared" si="153"/>
        <v>0</v>
      </c>
      <c r="N95" s="91">
        <f t="shared" si="154"/>
        <v>2900</v>
      </c>
      <c r="O95" s="91">
        <f t="shared" si="154"/>
        <v>1250</v>
      </c>
      <c r="P95" s="91">
        <f t="shared" ref="P95:P99" si="157">E95</f>
        <v>0</v>
      </c>
      <c r="Q95" s="91">
        <f t="shared" si="156"/>
        <v>0</v>
      </c>
      <c r="R95" s="91">
        <f t="shared" ref="R95:R99" si="158">G95</f>
        <v>0</v>
      </c>
    </row>
    <row r="96" spans="2:19">
      <c r="B96" t="s">
        <v>308</v>
      </c>
      <c r="C96" s="91">
        <f>'Cash Flows'!C18</f>
        <v>-747</v>
      </c>
      <c r="D96" s="91">
        <f>'Cash Flows'!D18</f>
        <v>-535.5</v>
      </c>
      <c r="E96" s="91">
        <f>'Cash Flows'!E18</f>
        <v>-624.75</v>
      </c>
      <c r="F96" s="91">
        <f>'Cash Flows'!F18</f>
        <v>-1338.75</v>
      </c>
      <c r="G96" s="91">
        <f>'Cash Flows'!G18</f>
        <v>-1338.75</v>
      </c>
      <c r="J96" s="91">
        <f t="shared" si="151"/>
        <v>0</v>
      </c>
      <c r="K96" s="91">
        <f t="shared" si="152"/>
        <v>0</v>
      </c>
      <c r="L96" s="91">
        <f t="shared" si="153"/>
        <v>0</v>
      </c>
      <c r="N96" s="91">
        <f t="shared" si="154"/>
        <v>-747</v>
      </c>
      <c r="O96" s="91">
        <f t="shared" si="154"/>
        <v>-535.5</v>
      </c>
      <c r="P96" s="91">
        <f t="shared" si="157"/>
        <v>-624.75</v>
      </c>
      <c r="Q96" s="91">
        <f t="shared" si="156"/>
        <v>-1338.75</v>
      </c>
      <c r="R96" s="91">
        <f t="shared" si="158"/>
        <v>-1338.75</v>
      </c>
    </row>
    <row r="97" spans="2:19">
      <c r="B97" t="s">
        <v>309</v>
      </c>
      <c r="C97" s="91">
        <f>'Cash Flows'!C19</f>
        <v>-1135</v>
      </c>
      <c r="D97" s="91">
        <f>'Cash Flows'!D19</f>
        <v>-1200</v>
      </c>
      <c r="E97" s="91">
        <f>'Cash Flows'!E19</f>
        <v>-1140.06</v>
      </c>
      <c r="F97" s="91">
        <f>'Cash Flows'!F19</f>
        <v>-956.53</v>
      </c>
      <c r="G97" s="91">
        <f>'Cash Flows'!G19</f>
        <v>-799.43000000000006</v>
      </c>
      <c r="J97" s="91">
        <f t="shared" si="151"/>
        <v>-25</v>
      </c>
      <c r="K97" s="91">
        <f t="shared" si="152"/>
        <v>-50</v>
      </c>
      <c r="L97" s="91">
        <f t="shared" si="153"/>
        <v>-30</v>
      </c>
      <c r="N97" s="91">
        <f t="shared" si="154"/>
        <v>-1135</v>
      </c>
      <c r="O97" s="91">
        <f t="shared" si="154"/>
        <v>-1200</v>
      </c>
      <c r="P97" s="91">
        <f>E97-25</f>
        <v>-1165.06</v>
      </c>
      <c r="Q97" s="91">
        <f>F97-50</f>
        <v>-1006.53</v>
      </c>
      <c r="R97" s="91">
        <f>G97-30</f>
        <v>-829.43000000000006</v>
      </c>
    </row>
    <row r="98" spans="2:19">
      <c r="B98" t="s">
        <v>310</v>
      </c>
      <c r="C98" s="91">
        <f>'Cash Flows'!C20</f>
        <v>0</v>
      </c>
      <c r="D98" s="91">
        <f>'Cash Flows'!D20</f>
        <v>-600</v>
      </c>
      <c r="E98" s="91">
        <f>'Cash Flows'!E20</f>
        <v>0</v>
      </c>
      <c r="F98" s="91">
        <f>'Cash Flows'!F20</f>
        <v>0</v>
      </c>
      <c r="G98" s="91">
        <f>'Cash Flows'!G20</f>
        <v>0</v>
      </c>
      <c r="J98" s="91">
        <f t="shared" si="151"/>
        <v>0</v>
      </c>
      <c r="K98" s="91">
        <f t="shared" si="152"/>
        <v>0</v>
      </c>
      <c r="L98" s="91">
        <f t="shared" si="153"/>
        <v>0</v>
      </c>
      <c r="N98" s="91">
        <f t="shared" si="154"/>
        <v>0</v>
      </c>
      <c r="O98" s="91">
        <f t="shared" si="154"/>
        <v>-600</v>
      </c>
      <c r="P98" s="91">
        <f t="shared" si="157"/>
        <v>0</v>
      </c>
      <c r="Q98" s="91">
        <f t="shared" si="156"/>
        <v>0</v>
      </c>
      <c r="R98" s="91">
        <f t="shared" si="158"/>
        <v>0</v>
      </c>
    </row>
    <row r="99" spans="2:19">
      <c r="B99" t="s">
        <v>311</v>
      </c>
      <c r="C99" s="91">
        <f>'Cash Flows'!C21</f>
        <v>-49</v>
      </c>
      <c r="D99" s="91">
        <f>'Cash Flows'!D21</f>
        <v>0</v>
      </c>
      <c r="E99" s="91">
        <f>'Cash Flows'!E21</f>
        <v>0</v>
      </c>
      <c r="F99" s="91">
        <f>'Cash Flows'!F21</f>
        <v>0</v>
      </c>
      <c r="G99" s="91">
        <f>'Cash Flows'!G21</f>
        <v>0</v>
      </c>
      <c r="J99" s="91">
        <f t="shared" si="151"/>
        <v>0</v>
      </c>
      <c r="K99" s="91">
        <f t="shared" si="152"/>
        <v>0</v>
      </c>
      <c r="L99" s="91">
        <f t="shared" si="153"/>
        <v>0</v>
      </c>
      <c r="N99" s="91">
        <f t="shared" si="154"/>
        <v>-49</v>
      </c>
      <c r="O99" s="91">
        <f t="shared" si="154"/>
        <v>0</v>
      </c>
      <c r="P99" s="91">
        <f t="shared" si="157"/>
        <v>0</v>
      </c>
      <c r="Q99" s="91">
        <f t="shared" si="156"/>
        <v>0</v>
      </c>
      <c r="R99" s="91">
        <f t="shared" si="158"/>
        <v>0</v>
      </c>
    </row>
    <row r="100" spans="2:19" ht="6" customHeight="1">
      <c r="B100" s="49"/>
      <c r="C100" s="3"/>
      <c r="D100" s="3"/>
      <c r="E100" s="3"/>
      <c r="F100" s="3"/>
      <c r="G100" s="3"/>
      <c r="H100" s="16"/>
      <c r="J100" s="3"/>
      <c r="K100" s="3"/>
      <c r="L100" s="3"/>
      <c r="N100" s="3"/>
      <c r="O100" s="3"/>
      <c r="P100" s="3"/>
      <c r="Q100" s="3"/>
      <c r="R100" s="3"/>
      <c r="S100" s="16"/>
    </row>
    <row r="101" spans="2:19">
      <c r="B101" s="102" t="s">
        <v>312</v>
      </c>
      <c r="C101" s="122">
        <f>SUM(C93:C99)</f>
        <v>1569</v>
      </c>
      <c r="D101" s="122">
        <f>SUM(D93:D99)</f>
        <v>2805.5</v>
      </c>
      <c r="E101" s="122">
        <f t="shared" ref="E101:G101" si="159">SUM(E93:E99)</f>
        <v>-1764.81</v>
      </c>
      <c r="F101" s="122">
        <f t="shared" si="159"/>
        <v>-2295.2799999999997</v>
      </c>
      <c r="G101" s="122">
        <f t="shared" si="159"/>
        <v>-3838.1800000000003</v>
      </c>
      <c r="J101" s="122">
        <f t="shared" ref="J101:L101" si="160">SUM(J93:J99)</f>
        <v>475</v>
      </c>
      <c r="K101" s="122">
        <f t="shared" si="160"/>
        <v>-50</v>
      </c>
      <c r="L101" s="122">
        <f t="shared" si="160"/>
        <v>-1530</v>
      </c>
      <c r="N101" s="122">
        <f>SUM(N93:N99)</f>
        <v>1569</v>
      </c>
      <c r="O101" s="122">
        <f>SUM(O93:O99)</f>
        <v>2805.5</v>
      </c>
      <c r="P101" s="122">
        <f t="shared" ref="P101:R101" si="161">SUM(P93:P99)</f>
        <v>-1289.81</v>
      </c>
      <c r="Q101" s="122">
        <f t="shared" si="161"/>
        <v>-2345.2799999999997</v>
      </c>
      <c r="R101" s="122">
        <f t="shared" si="161"/>
        <v>-5368.18</v>
      </c>
    </row>
    <row r="102" spans="2:19" ht="6" customHeight="1">
      <c r="B102" s="49"/>
      <c r="C102" s="3"/>
      <c r="D102" s="3"/>
      <c r="E102" s="3"/>
      <c r="F102" s="3"/>
      <c r="G102" s="3"/>
      <c r="H102" s="16"/>
      <c r="J102" s="3"/>
      <c r="K102" s="3"/>
      <c r="L102" s="3"/>
      <c r="N102" s="3"/>
      <c r="O102" s="3"/>
      <c r="P102" s="3"/>
      <c r="Q102" s="3"/>
      <c r="R102" s="3"/>
      <c r="S102" s="16"/>
    </row>
    <row r="103" spans="2:19" ht="15.75" thickBot="1">
      <c r="B103" s="71" t="s">
        <v>313</v>
      </c>
      <c r="C103" s="118">
        <f>SUM(C87,C91,C101)</f>
        <v>58.894387384998481</v>
      </c>
      <c r="D103" s="118">
        <f>SUM(D87,D91,D101)</f>
        <v>1511.7366630350141</v>
      </c>
      <c r="E103" s="118">
        <f t="shared" ref="E103:G103" si="162">SUM(E87,E91,E101)</f>
        <v>-288.13154147138675</v>
      </c>
      <c r="F103" s="118">
        <f t="shared" si="162"/>
        <v>135.38482039423343</v>
      </c>
      <c r="G103" s="118">
        <f t="shared" si="162"/>
        <v>-185.81976980820582</v>
      </c>
      <c r="J103" s="118">
        <f t="shared" ref="J103:L103" si="163">SUM(J87,J91,J101)</f>
        <v>-626.99169611531102</v>
      </c>
      <c r="K103" s="118">
        <f t="shared" si="163"/>
        <v>1582.8665919758321</v>
      </c>
      <c r="L103" s="118">
        <f t="shared" si="163"/>
        <v>2721.9946550222057</v>
      </c>
      <c r="N103" s="118">
        <f>SUM(N87,N91,N101)</f>
        <v>58.894387384998481</v>
      </c>
      <c r="O103" s="118">
        <f>SUM(O87,O91,O101)</f>
        <v>1511.7366630350141</v>
      </c>
      <c r="P103" s="118">
        <f t="shared" ref="P103:R103" si="164">SUM(P87,P91,P101)</f>
        <v>-915.12323758669777</v>
      </c>
      <c r="Q103" s="118">
        <f t="shared" si="164"/>
        <v>1718.2514123700657</v>
      </c>
      <c r="R103" s="118">
        <f t="shared" si="164"/>
        <v>2536.174885213999</v>
      </c>
    </row>
    <row r="104" spans="2:19" ht="6" customHeight="1">
      <c r="B104" s="49"/>
      <c r="C104" s="3"/>
      <c r="D104" s="3"/>
      <c r="E104" s="3"/>
      <c r="F104" s="3"/>
      <c r="G104" s="3"/>
      <c r="H104" s="16"/>
      <c r="J104" s="3"/>
      <c r="K104" s="3"/>
      <c r="L104" s="3"/>
      <c r="N104" s="3"/>
      <c r="O104" s="3"/>
      <c r="P104" s="3"/>
      <c r="Q104" s="3"/>
      <c r="R104" s="3"/>
      <c r="S104" s="16"/>
    </row>
    <row r="105" spans="2:19">
      <c r="B105" s="6" t="s">
        <v>314</v>
      </c>
      <c r="C105" s="121">
        <f>'Cash Flows'!C27</f>
        <v>82</v>
      </c>
      <c r="D105" s="121">
        <f>C107</f>
        <v>140.89438738499848</v>
      </c>
      <c r="E105" s="121">
        <f t="shared" ref="E105:G105" si="165">D107</f>
        <v>1652.6310504200126</v>
      </c>
      <c r="F105" s="121">
        <f t="shared" si="165"/>
        <v>1364.4995089486258</v>
      </c>
      <c r="G105" s="121">
        <f t="shared" si="165"/>
        <v>1499.8843293428592</v>
      </c>
      <c r="J105" s="121">
        <v>0</v>
      </c>
      <c r="K105" s="121">
        <f t="shared" ref="K105:L105" si="166">J107</f>
        <v>-626.99169611531102</v>
      </c>
      <c r="L105" s="121">
        <f t="shared" si="166"/>
        <v>955.87489586052106</v>
      </c>
      <c r="N105" s="121">
        <f>C105</f>
        <v>82</v>
      </c>
      <c r="O105" s="121">
        <f>D105</f>
        <v>140.89438738499848</v>
      </c>
      <c r="P105" s="121">
        <f t="shared" ref="P105:R105" si="167">O107</f>
        <v>1652.6310504200126</v>
      </c>
      <c r="Q105" s="121">
        <f t="shared" si="167"/>
        <v>737.5078128333148</v>
      </c>
      <c r="R105" s="121">
        <f t="shared" si="167"/>
        <v>2455.7592252033805</v>
      </c>
    </row>
    <row r="106" spans="2:19">
      <c r="B106" t="s">
        <v>315</v>
      </c>
      <c r="C106" s="91">
        <f>C103</f>
        <v>58.894387384998481</v>
      </c>
      <c r="D106" s="91">
        <f t="shared" ref="D106" si="168">D103</f>
        <v>1511.7366630350141</v>
      </c>
      <c r="E106" s="91">
        <f t="shared" ref="E106:G106" si="169">E103</f>
        <v>-288.13154147138675</v>
      </c>
      <c r="F106" s="91">
        <f t="shared" si="169"/>
        <v>135.38482039423343</v>
      </c>
      <c r="G106" s="91">
        <f t="shared" si="169"/>
        <v>-185.81976980820582</v>
      </c>
      <c r="J106" s="91">
        <f t="shared" ref="J106:L106" si="170">J103</f>
        <v>-626.99169611531102</v>
      </c>
      <c r="K106" s="91">
        <f t="shared" si="170"/>
        <v>1582.8665919758321</v>
      </c>
      <c r="L106" s="91">
        <f t="shared" si="170"/>
        <v>2721.9946550222057</v>
      </c>
      <c r="N106" s="91">
        <f>N103</f>
        <v>58.894387384998481</v>
      </c>
      <c r="O106" s="91">
        <f>O103</f>
        <v>1511.7366630350141</v>
      </c>
      <c r="P106" s="91">
        <f t="shared" ref="P106:R106" si="171">P103</f>
        <v>-915.12323758669777</v>
      </c>
      <c r="Q106" s="91">
        <f t="shared" si="171"/>
        <v>1718.2514123700657</v>
      </c>
      <c r="R106" s="91">
        <f t="shared" si="171"/>
        <v>2536.174885213999</v>
      </c>
    </row>
    <row r="107" spans="2:19">
      <c r="B107" s="103" t="s">
        <v>316</v>
      </c>
      <c r="C107" s="122">
        <f>SUM(C105:C106)</f>
        <v>140.89438738499848</v>
      </c>
      <c r="D107" s="122">
        <f t="shared" ref="D107" si="172">SUM(D105:D106)</f>
        <v>1652.6310504200126</v>
      </c>
      <c r="E107" s="122">
        <f t="shared" ref="E107" si="173">SUM(E105:E106)</f>
        <v>1364.4995089486258</v>
      </c>
      <c r="F107" s="122">
        <f t="shared" ref="F107" si="174">SUM(F105:F106)</f>
        <v>1499.8843293428592</v>
      </c>
      <c r="G107" s="122">
        <f t="shared" ref="G107" si="175">SUM(G105:G106)</f>
        <v>1314.0645595346534</v>
      </c>
      <c r="J107" s="122">
        <f t="shared" ref="J107" si="176">SUM(J105:J106)</f>
        <v>-626.99169611531102</v>
      </c>
      <c r="K107" s="122">
        <f t="shared" ref="K107" si="177">SUM(K105:K106)</f>
        <v>955.87489586052106</v>
      </c>
      <c r="L107" s="122">
        <f t="shared" ref="L107" si="178">SUM(L105:L106)</f>
        <v>3677.8695508827268</v>
      </c>
      <c r="N107" s="122">
        <f>SUM(N105:N106)</f>
        <v>140.89438738499848</v>
      </c>
      <c r="O107" s="122">
        <f>SUM(O105:O106)</f>
        <v>1652.6310504200126</v>
      </c>
      <c r="P107" s="122">
        <f t="shared" ref="P107" si="179">SUM(P105:P106)</f>
        <v>737.5078128333148</v>
      </c>
      <c r="Q107" s="122">
        <f t="shared" ref="Q107" si="180">SUM(Q105:Q106)</f>
        <v>2455.7592252033805</v>
      </c>
      <c r="R107" s="122">
        <f t="shared" ref="R107" si="181">SUM(R105:R106)</f>
        <v>4991.93411041738</v>
      </c>
    </row>
  </sheetData>
  <pageMargins left="0.7" right="0.7" top="0.75" bottom="0.75" header="0.3" footer="0.3"/>
  <pageSetup paperSize="9" orientation="portrait" horizontalDpi="0" verticalDpi="0"/>
  <ignoredErrors>
    <ignoredError sqref="P94:R99" formula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3900-3897-4621-9BE0-41169697E037}">
  <sheetPr>
    <tabColor rgb="FF92D050"/>
  </sheetPr>
  <dimension ref="B2:I74"/>
  <sheetViews>
    <sheetView showGridLines="0" topLeftCell="A44" workbookViewId="0">
      <selection activeCell="C2" sqref="C2"/>
    </sheetView>
  </sheetViews>
  <sheetFormatPr defaultColWidth="8.85546875" defaultRowHeight="15" outlineLevelRow="1"/>
  <cols>
    <col min="2" max="2" width="42.42578125" customWidth="1"/>
    <col min="3" max="5" width="11.42578125" customWidth="1"/>
    <col min="6" max="6" width="1.7109375" customWidth="1"/>
    <col min="7" max="9" width="11.42578125" customWidth="1"/>
  </cols>
  <sheetData>
    <row r="2" spans="2:9" ht="30">
      <c r="B2" s="74"/>
      <c r="C2" s="144" t="s">
        <v>317</v>
      </c>
      <c r="D2" s="144" t="s">
        <v>317</v>
      </c>
      <c r="E2" s="144"/>
      <c r="F2" s="1"/>
      <c r="G2" s="144" t="s">
        <v>318</v>
      </c>
      <c r="H2" s="144" t="s">
        <v>318</v>
      </c>
      <c r="I2" s="144"/>
    </row>
    <row r="3" spans="2:9">
      <c r="B3" s="68" t="s">
        <v>221</v>
      </c>
      <c r="C3" s="74" t="s">
        <v>275</v>
      </c>
      <c r="D3" s="74" t="s">
        <v>257</v>
      </c>
      <c r="E3" s="74" t="s">
        <v>319</v>
      </c>
      <c r="G3" s="74" t="s">
        <v>275</v>
      </c>
      <c r="H3" s="74" t="s">
        <v>257</v>
      </c>
      <c r="I3" s="74" t="s">
        <v>319</v>
      </c>
    </row>
    <row r="4" spans="2:9" ht="6" customHeight="1" outlineLevel="1">
      <c r="B4" s="49"/>
      <c r="C4" s="63"/>
      <c r="D4" s="63"/>
      <c r="E4" s="87"/>
      <c r="G4" s="63"/>
      <c r="H4" s="63"/>
      <c r="I4" s="87"/>
    </row>
    <row r="5" spans="2:9" outlineLevel="1">
      <c r="B5" s="45" t="s">
        <v>228</v>
      </c>
      <c r="C5" s="46">
        <f>'Sales Budget Summary'!F4</f>
        <v>4698.95</v>
      </c>
      <c r="D5" s="46">
        <f>'2025A'!C5</f>
        <v>4530.8243099999991</v>
      </c>
      <c r="E5" s="85">
        <f>IFERROR(C5/D5-1, "N/A")</f>
        <v>3.7107086591049221E-2</v>
      </c>
      <c r="G5" s="46">
        <f>C5</f>
        <v>4698.95</v>
      </c>
      <c r="H5" s="46">
        <f>D5</f>
        <v>4530.8243099999991</v>
      </c>
      <c r="I5" s="85">
        <f>IFERROR(G5/H5-1, "N/A")</f>
        <v>3.7107086591049221E-2</v>
      </c>
    </row>
    <row r="6" spans="2:9" outlineLevel="1">
      <c r="B6" s="45" t="s">
        <v>229</v>
      </c>
      <c r="C6" s="46">
        <f>'Sales Budget Summary'!F5</f>
        <v>1912.9</v>
      </c>
      <c r="D6" s="46">
        <f>'2025A'!C6</f>
        <v>1906.7439800000002</v>
      </c>
      <c r="E6" s="85">
        <f t="shared" ref="E6:E10" si="0">IFERROR(C6/D6-1, "N/A")</f>
        <v>3.2285509038292304E-3</v>
      </c>
      <c r="G6" s="46">
        <f t="shared" ref="G6:G10" si="1">C6</f>
        <v>1912.9</v>
      </c>
      <c r="H6" s="46">
        <f t="shared" ref="H6:H10" si="2">D6</f>
        <v>1906.7439800000002</v>
      </c>
      <c r="I6" s="85">
        <f t="shared" ref="I6:I10" si="3">IFERROR(G6/H6-1, "N/A")</f>
        <v>3.2285509038292304E-3</v>
      </c>
    </row>
    <row r="7" spans="2:9" outlineLevel="1">
      <c r="B7" s="45" t="s">
        <v>230</v>
      </c>
      <c r="C7" s="46">
        <f>'Sales Budget Summary'!F6</f>
        <v>771.75</v>
      </c>
      <c r="D7" s="46">
        <f>'2025A'!C7</f>
        <v>641.74332000000004</v>
      </c>
      <c r="E7" s="85">
        <f t="shared" si="0"/>
        <v>0.20258361240129452</v>
      </c>
      <c r="G7" s="46">
        <f t="shared" si="1"/>
        <v>771.75</v>
      </c>
      <c r="H7" s="46">
        <f t="shared" si="2"/>
        <v>641.74332000000004</v>
      </c>
      <c r="I7" s="85">
        <f t="shared" si="3"/>
        <v>0.20258361240129452</v>
      </c>
    </row>
    <row r="8" spans="2:9" outlineLevel="1">
      <c r="B8" s="45" t="s">
        <v>231</v>
      </c>
      <c r="C8" s="46">
        <f>'Sales Budget Summary'!F7</f>
        <v>227.5</v>
      </c>
      <c r="D8" s="46">
        <f>'2025A'!C8</f>
        <v>145.07323</v>
      </c>
      <c r="E8" s="85">
        <f t="shared" si="0"/>
        <v>0.56817353553098671</v>
      </c>
      <c r="G8" s="46">
        <f t="shared" si="1"/>
        <v>227.5</v>
      </c>
      <c r="H8" s="46">
        <f t="shared" si="2"/>
        <v>145.07323</v>
      </c>
      <c r="I8" s="85">
        <f t="shared" si="3"/>
        <v>0.56817353553098671</v>
      </c>
    </row>
    <row r="9" spans="2:9" outlineLevel="1">
      <c r="B9" s="45" t="s">
        <v>232</v>
      </c>
      <c r="C9" s="46">
        <f>'Sales Budget Summary'!F8</f>
        <v>158.97499999999999</v>
      </c>
      <c r="D9" s="46">
        <f>'2025A'!C9</f>
        <v>42.081430000000005</v>
      </c>
      <c r="E9" s="85">
        <f t="shared" si="0"/>
        <v>2.777794623424156</v>
      </c>
      <c r="G9" s="46">
        <f t="shared" si="1"/>
        <v>158.97499999999999</v>
      </c>
      <c r="H9" s="46">
        <f t="shared" si="2"/>
        <v>42.081430000000005</v>
      </c>
      <c r="I9" s="85">
        <f t="shared" si="3"/>
        <v>2.777794623424156</v>
      </c>
    </row>
    <row r="10" spans="2:9" outlineLevel="1">
      <c r="B10" s="45" t="s">
        <v>233</v>
      </c>
      <c r="C10" s="46">
        <f>'Sales Budget Summary'!F9</f>
        <v>67.5</v>
      </c>
      <c r="D10" s="46">
        <f>'2025A'!C10</f>
        <v>8.8706399999999999</v>
      </c>
      <c r="E10" s="85">
        <f t="shared" si="0"/>
        <v>6.6093720407997623</v>
      </c>
      <c r="G10" s="46">
        <f t="shared" si="1"/>
        <v>67.5</v>
      </c>
      <c r="H10" s="46">
        <f t="shared" si="2"/>
        <v>8.8706399999999999</v>
      </c>
      <c r="I10" s="85">
        <f t="shared" si="3"/>
        <v>6.6093720407997623</v>
      </c>
    </row>
    <row r="11" spans="2:9" outlineLevel="1">
      <c r="B11" s="47" t="s">
        <v>31</v>
      </c>
      <c r="C11" s="48">
        <f>SUM(C5:C10)</f>
        <v>7837.5750000000007</v>
      </c>
      <c r="D11" s="48">
        <f>SUM(D5:D10)</f>
        <v>7275.3369099999991</v>
      </c>
      <c r="E11" s="86">
        <f t="shared" ref="E11:E68" si="4">C11/D11-1</f>
        <v>7.7280007366696823E-2</v>
      </c>
      <c r="G11" s="48">
        <f>SUM(G5:G10)</f>
        <v>7837.5750000000007</v>
      </c>
      <c r="H11" s="48">
        <f>SUM(H5:H10)</f>
        <v>7275.3369099999991</v>
      </c>
      <c r="I11" s="86">
        <f t="shared" ref="I11" si="5">G11/H11-1</f>
        <v>7.7280007366696823E-2</v>
      </c>
    </row>
    <row r="12" spans="2:9" ht="6" customHeight="1" outlineLevel="1">
      <c r="B12" s="49"/>
      <c r="C12" s="63"/>
      <c r="D12" s="63"/>
      <c r="E12" s="87"/>
      <c r="G12" s="63"/>
      <c r="H12" s="63"/>
      <c r="I12" s="87"/>
    </row>
    <row r="13" spans="2:9" outlineLevel="1">
      <c r="B13" s="44" t="s">
        <v>234</v>
      </c>
      <c r="C13" s="46">
        <f>'Sales Budget Summary'!F12</f>
        <v>321.7</v>
      </c>
      <c r="D13" s="46">
        <f>'2025A'!C13</f>
        <v>201.3082344</v>
      </c>
      <c r="E13" s="85">
        <f t="shared" ref="E13:E14" si="6">IFERROR(C13/D13-1, "N/A")</f>
        <v>0.59804690036067387</v>
      </c>
      <c r="G13" s="46">
        <f t="shared" ref="G13:G14" si="7">C13</f>
        <v>321.7</v>
      </c>
      <c r="H13" s="46">
        <f t="shared" ref="H13:H14" si="8">D13</f>
        <v>201.3082344</v>
      </c>
      <c r="I13" s="85">
        <f t="shared" ref="I13:I14" si="9">IFERROR(G13/H13-1, "N/A")</f>
        <v>0.59804690036067387</v>
      </c>
    </row>
    <row r="14" spans="2:9" outlineLevel="1">
      <c r="B14" s="44" t="s">
        <v>235</v>
      </c>
      <c r="C14" s="46">
        <f>'Sales Budget Summary'!F13</f>
        <v>175</v>
      </c>
      <c r="D14" s="46">
        <f>'2025A'!C14</f>
        <v>177.28904740000002</v>
      </c>
      <c r="E14" s="85">
        <f t="shared" si="6"/>
        <v>-1.2911386425555449E-2</v>
      </c>
      <c r="G14" s="46">
        <f t="shared" si="7"/>
        <v>175</v>
      </c>
      <c r="H14" s="46">
        <f t="shared" si="8"/>
        <v>177.28904740000002</v>
      </c>
      <c r="I14" s="85">
        <f t="shared" si="9"/>
        <v>-1.2911386425555449E-2</v>
      </c>
    </row>
    <row r="15" spans="2:9" outlineLevel="1">
      <c r="B15" s="51" t="s">
        <v>236</v>
      </c>
      <c r="C15" s="48">
        <f t="shared" ref="C15:D15" si="10">SUM(C13:C14)</f>
        <v>496.7</v>
      </c>
      <c r="D15" s="48">
        <f t="shared" si="10"/>
        <v>378.59728180000002</v>
      </c>
      <c r="E15" s="86">
        <f t="shared" si="4"/>
        <v>0.31194814088070921</v>
      </c>
      <c r="G15" s="48">
        <f t="shared" ref="G15:H15" si="11">SUM(G13:G14)</f>
        <v>496.7</v>
      </c>
      <c r="H15" s="48">
        <f t="shared" si="11"/>
        <v>378.59728180000002</v>
      </c>
      <c r="I15" s="86">
        <f t="shared" ref="I15" si="12">G15/H15-1</f>
        <v>0.31194814088070921</v>
      </c>
    </row>
    <row r="16" spans="2:9" ht="6" customHeight="1" outlineLevel="1">
      <c r="B16" s="49"/>
      <c r="C16" s="63"/>
      <c r="D16" s="63"/>
      <c r="E16" s="87"/>
      <c r="G16" s="63"/>
      <c r="H16" s="63"/>
      <c r="I16" s="87"/>
    </row>
    <row r="17" spans="2:9" outlineLevel="1">
      <c r="B17" s="45" t="s">
        <v>237</v>
      </c>
      <c r="C17" s="46">
        <f>'Sales Budget Summary'!F16</f>
        <v>983.24199999999996</v>
      </c>
      <c r="D17" s="46">
        <f>'2025A'!C17</f>
        <v>754.68615419999992</v>
      </c>
      <c r="E17" s="85">
        <f t="shared" ref="E17:E18" si="13">IFERROR(C17/D17-1, "N/A")</f>
        <v>0.30284886575437331</v>
      </c>
      <c r="G17" s="46">
        <f t="shared" ref="G17:G18" si="14">C17</f>
        <v>983.24199999999996</v>
      </c>
      <c r="H17" s="46">
        <f t="shared" ref="H17:H18" si="15">D17</f>
        <v>754.68615419999992</v>
      </c>
      <c r="I17" s="85">
        <f t="shared" ref="I17:I18" si="16">IFERROR(G17/H17-1, "N/A")</f>
        <v>0.30284886575437331</v>
      </c>
    </row>
    <row r="18" spans="2:9" outlineLevel="1">
      <c r="B18" s="45" t="s">
        <v>64</v>
      </c>
      <c r="C18" s="46">
        <f>'Sales Budget Summary'!F17</f>
        <v>20</v>
      </c>
      <c r="D18" s="46">
        <f>'2025A'!C18</f>
        <v>5</v>
      </c>
      <c r="E18" s="85">
        <f t="shared" si="13"/>
        <v>3</v>
      </c>
      <c r="G18" s="46">
        <f t="shared" si="14"/>
        <v>20</v>
      </c>
      <c r="H18" s="46">
        <f t="shared" si="15"/>
        <v>5</v>
      </c>
      <c r="I18" s="85">
        <f t="shared" si="16"/>
        <v>3</v>
      </c>
    </row>
    <row r="19" spans="2:9" outlineLevel="1">
      <c r="B19" s="47" t="s">
        <v>238</v>
      </c>
      <c r="C19" s="48">
        <f t="shared" ref="C19:D19" si="17">SUM(C17:C18)</f>
        <v>1003.242</v>
      </c>
      <c r="D19" s="48">
        <f t="shared" si="17"/>
        <v>759.68615419999992</v>
      </c>
      <c r="E19" s="86">
        <f t="shared" si="4"/>
        <v>0.32060061178353383</v>
      </c>
      <c r="G19" s="48">
        <f t="shared" ref="G19:H19" si="18">SUM(G17:G18)</f>
        <v>1003.242</v>
      </c>
      <c r="H19" s="48">
        <f t="shared" si="18"/>
        <v>759.68615419999992</v>
      </c>
      <c r="I19" s="86">
        <f t="shared" ref="I19" si="19">G19/H19-1</f>
        <v>0.32060061178353383</v>
      </c>
    </row>
    <row r="20" spans="2:9" ht="6" customHeight="1" outlineLevel="1">
      <c r="B20" s="49"/>
      <c r="C20" s="63"/>
      <c r="D20" s="63"/>
      <c r="E20" s="87"/>
      <c r="G20" s="63"/>
      <c r="H20" s="63"/>
      <c r="I20" s="87"/>
    </row>
    <row r="21" spans="2:9" outlineLevel="1">
      <c r="B21" s="45" t="s">
        <v>239</v>
      </c>
      <c r="C21" s="46">
        <f>'Sales Budget Summary'!F20</f>
        <v>430</v>
      </c>
      <c r="D21" s="46">
        <f>'2025A'!C21</f>
        <v>447.78187000000008</v>
      </c>
      <c r="E21" s="90">
        <f t="shared" ref="E21:E27" si="20">IFERROR(C21/D21-1, "N/A")</f>
        <v>-3.9711009291198196E-2</v>
      </c>
      <c r="G21" s="46">
        <f t="shared" ref="G21:G27" si="21">C21</f>
        <v>430</v>
      </c>
      <c r="H21" s="46">
        <f t="shared" ref="H21:H27" si="22">D21</f>
        <v>447.78187000000008</v>
      </c>
      <c r="I21" s="90">
        <f t="shared" ref="I21:I27" si="23">IFERROR(G21/H21-1, "N/A")</f>
        <v>-3.9711009291198196E-2</v>
      </c>
    </row>
    <row r="22" spans="2:9" outlineLevel="1">
      <c r="B22" s="45" t="s">
        <v>240</v>
      </c>
      <c r="C22" s="46">
        <f>'Sales Budget Summary'!F21</f>
        <v>625</v>
      </c>
      <c r="D22" s="46">
        <f>'2025A'!C22</f>
        <v>567.51580000000001</v>
      </c>
      <c r="E22" s="90">
        <f t="shared" si="20"/>
        <v>0.10129092441126741</v>
      </c>
      <c r="G22" s="46">
        <f t="shared" si="21"/>
        <v>625</v>
      </c>
      <c r="H22" s="46">
        <f t="shared" si="22"/>
        <v>567.51580000000001</v>
      </c>
      <c r="I22" s="90">
        <f t="shared" si="23"/>
        <v>0.10129092441126741</v>
      </c>
    </row>
    <row r="23" spans="2:9" outlineLevel="1">
      <c r="B23" s="45" t="s">
        <v>241</v>
      </c>
      <c r="C23" s="46">
        <f>'Sales Budget Summary'!F22</f>
        <v>350</v>
      </c>
      <c r="D23" s="46">
        <f>'2025A'!C23</f>
        <v>277.16552000000001</v>
      </c>
      <c r="E23" s="90">
        <f t="shared" si="20"/>
        <v>0.26278333610905125</v>
      </c>
      <c r="G23" s="46">
        <f t="shared" si="21"/>
        <v>350</v>
      </c>
      <c r="H23" s="46">
        <f t="shared" si="22"/>
        <v>277.16552000000001</v>
      </c>
      <c r="I23" s="90">
        <f t="shared" si="23"/>
        <v>0.26278333610905125</v>
      </c>
    </row>
    <row r="24" spans="2:9" outlineLevel="1">
      <c r="B24" s="45" t="s">
        <v>242</v>
      </c>
      <c r="C24" s="46">
        <f>'Sales Budget Summary'!F23</f>
        <v>457.5</v>
      </c>
      <c r="D24" s="46">
        <f>'2025A'!C24</f>
        <v>443.66261000000003</v>
      </c>
      <c r="E24" s="90">
        <f t="shared" si="20"/>
        <v>3.1188992915134328E-2</v>
      </c>
      <c r="G24" s="46">
        <f t="shared" si="21"/>
        <v>457.5</v>
      </c>
      <c r="H24" s="46">
        <f t="shared" si="22"/>
        <v>443.66261000000003</v>
      </c>
      <c r="I24" s="90">
        <f t="shared" si="23"/>
        <v>3.1188992915134328E-2</v>
      </c>
    </row>
    <row r="25" spans="2:9" outlineLevel="1">
      <c r="B25" s="45" t="s">
        <v>243</v>
      </c>
      <c r="C25" s="46">
        <f>'Sales Budget Summary'!F24</f>
        <v>30</v>
      </c>
      <c r="D25" s="46">
        <f>'2025A'!C25</f>
        <v>34.968969999999999</v>
      </c>
      <c r="E25" s="90">
        <f t="shared" si="20"/>
        <v>-0.14209655017005074</v>
      </c>
      <c r="G25" s="46">
        <f t="shared" si="21"/>
        <v>30</v>
      </c>
      <c r="H25" s="46">
        <f t="shared" si="22"/>
        <v>34.968969999999999</v>
      </c>
      <c r="I25" s="90">
        <f t="shared" si="23"/>
        <v>-0.14209655017005074</v>
      </c>
    </row>
    <row r="26" spans="2:9" outlineLevel="1">
      <c r="B26" s="45" t="s">
        <v>244</v>
      </c>
      <c r="C26" s="46">
        <f>'Sales Budget Summary'!F25</f>
        <v>20</v>
      </c>
      <c r="D26" s="46">
        <f>'2025A'!C26</f>
        <v>14.61966</v>
      </c>
      <c r="E26" s="90">
        <f t="shared" si="20"/>
        <v>0.36802087052640076</v>
      </c>
      <c r="G26" s="46">
        <f t="shared" si="21"/>
        <v>20</v>
      </c>
      <c r="H26" s="46">
        <f t="shared" si="22"/>
        <v>14.61966</v>
      </c>
      <c r="I26" s="90">
        <f t="shared" si="23"/>
        <v>0.36802087052640076</v>
      </c>
    </row>
    <row r="27" spans="2:9" outlineLevel="1">
      <c r="B27" s="45" t="s">
        <v>245</v>
      </c>
      <c r="C27" s="46">
        <f>'Sales Budget Summary'!F26</f>
        <v>32</v>
      </c>
      <c r="D27" s="46">
        <f>'2025A'!C27</f>
        <v>31.812060000000002</v>
      </c>
      <c r="E27" s="90">
        <f t="shared" si="20"/>
        <v>5.9078223793114226E-3</v>
      </c>
      <c r="G27" s="46">
        <f t="shared" si="21"/>
        <v>32</v>
      </c>
      <c r="H27" s="46">
        <f t="shared" si="22"/>
        <v>31.812060000000002</v>
      </c>
      <c r="I27" s="90">
        <f t="shared" si="23"/>
        <v>5.9078223793114226E-3</v>
      </c>
    </row>
    <row r="28" spans="2:9" outlineLevel="1">
      <c r="B28" s="47" t="s">
        <v>100</v>
      </c>
      <c r="C28" s="48">
        <f t="shared" ref="C28:D28" si="24">SUM(C21:C27)</f>
        <v>1944.5</v>
      </c>
      <c r="D28" s="48">
        <f t="shared" si="24"/>
        <v>1817.5264900000002</v>
      </c>
      <c r="E28" s="86">
        <f t="shared" si="4"/>
        <v>6.986061039473479E-2</v>
      </c>
      <c r="G28" s="48">
        <f t="shared" ref="G28:H28" si="25">SUM(G21:G27)</f>
        <v>1944.5</v>
      </c>
      <c r="H28" s="48">
        <f t="shared" si="25"/>
        <v>1817.5264900000002</v>
      </c>
      <c r="I28" s="86">
        <f t="shared" ref="I28" si="26">G28/H28-1</f>
        <v>6.986061039473479E-2</v>
      </c>
    </row>
    <row r="29" spans="2:9" ht="6" customHeight="1" outlineLevel="1">
      <c r="B29" s="49"/>
      <c r="C29" s="63"/>
      <c r="D29" s="63"/>
      <c r="E29" s="87"/>
      <c r="G29" s="63"/>
      <c r="H29" s="63"/>
      <c r="I29" s="87"/>
    </row>
    <row r="30" spans="2:9" ht="15.75" outlineLevel="1" thickBot="1">
      <c r="B30" s="52" t="s">
        <v>246</v>
      </c>
      <c r="C30" s="53">
        <f t="shared" ref="C30:D30" si="27">SUM(C11,C15,C19,C28)</f>
        <v>11282.017000000002</v>
      </c>
      <c r="D30" s="53">
        <f t="shared" si="27"/>
        <v>10231.146836</v>
      </c>
      <c r="E30" s="88">
        <f t="shared" si="4"/>
        <v>0.10271284156555538</v>
      </c>
      <c r="G30" s="53">
        <f t="shared" ref="G30:H30" si="28">SUM(G11,G15,G19,G28)</f>
        <v>11282.017000000002</v>
      </c>
      <c r="H30" s="53">
        <f t="shared" si="28"/>
        <v>10231.146836</v>
      </c>
      <c r="I30" s="88">
        <f t="shared" ref="I30" si="29">G30/H30-1</f>
        <v>0.10271284156555538</v>
      </c>
    </row>
    <row r="31" spans="2:9" ht="6" customHeight="1" outlineLevel="1">
      <c r="B31" s="49"/>
      <c r="C31" s="63"/>
      <c r="D31" s="63"/>
      <c r="E31" s="87"/>
      <c r="G31" s="63"/>
      <c r="H31" s="63"/>
      <c r="I31" s="87"/>
    </row>
    <row r="32" spans="2:9" outlineLevel="1">
      <c r="B32" t="s">
        <v>247</v>
      </c>
      <c r="C32" s="46">
        <f>'Sales Budget Summary'!F31</f>
        <v>800</v>
      </c>
      <c r="D32" s="46">
        <f>'2025A'!C32</f>
        <v>500.90406999999993</v>
      </c>
      <c r="E32" s="90">
        <f t="shared" ref="E32:E34" si="30">IFERROR(C32/D32-1, "N/A")</f>
        <v>0.59711219755112022</v>
      </c>
      <c r="G32" s="46">
        <f t="shared" ref="G32:G34" si="31">C32</f>
        <v>800</v>
      </c>
      <c r="H32" s="46">
        <f t="shared" ref="H32:H34" si="32">D32</f>
        <v>500.90406999999993</v>
      </c>
      <c r="I32" s="90">
        <f t="shared" ref="I32:I34" si="33">IFERROR(G32/H32-1, "N/A")</f>
        <v>0.59711219755112022</v>
      </c>
    </row>
    <row r="33" spans="2:9" outlineLevel="1">
      <c r="B33" t="s">
        <v>248</v>
      </c>
      <c r="C33" s="46">
        <f>'Sales Budget Summary'!F32</f>
        <v>200</v>
      </c>
      <c r="D33" s="46">
        <f>'2025A'!C33</f>
        <v>105.64609</v>
      </c>
      <c r="E33" s="90">
        <f t="shared" si="30"/>
        <v>0.89311312893832606</v>
      </c>
      <c r="G33" s="46">
        <f t="shared" si="31"/>
        <v>200</v>
      </c>
      <c r="H33" s="46">
        <f t="shared" si="32"/>
        <v>105.64609</v>
      </c>
      <c r="I33" s="90">
        <f t="shared" si="33"/>
        <v>0.89311312893832606</v>
      </c>
    </row>
    <row r="34" spans="2:9" outlineLevel="1">
      <c r="B34" t="s">
        <v>249</v>
      </c>
      <c r="C34" s="46">
        <f>'Sales Budget Summary'!F33</f>
        <v>145</v>
      </c>
      <c r="D34" s="46">
        <f>'2025A'!C34</f>
        <v>0</v>
      </c>
      <c r="E34" s="90" t="str">
        <f t="shared" si="30"/>
        <v>N/A</v>
      </c>
      <c r="G34" s="46">
        <f t="shared" si="31"/>
        <v>145</v>
      </c>
      <c r="H34" s="46">
        <f t="shared" si="32"/>
        <v>0</v>
      </c>
      <c r="I34" s="90" t="str">
        <f t="shared" si="33"/>
        <v>N/A</v>
      </c>
    </row>
    <row r="35" spans="2:9" ht="6" customHeight="1" outlineLevel="1">
      <c r="B35" s="49"/>
      <c r="C35" s="63"/>
      <c r="D35" s="63"/>
      <c r="E35" s="87"/>
      <c r="G35" s="63"/>
      <c r="H35" s="63"/>
      <c r="I35" s="87"/>
    </row>
    <row r="36" spans="2:9" ht="15.75" outlineLevel="1" thickBot="1">
      <c r="B36" s="52" t="s">
        <v>250</v>
      </c>
      <c r="C36" s="53">
        <f t="shared" ref="C36:D36" si="34">SUM(C32:C34)</f>
        <v>1145</v>
      </c>
      <c r="D36" s="53">
        <f t="shared" si="34"/>
        <v>606.55015999999989</v>
      </c>
      <c r="E36" s="88">
        <f t="shared" si="4"/>
        <v>0.88772516357097353</v>
      </c>
      <c r="G36" s="53">
        <f t="shared" ref="G36:H36" si="35">SUM(G32:G34)</f>
        <v>1145</v>
      </c>
      <c r="H36" s="53">
        <f t="shared" si="35"/>
        <v>606.55015999999989</v>
      </c>
      <c r="I36" s="88">
        <f t="shared" ref="I36" si="36">G36/H36-1</f>
        <v>0.88772516357097353</v>
      </c>
    </row>
    <row r="37" spans="2:9" ht="6" customHeight="1" outlineLevel="1">
      <c r="B37" s="49"/>
      <c r="C37" s="63"/>
      <c r="D37" s="63"/>
      <c r="E37" s="87"/>
      <c r="G37" s="63"/>
      <c r="H37" s="63"/>
      <c r="I37" s="87"/>
    </row>
    <row r="38" spans="2:9" outlineLevel="1">
      <c r="B38" t="s">
        <v>251</v>
      </c>
      <c r="C38" s="46">
        <f>'Sales Budget Summary'!F37</f>
        <v>748</v>
      </c>
      <c r="D38" s="46">
        <f>'2025A'!C38</f>
        <v>660.48169199999995</v>
      </c>
      <c r="E38" s="90">
        <f t="shared" ref="E38:E41" si="37">IFERROR(C38/D38-1, "N/A")</f>
        <v>0.13250678869687738</v>
      </c>
      <c r="G38" s="46">
        <f t="shared" ref="G38:G41" si="38">C38</f>
        <v>748</v>
      </c>
      <c r="H38" s="46">
        <f t="shared" ref="H38:H41" si="39">D38</f>
        <v>660.48169199999995</v>
      </c>
      <c r="I38" s="90">
        <f t="shared" ref="I38:I41" si="40">IFERROR(G38/H38-1, "N/A")</f>
        <v>0.13250678869687738</v>
      </c>
    </row>
    <row r="39" spans="2:9" outlineLevel="1">
      <c r="B39" t="s">
        <v>252</v>
      </c>
      <c r="C39" s="46">
        <f>'Sales Budget Summary'!F38</f>
        <v>406</v>
      </c>
      <c r="D39" s="46">
        <f>'2025A'!C39</f>
        <v>396.49359879999997</v>
      </c>
      <c r="E39" s="90">
        <f t="shared" si="37"/>
        <v>2.3976178250472158E-2</v>
      </c>
      <c r="G39" s="46">
        <f t="shared" si="38"/>
        <v>406</v>
      </c>
      <c r="H39" s="46">
        <f t="shared" si="39"/>
        <v>396.49359879999997</v>
      </c>
      <c r="I39" s="90">
        <f t="shared" si="40"/>
        <v>2.3976178250472158E-2</v>
      </c>
    </row>
    <row r="40" spans="2:9" outlineLevel="1">
      <c r="B40" t="s">
        <v>137</v>
      </c>
      <c r="C40" s="46">
        <f>'Sales Budget Summary'!F39</f>
        <v>110</v>
      </c>
      <c r="D40" s="46">
        <f>'2025A'!C40</f>
        <v>105.87025999999999</v>
      </c>
      <c r="E40" s="90">
        <f t="shared" si="37"/>
        <v>3.9007555096209456E-2</v>
      </c>
      <c r="G40" s="46">
        <f t="shared" si="38"/>
        <v>110</v>
      </c>
      <c r="H40" s="46">
        <f t="shared" si="39"/>
        <v>105.87025999999999</v>
      </c>
      <c r="I40" s="90">
        <f t="shared" si="40"/>
        <v>3.9007555096209456E-2</v>
      </c>
    </row>
    <row r="41" spans="2:9" outlineLevel="1">
      <c r="B41" t="s">
        <v>253</v>
      </c>
      <c r="C41" s="46">
        <f>'Sales Budget Summary'!F40</f>
        <v>34.981104799999997</v>
      </c>
      <c r="D41" s="46">
        <f>'2025A'!C41</f>
        <v>34.981104799999997</v>
      </c>
      <c r="E41" s="90">
        <f t="shared" si="37"/>
        <v>0</v>
      </c>
      <c r="G41" s="46">
        <f t="shared" si="38"/>
        <v>34.981104799999997</v>
      </c>
      <c r="H41" s="46">
        <f t="shared" si="39"/>
        <v>34.981104799999997</v>
      </c>
      <c r="I41" s="90">
        <f t="shared" si="40"/>
        <v>0</v>
      </c>
    </row>
    <row r="42" spans="2:9" ht="6" customHeight="1" outlineLevel="1">
      <c r="B42" s="49"/>
      <c r="C42" s="63"/>
      <c r="D42" s="63"/>
      <c r="E42" s="87"/>
      <c r="G42" s="63"/>
      <c r="H42" s="63"/>
      <c r="I42" s="87"/>
    </row>
    <row r="43" spans="2:9" ht="15.75" outlineLevel="1" thickBot="1">
      <c r="B43" s="52" t="s">
        <v>254</v>
      </c>
      <c r="C43" s="53">
        <f t="shared" ref="C43:D43" si="41">SUM(C38:C41)</f>
        <v>1298.9811047999999</v>
      </c>
      <c r="D43" s="53">
        <f t="shared" si="41"/>
        <v>1197.8266555999999</v>
      </c>
      <c r="E43" s="88">
        <f t="shared" si="4"/>
        <v>8.4448320403532007E-2</v>
      </c>
      <c r="G43" s="53">
        <f t="shared" ref="G43:H43" si="42">SUM(G38:G41)</f>
        <v>1298.9811047999999</v>
      </c>
      <c r="H43" s="53">
        <f t="shared" si="42"/>
        <v>1197.8266555999999</v>
      </c>
      <c r="I43" s="88">
        <f t="shared" ref="I43" si="43">G43/H43-1</f>
        <v>8.4448320403532007E-2</v>
      </c>
    </row>
    <row r="44" spans="2:9" ht="6" customHeight="1" outlineLevel="1">
      <c r="B44" s="49"/>
      <c r="C44" s="63"/>
      <c r="D44" s="63"/>
      <c r="E44" s="87"/>
      <c r="G44" s="63"/>
      <c r="H44" s="63"/>
      <c r="I44" s="87"/>
    </row>
    <row r="45" spans="2:9" ht="16.5" outlineLevel="1" thickBot="1">
      <c r="B45" s="54" t="s">
        <v>255</v>
      </c>
      <c r="C45" s="55">
        <f t="shared" ref="C45:D45" si="44">SUM(C30,C36,C43)</f>
        <v>13725.998104800001</v>
      </c>
      <c r="D45" s="55">
        <f t="shared" si="44"/>
        <v>12035.5236516</v>
      </c>
      <c r="E45" s="89">
        <f t="shared" si="4"/>
        <v>0.14045707541568153</v>
      </c>
      <c r="G45" s="55">
        <f t="shared" ref="G45:H45" si="45">SUM(G30,G36,G43)</f>
        <v>13725.998104800001</v>
      </c>
      <c r="H45" s="55">
        <f t="shared" si="45"/>
        <v>12035.5236516</v>
      </c>
      <c r="I45" s="89">
        <f t="shared" ref="I45" si="46">G45/H45-1</f>
        <v>0.14045707541568153</v>
      </c>
    </row>
    <row r="46" spans="2:9" ht="6" customHeight="1">
      <c r="E46" s="10"/>
      <c r="I46" s="10"/>
    </row>
    <row r="47" spans="2:9">
      <c r="B47" s="64" t="s">
        <v>155</v>
      </c>
      <c r="C47" s="93">
        <f>C45</f>
        <v>13725.998104800001</v>
      </c>
      <c r="D47" s="93">
        <f>D45</f>
        <v>12035.5236516</v>
      </c>
      <c r="E47" s="10">
        <f t="shared" si="4"/>
        <v>0.14045707541568153</v>
      </c>
      <c r="G47" s="93">
        <f>C47</f>
        <v>13725.998104800001</v>
      </c>
      <c r="H47" s="93">
        <f t="shared" ref="H47:H48" si="47">D47</f>
        <v>12035.5236516</v>
      </c>
      <c r="I47" s="10">
        <f t="shared" ref="I47:I48" si="48">G47/H47-1</f>
        <v>0.14045707541568153</v>
      </c>
    </row>
    <row r="48" spans="2:9">
      <c r="B48" t="s">
        <v>157</v>
      </c>
      <c r="C48" s="91">
        <f>'2026B'!C48</f>
        <v>-2591.1028262000004</v>
      </c>
      <c r="D48" s="91">
        <f>'2026B'!D48</f>
        <v>-2166.3942572880001</v>
      </c>
      <c r="E48" s="10">
        <f t="shared" si="4"/>
        <v>0.19604398759977859</v>
      </c>
      <c r="G48" s="91">
        <f t="shared" ref="G48" si="49">C48</f>
        <v>-2591.1028262000004</v>
      </c>
      <c r="H48" s="91">
        <f t="shared" si="47"/>
        <v>-2166.3942572880001</v>
      </c>
      <c r="I48" s="10">
        <f t="shared" si="48"/>
        <v>0.19604398759977859</v>
      </c>
    </row>
    <row r="49" spans="2:9" ht="6" customHeight="1">
      <c r="B49" s="49"/>
      <c r="C49" s="3"/>
      <c r="D49" s="3"/>
      <c r="E49" s="10"/>
      <c r="G49" s="3"/>
      <c r="H49" s="3"/>
      <c r="I49" s="10"/>
    </row>
    <row r="50" spans="2:9">
      <c r="B50" s="65" t="s">
        <v>158</v>
      </c>
      <c r="C50" s="94">
        <f>SUM(C47:C48)</f>
        <v>11134.895278600001</v>
      </c>
      <c r="D50" s="94">
        <f>SUM(D47:D48)</f>
        <v>9869.1293943119999</v>
      </c>
      <c r="E50" s="11">
        <f t="shared" si="4"/>
        <v>0.12825507030209948</v>
      </c>
      <c r="G50" s="94">
        <f>SUM(G47:G48)</f>
        <v>11134.895278600001</v>
      </c>
      <c r="H50" s="94">
        <f>SUM(H47:H48)</f>
        <v>9869.1293943119999</v>
      </c>
      <c r="I50" s="11">
        <f t="shared" ref="I50" si="50">G50/H50-1</f>
        <v>0.12825507030209948</v>
      </c>
    </row>
    <row r="51" spans="2:9">
      <c r="B51" s="66" t="s">
        <v>160</v>
      </c>
      <c r="C51" s="67">
        <f>C50/C$47</f>
        <v>0.81122663675045326</v>
      </c>
      <c r="D51" s="67">
        <f>D50/D$47</f>
        <v>0.82</v>
      </c>
      <c r="E51" s="67"/>
      <c r="G51" s="67">
        <f>G50/G$47</f>
        <v>0.81122663675045326</v>
      </c>
      <c r="H51" s="67">
        <f>H50/H$47</f>
        <v>0.82</v>
      </c>
      <c r="I51" s="67"/>
    </row>
    <row r="52" spans="2:9" ht="6" customHeight="1">
      <c r="B52" s="49"/>
      <c r="C52" s="3"/>
      <c r="D52" s="3"/>
      <c r="E52" s="10"/>
      <c r="G52" s="3"/>
      <c r="H52" s="3"/>
      <c r="I52" s="10"/>
    </row>
    <row r="53" spans="2:9">
      <c r="B53" t="s">
        <v>162</v>
      </c>
      <c r="C53" s="91">
        <f>'2026B'!C53</f>
        <v>-269.948312096</v>
      </c>
      <c r="D53" s="91">
        <f>'2026B'!D53</f>
        <v>-248</v>
      </c>
      <c r="E53" s="10">
        <f t="shared" si="4"/>
        <v>8.8501258451612941E-2</v>
      </c>
      <c r="G53" s="91">
        <f t="shared" ref="G53:G54" si="51">C53</f>
        <v>-269.948312096</v>
      </c>
      <c r="H53" s="91">
        <f t="shared" ref="H53:H54" si="52">D53</f>
        <v>-248</v>
      </c>
      <c r="I53" s="10">
        <f t="shared" ref="I53:I54" si="53">G53/H53-1</f>
        <v>8.8501258451612941E-2</v>
      </c>
    </row>
    <row r="54" spans="2:9">
      <c r="B54" t="s">
        <v>163</v>
      </c>
      <c r="C54" s="91">
        <f>'2026B'!C54</f>
        <v>-180.93937499999998</v>
      </c>
      <c r="D54" s="91">
        <f>'2026B'!D54</f>
        <v>-125.73333333333301</v>
      </c>
      <c r="E54" s="10">
        <f t="shared" si="4"/>
        <v>0.43907244167550741</v>
      </c>
      <c r="G54" s="91">
        <f t="shared" si="51"/>
        <v>-180.93937499999998</v>
      </c>
      <c r="H54" s="91">
        <f t="shared" si="52"/>
        <v>-125.73333333333301</v>
      </c>
      <c r="I54" s="10">
        <f t="shared" si="53"/>
        <v>0.43907244167550741</v>
      </c>
    </row>
    <row r="55" spans="2:9" ht="6" customHeight="1">
      <c r="B55" s="49"/>
      <c r="C55" s="3"/>
      <c r="D55" s="3"/>
      <c r="E55" s="10"/>
      <c r="G55" s="3"/>
      <c r="H55" s="3"/>
      <c r="I55" s="10"/>
    </row>
    <row r="56" spans="2:9">
      <c r="B56" s="65" t="s">
        <v>166</v>
      </c>
      <c r="C56" s="94">
        <f>SUM(C50,C53:C54)</f>
        <v>10684.007591504002</v>
      </c>
      <c r="D56" s="94">
        <f>SUM(D50,D53:D54)</f>
        <v>9495.3960609786664</v>
      </c>
      <c r="E56" s="11">
        <f t="shared" si="4"/>
        <v>0.12517766746033221</v>
      </c>
      <c r="G56" s="94">
        <f>SUM(G50,G53:G54)</f>
        <v>10684.007591504002</v>
      </c>
      <c r="H56" s="94">
        <f>SUM(H50,H53:H54)</f>
        <v>9495.3960609786664</v>
      </c>
      <c r="I56" s="11">
        <f t="shared" ref="I56" si="54">G56/H56-1</f>
        <v>0.12517766746033221</v>
      </c>
    </row>
    <row r="57" spans="2:9">
      <c r="B57" s="66" t="s">
        <v>167</v>
      </c>
      <c r="C57" s="67">
        <f>C56/C$47</f>
        <v>0.77837746369553917</v>
      </c>
      <c r="D57" s="67">
        <f>D56/D$47</f>
        <v>0.78894748046266772</v>
      </c>
      <c r="E57" s="67"/>
      <c r="G57" s="67">
        <f>G56/G$47</f>
        <v>0.77837746369553917</v>
      </c>
      <c r="H57" s="67">
        <f>H56/H$47</f>
        <v>0.78894748046266772</v>
      </c>
      <c r="I57" s="67"/>
    </row>
    <row r="58" spans="2:9" ht="6" customHeight="1">
      <c r="B58" s="49"/>
      <c r="C58" s="3"/>
      <c r="D58" s="3"/>
      <c r="E58" s="10"/>
      <c r="G58" s="3"/>
      <c r="H58" s="3"/>
      <c r="I58" s="10"/>
    </row>
    <row r="59" spans="2:9">
      <c r="B59" t="s">
        <v>168</v>
      </c>
      <c r="C59" s="91">
        <f>'2026B'!C59</f>
        <v>-861.64400000000001</v>
      </c>
      <c r="D59" s="91">
        <f>'2026B'!D59</f>
        <v>-629</v>
      </c>
      <c r="E59" s="10">
        <f t="shared" si="4"/>
        <v>0.3698632750397457</v>
      </c>
      <c r="G59" s="91">
        <f t="shared" ref="G59:G60" si="55">C59</f>
        <v>-861.64400000000001</v>
      </c>
      <c r="H59" s="91">
        <f t="shared" ref="H59:H60" si="56">D59</f>
        <v>-629</v>
      </c>
      <c r="I59" s="10">
        <f t="shared" ref="I59:I60" si="57">G59/H59-1</f>
        <v>0.3698632750397457</v>
      </c>
    </row>
    <row r="60" spans="2:9">
      <c r="B60" t="s">
        <v>169</v>
      </c>
      <c r="C60" s="91">
        <f>'2026B'!C60</f>
        <v>-299.04899999999998</v>
      </c>
      <c r="D60" s="91">
        <f>'2026B'!D60</f>
        <v>-222</v>
      </c>
      <c r="E60" s="10">
        <f t="shared" si="4"/>
        <v>0.3470675675675674</v>
      </c>
      <c r="G60" s="91">
        <f t="shared" si="55"/>
        <v>-299.04899999999998</v>
      </c>
      <c r="H60" s="91">
        <f t="shared" si="56"/>
        <v>-222</v>
      </c>
      <c r="I60" s="10">
        <f t="shared" si="57"/>
        <v>0.3470675675675674</v>
      </c>
    </row>
    <row r="61" spans="2:9" ht="6" customHeight="1">
      <c r="B61" s="49"/>
      <c r="C61" s="3"/>
      <c r="D61" s="3"/>
      <c r="E61" s="10"/>
      <c r="G61" s="3"/>
      <c r="H61" s="3"/>
      <c r="I61" s="10"/>
    </row>
    <row r="62" spans="2:9">
      <c r="B62" s="65" t="s">
        <v>170</v>
      </c>
      <c r="C62" s="94">
        <f>SUM(C56,C59:C60)</f>
        <v>9523.3145915040004</v>
      </c>
      <c r="D62" s="94">
        <f>SUM(D56,D59:D60)</f>
        <v>8644.3960609786664</v>
      </c>
      <c r="E62" s="11">
        <f t="shared" si="4"/>
        <v>0.101674949218584</v>
      </c>
      <c r="G62" s="94">
        <f>SUM(G56,G59:G60)</f>
        <v>9523.3145915040004</v>
      </c>
      <c r="H62" s="94">
        <f>SUM(H56,H59:H60)</f>
        <v>8644.3960609786664</v>
      </c>
      <c r="I62" s="11">
        <f t="shared" ref="I62" si="58">G62/H62-1</f>
        <v>0.101674949218584</v>
      </c>
    </row>
    <row r="63" spans="2:9">
      <c r="B63" s="66" t="s">
        <v>171</v>
      </c>
      <c r="C63" s="67">
        <f>C62/C$47</f>
        <v>0.69381581716623464</v>
      </c>
      <c r="D63" s="67">
        <f>D62/D$47</f>
        <v>0.71824012907236334</v>
      </c>
      <c r="E63" s="67"/>
      <c r="G63" s="67">
        <f>G62/G$47</f>
        <v>0.69381581716623464</v>
      </c>
      <c r="H63" s="67">
        <f>H62/H$47</f>
        <v>0.71824012907236334</v>
      </c>
      <c r="I63" s="67"/>
    </row>
    <row r="64" spans="2:9" ht="6" customHeight="1">
      <c r="B64" s="49"/>
      <c r="C64" s="3"/>
      <c r="D64" s="3"/>
      <c r="E64" s="10"/>
      <c r="G64" s="3"/>
      <c r="H64" s="3"/>
      <c r="I64" s="10"/>
    </row>
    <row r="65" spans="2:9">
      <c r="B65" t="s">
        <v>172</v>
      </c>
      <c r="C65" s="91">
        <f>'2026B'!C65</f>
        <v>-4997</v>
      </c>
      <c r="D65" s="91">
        <f>'2026B'!D65</f>
        <v>-4690.5624749999997</v>
      </c>
      <c r="E65" s="10">
        <f t="shared" si="4"/>
        <v>6.533065631963475E-2</v>
      </c>
      <c r="G65" s="91">
        <f t="shared" ref="G65:G66" si="59">C65</f>
        <v>-4997</v>
      </c>
      <c r="H65" s="91">
        <f t="shared" ref="H65:H66" si="60">D65</f>
        <v>-4690.5624749999997</v>
      </c>
      <c r="I65" s="10">
        <f t="shared" ref="I65:I66" si="61">G65/H65-1</f>
        <v>6.533065631963475E-2</v>
      </c>
    </row>
    <row r="66" spans="2:9">
      <c r="B66" t="s">
        <v>173</v>
      </c>
      <c r="C66" s="91">
        <f>'2026B'!C66</f>
        <v>-1620.8430699999999</v>
      </c>
      <c r="D66" s="91">
        <f>'2026B'!D66</f>
        <v>-1528.3859199999999</v>
      </c>
      <c r="E66" s="10">
        <f t="shared" si="4"/>
        <v>6.0493327496762062E-2</v>
      </c>
      <c r="G66" s="91">
        <f t="shared" si="59"/>
        <v>-1620.8430699999999</v>
      </c>
      <c r="H66" s="91">
        <f t="shared" si="60"/>
        <v>-1528.3859199999999</v>
      </c>
      <c r="I66" s="10">
        <f t="shared" si="61"/>
        <v>6.0493327496762062E-2</v>
      </c>
    </row>
    <row r="67" spans="2:9" ht="6" customHeight="1">
      <c r="B67" s="49"/>
      <c r="C67" s="3"/>
      <c r="D67" s="3"/>
      <c r="E67" s="10"/>
      <c r="G67" s="3"/>
      <c r="H67" s="3"/>
      <c r="I67" s="10"/>
    </row>
    <row r="68" spans="2:9">
      <c r="B68" s="65" t="s">
        <v>174</v>
      </c>
      <c r="C68" s="94">
        <f>SUM(C62,C65:C66)</f>
        <v>2905.4715215040005</v>
      </c>
      <c r="D68" s="94">
        <f>SUM(D62,D65:D66)</f>
        <v>2425.4476659786669</v>
      </c>
      <c r="E68" s="11">
        <f t="shared" si="4"/>
        <v>0.19791144631094082</v>
      </c>
      <c r="G68" s="94">
        <f>SUM(G62,G65:G66)</f>
        <v>2905.4715215040005</v>
      </c>
      <c r="H68" s="94">
        <f>SUM(H62,H65:H66)</f>
        <v>2425.4476659786669</v>
      </c>
      <c r="I68" s="11">
        <f t="shared" ref="I68" si="62">G68/H68-1</f>
        <v>0.19791144631094082</v>
      </c>
    </row>
    <row r="69" spans="2:9">
      <c r="B69" s="66" t="s">
        <v>175</v>
      </c>
      <c r="C69" s="67">
        <f>C68/C$47</f>
        <v>0.2116765206668616</v>
      </c>
      <c r="D69" s="67">
        <f>D68/D$47</f>
        <v>0.2015240662716182</v>
      </c>
      <c r="E69" s="67"/>
      <c r="G69" s="67">
        <f>G68/G$47</f>
        <v>0.2116765206668616</v>
      </c>
      <c r="H69" s="67">
        <f>H68/H$47</f>
        <v>0.2015240662716182</v>
      </c>
      <c r="I69" s="67"/>
    </row>
    <row r="70" spans="2:9" ht="6" customHeight="1">
      <c r="B70" s="49"/>
      <c r="C70" s="3"/>
      <c r="D70" s="3"/>
      <c r="E70" s="10"/>
      <c r="G70" s="3"/>
      <c r="H70" s="3"/>
      <c r="I70" s="10"/>
    </row>
    <row r="71" spans="2:9">
      <c r="B71" t="s">
        <v>176</v>
      </c>
      <c r="C71" s="91">
        <f>'2026B'!C71</f>
        <v>-741.32</v>
      </c>
      <c r="D71" s="91">
        <f>'2026B'!D71</f>
        <v>-1130</v>
      </c>
      <c r="E71" s="10">
        <f t="shared" ref="E71:E73" si="63">C71/D71-1</f>
        <v>-0.3439646017699115</v>
      </c>
      <c r="G71" s="91">
        <f>C71+SUM('Initiatives Summary'!C77:U77)</f>
        <v>-2760.9174018351669</v>
      </c>
      <c r="H71" s="91">
        <f t="shared" ref="H71" si="64">D71</f>
        <v>-1130</v>
      </c>
      <c r="I71" s="10">
        <f t="shared" ref="I71" si="65">G71/H71-1</f>
        <v>1.4432897361373156</v>
      </c>
    </row>
    <row r="72" spans="2:9" ht="6" customHeight="1">
      <c r="B72" s="49"/>
      <c r="C72" s="3"/>
      <c r="D72" s="3"/>
      <c r="E72" s="10"/>
      <c r="G72" s="3"/>
      <c r="H72" s="3"/>
      <c r="I72" s="10"/>
    </row>
    <row r="73" spans="2:9">
      <c r="B73" s="65" t="s">
        <v>177</v>
      </c>
      <c r="C73" s="94">
        <f>SUM(C68,C71)</f>
        <v>2164.1515215040004</v>
      </c>
      <c r="D73" s="94">
        <f>SUM(D68,D71)</f>
        <v>1295.4476659786669</v>
      </c>
      <c r="E73" s="11">
        <f t="shared" si="63"/>
        <v>0.67058197589869994</v>
      </c>
      <c r="G73" s="94">
        <f>SUM(G68,G71)</f>
        <v>144.55411966883366</v>
      </c>
      <c r="H73" s="94">
        <f>SUM(H68,H71)</f>
        <v>1295.4476659786669</v>
      </c>
      <c r="I73" s="11">
        <f t="shared" ref="I73" si="66">G73/H73-1</f>
        <v>-0.88841377118879761</v>
      </c>
    </row>
    <row r="74" spans="2:9">
      <c r="B74" s="66" t="s">
        <v>178</v>
      </c>
      <c r="C74" s="67">
        <f>C73/C$47</f>
        <v>0.15766806209503945</v>
      </c>
      <c r="D74" s="67">
        <f>D73/D$47</f>
        <v>0.10763533880858191</v>
      </c>
      <c r="E74" s="67"/>
      <c r="G74" s="67">
        <f>G73/G$47</f>
        <v>1.0531410434792563E-2</v>
      </c>
      <c r="H74" s="67">
        <f>H73/H$47</f>
        <v>0.10763533880858191</v>
      </c>
      <c r="I74" s="67"/>
    </row>
  </sheetData>
  <pageMargins left="0.7" right="0.7" top="0.75" bottom="0.75" header="0.3" footer="0.3"/>
  <pageSetup paperSize="9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6792-93EE-460B-849B-FFD938AC3303}">
  <sheetPr>
    <tabColor rgb="FF92D050"/>
  </sheetPr>
  <dimension ref="B2:O107"/>
  <sheetViews>
    <sheetView showGridLines="0" topLeftCell="A68" workbookViewId="0">
      <selection activeCell="C82" sqref="C82"/>
    </sheetView>
  </sheetViews>
  <sheetFormatPr defaultColWidth="8.85546875" defaultRowHeight="15" outlineLevelRow="1"/>
  <cols>
    <col min="2" max="2" width="42.42578125" bestFit="1" customWidth="1"/>
    <col min="3" max="8" width="11.42578125" customWidth="1"/>
    <col min="10" max="15" width="11.42578125" customWidth="1"/>
  </cols>
  <sheetData>
    <row r="2" spans="2:15">
      <c r="B2" s="74"/>
      <c r="C2" s="144" t="s">
        <v>317</v>
      </c>
      <c r="D2" s="144" t="s">
        <v>317</v>
      </c>
      <c r="E2" s="144" t="s">
        <v>317</v>
      </c>
      <c r="F2" s="144" t="s">
        <v>317</v>
      </c>
      <c r="G2" s="144" t="s">
        <v>317</v>
      </c>
      <c r="H2" s="144" t="s">
        <v>278</v>
      </c>
      <c r="I2" s="1"/>
      <c r="J2" s="144" t="s">
        <v>323</v>
      </c>
      <c r="K2" s="144" t="s">
        <v>323</v>
      </c>
      <c r="L2" s="144" t="s">
        <v>323</v>
      </c>
      <c r="M2" s="144" t="s">
        <v>323</v>
      </c>
      <c r="N2" s="144" t="s">
        <v>323</v>
      </c>
      <c r="O2" s="74" t="s">
        <v>278</v>
      </c>
    </row>
    <row r="3" spans="2:15">
      <c r="B3" s="68" t="s">
        <v>221</v>
      </c>
      <c r="C3" s="74" t="s">
        <v>273</v>
      </c>
      <c r="D3" s="74" t="s">
        <v>257</v>
      </c>
      <c r="E3" s="74" t="s">
        <v>275</v>
      </c>
      <c r="F3" s="74" t="s">
        <v>279</v>
      </c>
      <c r="G3" s="74" t="s">
        <v>280</v>
      </c>
      <c r="H3" s="74" t="s">
        <v>281</v>
      </c>
      <c r="J3" s="74" t="s">
        <v>273</v>
      </c>
      <c r="K3" s="74" t="s">
        <v>257</v>
      </c>
      <c r="L3" s="74" t="s">
        <v>275</v>
      </c>
      <c r="M3" s="74" t="s">
        <v>279</v>
      </c>
      <c r="N3" s="74" t="s">
        <v>280</v>
      </c>
      <c r="O3" s="74" t="s">
        <v>281</v>
      </c>
    </row>
    <row r="4" spans="2:15" ht="6" customHeight="1" outlineLevel="1">
      <c r="B4" s="49"/>
      <c r="C4" s="63"/>
      <c r="D4" s="63"/>
      <c r="E4" s="63"/>
      <c r="F4" s="63"/>
      <c r="G4" s="63"/>
      <c r="H4" s="87"/>
      <c r="J4" s="63"/>
      <c r="K4" s="63"/>
      <c r="L4" s="63"/>
      <c r="M4" s="63"/>
      <c r="N4" s="63"/>
      <c r="O4" s="87"/>
    </row>
    <row r="5" spans="2:15" outlineLevel="1">
      <c r="B5" s="45" t="s">
        <v>228</v>
      </c>
      <c r="C5" s="46">
        <f>'2025A'!F5</f>
        <v>4327.2666800000006</v>
      </c>
      <c r="D5" s="46">
        <f>'2025A'!C5</f>
        <v>4530.8243099999991</v>
      </c>
      <c r="E5" s="46">
        <f>'2026B'!C5</f>
        <v>4698.95</v>
      </c>
      <c r="F5" s="46">
        <f>'Sales Budget Summary'!G4</f>
        <v>4933.8975</v>
      </c>
      <c r="G5" s="46">
        <f>'Sales Budget Summary'!H4</f>
        <v>5131.2534000000005</v>
      </c>
      <c r="H5" s="90">
        <f>IFERROR(_xlfn.RRI(3,D5,G5), "N/A")</f>
        <v>4.2354422581478701E-2</v>
      </c>
      <c r="J5" s="46">
        <f>C5</f>
        <v>4327.2666800000006</v>
      </c>
      <c r="K5" s="46">
        <f>D5</f>
        <v>4530.8243099999991</v>
      </c>
      <c r="L5" s="46">
        <f>E5</f>
        <v>4698.95</v>
      </c>
      <c r="M5" s="46">
        <f t="shared" ref="M5:N5" si="0">F5</f>
        <v>4933.8975</v>
      </c>
      <c r="N5" s="46">
        <f t="shared" si="0"/>
        <v>5131.2534000000005</v>
      </c>
      <c r="O5" s="90">
        <f>IFERROR(_xlfn.RRI(3,K5,N5), "N/A")</f>
        <v>4.2354422581478701E-2</v>
      </c>
    </row>
    <row r="6" spans="2:15" outlineLevel="1">
      <c r="B6" s="45" t="s">
        <v>229</v>
      </c>
      <c r="C6" s="46">
        <f>'2025A'!F6</f>
        <v>1811.1542800000002</v>
      </c>
      <c r="D6" s="46">
        <f>'2025A'!C6</f>
        <v>1906.7439800000002</v>
      </c>
      <c r="E6" s="46">
        <f>'2026B'!C6</f>
        <v>1912.9</v>
      </c>
      <c r="F6" s="46">
        <f>'Sales Budget Summary'!G5</f>
        <v>2008.5450000000001</v>
      </c>
      <c r="G6" s="46">
        <f>'Sales Budget Summary'!H5</f>
        <v>2088.8868000000002</v>
      </c>
      <c r="H6" s="90">
        <f t="shared" ref="H6:H11" si="1">IFERROR(_xlfn.RRI(3,D6,G6), "N/A")</f>
        <v>3.0878559663043426E-2</v>
      </c>
      <c r="J6" s="46">
        <f t="shared" ref="J6:K10" si="2">C6</f>
        <v>1811.1542800000002</v>
      </c>
      <c r="K6" s="46">
        <f t="shared" si="2"/>
        <v>1906.7439800000002</v>
      </c>
      <c r="L6" s="46">
        <f t="shared" ref="L6:L10" si="3">E6</f>
        <v>1912.9</v>
      </c>
      <c r="M6" s="46">
        <f t="shared" ref="M6:M10" si="4">F6</f>
        <v>2008.5450000000001</v>
      </c>
      <c r="N6" s="46">
        <f t="shared" ref="N6:N10" si="5">G6</f>
        <v>2088.8868000000002</v>
      </c>
      <c r="O6" s="90">
        <f t="shared" ref="O6:O11" si="6">IFERROR(_xlfn.RRI(3,K6,N6), "N/A")</f>
        <v>3.0878559663043426E-2</v>
      </c>
    </row>
    <row r="7" spans="2:15" outlineLevel="1">
      <c r="B7" s="45" t="s">
        <v>230</v>
      </c>
      <c r="C7" s="46">
        <f>'2025A'!F7</f>
        <v>723.30100698414697</v>
      </c>
      <c r="D7" s="46">
        <f>'2025A'!C7</f>
        <v>641.74332000000004</v>
      </c>
      <c r="E7" s="46">
        <f>'2026B'!C7</f>
        <v>771.75</v>
      </c>
      <c r="F7" s="46">
        <f>'Sales Budget Summary'!G6</f>
        <v>833.49</v>
      </c>
      <c r="G7" s="46">
        <f>'Sales Budget Summary'!H6</f>
        <v>891.8343000000001</v>
      </c>
      <c r="H7" s="90">
        <f t="shared" si="1"/>
        <v>0.11594023996955505</v>
      </c>
      <c r="J7" s="46">
        <f t="shared" si="2"/>
        <v>723.30100698414697</v>
      </c>
      <c r="K7" s="46">
        <f t="shared" si="2"/>
        <v>641.74332000000004</v>
      </c>
      <c r="L7" s="46">
        <f t="shared" si="3"/>
        <v>771.75</v>
      </c>
      <c r="M7" s="46">
        <f t="shared" si="4"/>
        <v>833.49</v>
      </c>
      <c r="N7" s="46">
        <f t="shared" si="5"/>
        <v>891.8343000000001</v>
      </c>
      <c r="O7" s="90">
        <f t="shared" si="6"/>
        <v>0.11594023996955505</v>
      </c>
    </row>
    <row r="8" spans="2:15" outlineLevel="1">
      <c r="B8" s="45" t="s">
        <v>231</v>
      </c>
      <c r="C8" s="46">
        <f>'2025A'!F8</f>
        <v>87.682839999999999</v>
      </c>
      <c r="D8" s="46">
        <f>'2025A'!C8</f>
        <v>145.07323</v>
      </c>
      <c r="E8" s="46">
        <f>'2026B'!C8</f>
        <v>227.5</v>
      </c>
      <c r="F8" s="46">
        <f>'Sales Budget Summary'!G7</f>
        <v>318.5</v>
      </c>
      <c r="G8" s="46">
        <f>'Sales Budget Summary'!H7</f>
        <v>414.05</v>
      </c>
      <c r="H8" s="90">
        <f t="shared" si="1"/>
        <v>0.41847549054746258</v>
      </c>
      <c r="J8" s="46">
        <f t="shared" si="2"/>
        <v>87.682839999999999</v>
      </c>
      <c r="K8" s="46">
        <f t="shared" si="2"/>
        <v>145.07323</v>
      </c>
      <c r="L8" s="46">
        <f t="shared" si="3"/>
        <v>227.5</v>
      </c>
      <c r="M8" s="46">
        <f t="shared" si="4"/>
        <v>318.5</v>
      </c>
      <c r="N8" s="46">
        <f t="shared" si="5"/>
        <v>414.05</v>
      </c>
      <c r="O8" s="90">
        <f t="shared" si="6"/>
        <v>0.41847549054746258</v>
      </c>
    </row>
    <row r="9" spans="2:15" outlineLevel="1">
      <c r="B9" s="45" t="s">
        <v>232</v>
      </c>
      <c r="C9" s="46">
        <f>'2025A'!F9</f>
        <v>36.581779999999995</v>
      </c>
      <c r="D9" s="46">
        <f>'2025A'!C9</f>
        <v>42.081430000000005</v>
      </c>
      <c r="E9" s="46">
        <f>'2026B'!C9</f>
        <v>158.97499999999999</v>
      </c>
      <c r="F9" s="46">
        <f>'Sales Budget Summary'!G8</f>
        <v>286.15499999999997</v>
      </c>
      <c r="G9" s="46">
        <f>'Sales Budget Summary'!H8</f>
        <v>457.84799999999996</v>
      </c>
      <c r="H9" s="90">
        <f t="shared" si="1"/>
        <v>1.2158665963130328</v>
      </c>
      <c r="J9" s="46">
        <f t="shared" si="2"/>
        <v>36.581779999999995</v>
      </c>
      <c r="K9" s="46">
        <f t="shared" si="2"/>
        <v>42.081430000000005</v>
      </c>
      <c r="L9" s="46">
        <f t="shared" si="3"/>
        <v>158.97499999999999</v>
      </c>
      <c r="M9" s="46">
        <f t="shared" si="4"/>
        <v>286.15499999999997</v>
      </c>
      <c r="N9" s="46">
        <f t="shared" si="5"/>
        <v>457.84799999999996</v>
      </c>
      <c r="O9" s="90">
        <f t="shared" si="6"/>
        <v>1.2158665963130328</v>
      </c>
    </row>
    <row r="10" spans="2:15" outlineLevel="1">
      <c r="B10" s="45" t="s">
        <v>233</v>
      </c>
      <c r="C10" s="46">
        <f>'2025A'!F10</f>
        <v>0</v>
      </c>
      <c r="D10" s="46">
        <f>'2025A'!C10</f>
        <v>8.8706399999999999</v>
      </c>
      <c r="E10" s="46">
        <f>'2026B'!C10</f>
        <v>67.5</v>
      </c>
      <c r="F10" s="46">
        <f>'Sales Budget Summary'!G9</f>
        <v>135</v>
      </c>
      <c r="G10" s="46">
        <f>'Sales Budget Summary'!H9</f>
        <v>243</v>
      </c>
      <c r="H10" s="90">
        <f t="shared" si="1"/>
        <v>2.0145126201846448</v>
      </c>
      <c r="J10" s="46">
        <f t="shared" si="2"/>
        <v>0</v>
      </c>
      <c r="K10" s="46">
        <f t="shared" si="2"/>
        <v>8.8706399999999999</v>
      </c>
      <c r="L10" s="46">
        <f t="shared" si="3"/>
        <v>67.5</v>
      </c>
      <c r="M10" s="46">
        <f t="shared" si="4"/>
        <v>135</v>
      </c>
      <c r="N10" s="46">
        <f t="shared" si="5"/>
        <v>243</v>
      </c>
      <c r="O10" s="90">
        <f t="shared" si="6"/>
        <v>2.0145126201846448</v>
      </c>
    </row>
    <row r="11" spans="2:15" outlineLevel="1">
      <c r="B11" s="47" t="s">
        <v>31</v>
      </c>
      <c r="C11" s="48">
        <f>SUM(C5:C10)</f>
        <v>6985.9865869841487</v>
      </c>
      <c r="D11" s="48">
        <f>SUM(D5:D10)</f>
        <v>7275.3369099999991</v>
      </c>
      <c r="E11" s="48">
        <f t="shared" ref="E11:G11" si="7">SUM(E5:E10)</f>
        <v>7837.5750000000007</v>
      </c>
      <c r="F11" s="48">
        <f t="shared" si="7"/>
        <v>8515.5874999999996</v>
      </c>
      <c r="G11" s="48">
        <f t="shared" si="7"/>
        <v>9226.8725000000013</v>
      </c>
      <c r="H11" s="95">
        <f t="shared" si="1"/>
        <v>8.2431618844025945E-2</v>
      </c>
      <c r="J11" s="48">
        <f>SUM(J5:J10)</f>
        <v>6985.9865869841487</v>
      </c>
      <c r="K11" s="48">
        <f>SUM(K5:K10)</f>
        <v>7275.3369099999991</v>
      </c>
      <c r="L11" s="48">
        <f t="shared" ref="L11:N11" si="8">SUM(L5:L10)</f>
        <v>7837.5750000000007</v>
      </c>
      <c r="M11" s="48">
        <f t="shared" si="8"/>
        <v>8515.5874999999996</v>
      </c>
      <c r="N11" s="48">
        <f t="shared" si="8"/>
        <v>9226.8725000000013</v>
      </c>
      <c r="O11" s="95">
        <f t="shared" si="6"/>
        <v>8.2431618844025945E-2</v>
      </c>
    </row>
    <row r="12" spans="2:15" ht="6" customHeight="1" outlineLevel="1">
      <c r="B12" s="49"/>
      <c r="C12" s="63"/>
      <c r="D12" s="63"/>
      <c r="E12" s="63"/>
      <c r="F12" s="63"/>
      <c r="G12" s="63"/>
      <c r="H12" s="96"/>
      <c r="J12" s="63"/>
      <c r="K12" s="63"/>
      <c r="L12" s="63"/>
      <c r="M12" s="63"/>
      <c r="N12" s="63"/>
      <c r="O12" s="96"/>
    </row>
    <row r="13" spans="2:15" outlineLevel="1">
      <c r="B13" s="44" t="s">
        <v>234</v>
      </c>
      <c r="C13" s="46">
        <f>'2025A'!F13</f>
        <v>120.10185645763202</v>
      </c>
      <c r="D13" s="46">
        <f>'2025A'!C13</f>
        <v>201.3082344</v>
      </c>
      <c r="E13" s="46">
        <f>'2026B'!C13</f>
        <v>321.7</v>
      </c>
      <c r="F13" s="46">
        <f>'Sales Budget Summary'!G12</f>
        <v>482.54999999999995</v>
      </c>
      <c r="G13" s="46">
        <f>'Sales Budget Summary'!H12</f>
        <v>675.56999999999994</v>
      </c>
      <c r="H13" s="90">
        <f t="shared" ref="H13:H15" si="9">IFERROR(_xlfn.RRI(3,D13,G13), "N/A")</f>
        <v>0.49716479121602419</v>
      </c>
      <c r="J13" s="46">
        <f t="shared" ref="J13:K14" si="10">C13</f>
        <v>120.10185645763202</v>
      </c>
      <c r="K13" s="46">
        <f t="shared" si="10"/>
        <v>201.3082344</v>
      </c>
      <c r="L13" s="46">
        <f t="shared" ref="L13:L14" si="11">E13</f>
        <v>321.7</v>
      </c>
      <c r="M13" s="46">
        <f t="shared" ref="M13:M14" si="12">F13</f>
        <v>482.54999999999995</v>
      </c>
      <c r="N13" s="46">
        <f t="shared" ref="N13:N14" si="13">G13</f>
        <v>675.56999999999994</v>
      </c>
      <c r="O13" s="90">
        <f t="shared" ref="O13:O15" si="14">IFERROR(_xlfn.RRI(3,K13,N13), "N/A")</f>
        <v>0.49716479121602419</v>
      </c>
    </row>
    <row r="14" spans="2:15" outlineLevel="1">
      <c r="B14" s="44" t="s">
        <v>235</v>
      </c>
      <c r="C14" s="46">
        <f>'2025A'!F14</f>
        <v>173.48070611518398</v>
      </c>
      <c r="D14" s="46">
        <f>'2025A'!C14</f>
        <v>177.28904740000002</v>
      </c>
      <c r="E14" s="46">
        <f>'2026B'!C14</f>
        <v>175</v>
      </c>
      <c r="F14" s="46">
        <f>'Sales Budget Summary'!G13</f>
        <v>175</v>
      </c>
      <c r="G14" s="46">
        <f>'Sales Budget Summary'!H13</f>
        <v>175</v>
      </c>
      <c r="H14" s="90">
        <f t="shared" si="9"/>
        <v>-4.3224521481128875E-3</v>
      </c>
      <c r="J14" s="46">
        <f t="shared" si="10"/>
        <v>173.48070611518398</v>
      </c>
      <c r="K14" s="46">
        <f t="shared" si="10"/>
        <v>177.28904740000002</v>
      </c>
      <c r="L14" s="46">
        <f t="shared" si="11"/>
        <v>175</v>
      </c>
      <c r="M14" s="46">
        <f t="shared" si="12"/>
        <v>175</v>
      </c>
      <c r="N14" s="46">
        <f t="shared" si="13"/>
        <v>175</v>
      </c>
      <c r="O14" s="90">
        <f t="shared" si="14"/>
        <v>-4.3224521481128875E-3</v>
      </c>
    </row>
    <row r="15" spans="2:15" outlineLevel="1">
      <c r="B15" s="51" t="s">
        <v>236</v>
      </c>
      <c r="C15" s="48">
        <f t="shared" ref="C15:G15" si="15">SUM(C13:C14)</f>
        <v>293.58256257281602</v>
      </c>
      <c r="D15" s="48">
        <f t="shared" si="15"/>
        <v>378.59728180000002</v>
      </c>
      <c r="E15" s="48">
        <f t="shared" si="15"/>
        <v>496.7</v>
      </c>
      <c r="F15" s="48">
        <f t="shared" si="15"/>
        <v>657.55</v>
      </c>
      <c r="G15" s="48">
        <f t="shared" si="15"/>
        <v>850.56999999999994</v>
      </c>
      <c r="H15" s="95">
        <f t="shared" si="9"/>
        <v>0.30971717629368922</v>
      </c>
      <c r="J15" s="48">
        <f t="shared" ref="J15:N15" si="16">SUM(J13:J14)</f>
        <v>293.58256257281602</v>
      </c>
      <c r="K15" s="48">
        <f t="shared" si="16"/>
        <v>378.59728180000002</v>
      </c>
      <c r="L15" s="48">
        <f t="shared" si="16"/>
        <v>496.7</v>
      </c>
      <c r="M15" s="48">
        <f t="shared" si="16"/>
        <v>657.55</v>
      </c>
      <c r="N15" s="48">
        <f t="shared" si="16"/>
        <v>850.56999999999994</v>
      </c>
      <c r="O15" s="95">
        <f t="shared" si="14"/>
        <v>0.30971717629368922</v>
      </c>
    </row>
    <row r="16" spans="2:15" ht="6" customHeight="1" outlineLevel="1">
      <c r="B16" s="49"/>
      <c r="C16" s="63"/>
      <c r="D16" s="63"/>
      <c r="E16" s="63"/>
      <c r="F16" s="63"/>
      <c r="G16" s="63"/>
      <c r="H16" s="96"/>
      <c r="J16" s="63"/>
      <c r="K16" s="63"/>
      <c r="L16" s="63"/>
      <c r="M16" s="63"/>
      <c r="N16" s="63"/>
      <c r="O16" s="96"/>
    </row>
    <row r="17" spans="2:15" outlineLevel="1">
      <c r="B17" s="45" t="s">
        <v>237</v>
      </c>
      <c r="C17" s="46">
        <f>'2025A'!F17</f>
        <v>723.64898508591909</v>
      </c>
      <c r="D17" s="46">
        <f>'2025A'!C17</f>
        <v>754.68615419999992</v>
      </c>
      <c r="E17" s="46">
        <f>'2026B'!C17</f>
        <v>983.24199999999996</v>
      </c>
      <c r="F17" s="46">
        <f>'Sales Budget Summary'!G16</f>
        <v>1278.2146</v>
      </c>
      <c r="G17" s="46">
        <f>'Sales Budget Summary'!H16</f>
        <v>1533.85752</v>
      </c>
      <c r="H17" s="90">
        <f t="shared" ref="H17:H19" si="17">IFERROR(_xlfn.RRI(3,D17,G17), "N/A")</f>
        <v>0.26669740018977106</v>
      </c>
      <c r="J17" s="46">
        <f t="shared" ref="J17:K18" si="18">C17</f>
        <v>723.64898508591909</v>
      </c>
      <c r="K17" s="46">
        <f t="shared" si="18"/>
        <v>754.68615419999992</v>
      </c>
      <c r="L17" s="46">
        <f t="shared" ref="L17:L18" si="19">E17</f>
        <v>983.24199999999996</v>
      </c>
      <c r="M17" s="46">
        <f t="shared" ref="M17:M18" si="20">F17</f>
        <v>1278.2146</v>
      </c>
      <c r="N17" s="46">
        <f t="shared" ref="N17:N18" si="21">G17</f>
        <v>1533.85752</v>
      </c>
      <c r="O17" s="90">
        <f t="shared" ref="O17:O19" si="22">IFERROR(_xlfn.RRI(3,K17,N17), "N/A")</f>
        <v>0.26669740018977106</v>
      </c>
    </row>
    <row r="18" spans="2:15" outlineLevel="1">
      <c r="B18" s="45" t="s">
        <v>64</v>
      </c>
      <c r="C18" s="46">
        <f>'2025A'!F18</f>
        <v>35.717858636318098</v>
      </c>
      <c r="D18" s="46">
        <f>'2025A'!C18</f>
        <v>5</v>
      </c>
      <c r="E18" s="46">
        <f>'2026B'!C18</f>
        <v>20</v>
      </c>
      <c r="F18" s="46">
        <f>'Sales Budget Summary'!G17</f>
        <v>20</v>
      </c>
      <c r="G18" s="46">
        <f>'Sales Budget Summary'!H17</f>
        <v>20</v>
      </c>
      <c r="H18" s="90">
        <f t="shared" si="17"/>
        <v>0.58740105196819936</v>
      </c>
      <c r="J18" s="46">
        <f t="shared" si="18"/>
        <v>35.717858636318098</v>
      </c>
      <c r="K18" s="46">
        <f t="shared" si="18"/>
        <v>5</v>
      </c>
      <c r="L18" s="46">
        <f t="shared" si="19"/>
        <v>20</v>
      </c>
      <c r="M18" s="46">
        <f t="shared" si="20"/>
        <v>20</v>
      </c>
      <c r="N18" s="46">
        <f t="shared" si="21"/>
        <v>20</v>
      </c>
      <c r="O18" s="90">
        <f t="shared" si="22"/>
        <v>0.58740105196819936</v>
      </c>
    </row>
    <row r="19" spans="2:15" outlineLevel="1">
      <c r="B19" s="47" t="s">
        <v>238</v>
      </c>
      <c r="C19" s="48">
        <f t="shared" ref="C19:G19" si="23">SUM(C17:C18)</f>
        <v>759.36684372223715</v>
      </c>
      <c r="D19" s="48">
        <f t="shared" si="23"/>
        <v>759.68615419999992</v>
      </c>
      <c r="E19" s="48">
        <f t="shared" si="23"/>
        <v>1003.242</v>
      </c>
      <c r="F19" s="48">
        <f t="shared" si="23"/>
        <v>1298.2146</v>
      </c>
      <c r="G19" s="48">
        <f t="shared" si="23"/>
        <v>1553.85752</v>
      </c>
      <c r="H19" s="95">
        <f t="shared" si="17"/>
        <v>0.26938197637891537</v>
      </c>
      <c r="J19" s="48">
        <f t="shared" ref="J19:N19" si="24">SUM(J17:J18)</f>
        <v>759.36684372223715</v>
      </c>
      <c r="K19" s="48">
        <f t="shared" si="24"/>
        <v>759.68615419999992</v>
      </c>
      <c r="L19" s="48">
        <f t="shared" si="24"/>
        <v>1003.242</v>
      </c>
      <c r="M19" s="48">
        <f t="shared" si="24"/>
        <v>1298.2146</v>
      </c>
      <c r="N19" s="48">
        <f t="shared" si="24"/>
        <v>1553.85752</v>
      </c>
      <c r="O19" s="95">
        <f t="shared" si="22"/>
        <v>0.26938197637891537</v>
      </c>
    </row>
    <row r="20" spans="2:15" ht="6" customHeight="1" outlineLevel="1">
      <c r="B20" s="49"/>
      <c r="C20" s="63"/>
      <c r="D20" s="63"/>
      <c r="E20" s="63"/>
      <c r="F20" s="63"/>
      <c r="G20" s="63"/>
      <c r="H20" s="96"/>
      <c r="J20" s="63"/>
      <c r="K20" s="63"/>
      <c r="L20" s="63"/>
      <c r="M20" s="63"/>
      <c r="N20" s="63"/>
      <c r="O20" s="96"/>
    </row>
    <row r="21" spans="2:15" outlineLevel="1">
      <c r="B21" s="45" t="s">
        <v>239</v>
      </c>
      <c r="C21" s="46">
        <f>'2025A'!F21</f>
        <v>400.00112999999999</v>
      </c>
      <c r="D21" s="46">
        <f>'2025A'!C21</f>
        <v>447.78187000000008</v>
      </c>
      <c r="E21" s="46">
        <f>'2026B'!C21</f>
        <v>430</v>
      </c>
      <c r="F21" s="46">
        <f>'Sales Budget Summary'!G20</f>
        <v>440</v>
      </c>
      <c r="G21" s="46">
        <f>'Sales Budget Summary'!H20</f>
        <v>450</v>
      </c>
      <c r="H21" s="90">
        <f t="shared" ref="H21:H28" si="25">IFERROR(_xlfn.RRI(3,D21,G21), "N/A")</f>
        <v>1.6484793319253566E-3</v>
      </c>
      <c r="J21" s="46">
        <f t="shared" ref="J21:K27" si="26">C21</f>
        <v>400.00112999999999</v>
      </c>
      <c r="K21" s="46">
        <f t="shared" si="26"/>
        <v>447.78187000000008</v>
      </c>
      <c r="L21" s="46">
        <f t="shared" ref="L21:L27" si="27">E21</f>
        <v>430</v>
      </c>
      <c r="M21" s="46">
        <f t="shared" ref="M21:M27" si="28">F21</f>
        <v>440</v>
      </c>
      <c r="N21" s="46">
        <f t="shared" ref="N21:N27" si="29">G21</f>
        <v>450</v>
      </c>
      <c r="O21" s="90">
        <f t="shared" ref="O21:O28" si="30">IFERROR(_xlfn.RRI(3,K21,N21), "N/A")</f>
        <v>1.6484793319253566E-3</v>
      </c>
    </row>
    <row r="22" spans="2:15" outlineLevel="1">
      <c r="B22" s="45" t="s">
        <v>240</v>
      </c>
      <c r="C22" s="46">
        <f>'2025A'!F22</f>
        <v>487.42534000000006</v>
      </c>
      <c r="D22" s="46">
        <f>'2025A'!C22</f>
        <v>567.51580000000001</v>
      </c>
      <c r="E22" s="46">
        <f>'2026B'!C22</f>
        <v>625</v>
      </c>
      <c r="F22" s="46">
        <f>'Sales Budget Summary'!G21</f>
        <v>650</v>
      </c>
      <c r="G22" s="46">
        <f>'Sales Budget Summary'!H21</f>
        <v>675</v>
      </c>
      <c r="H22" s="90">
        <f t="shared" si="25"/>
        <v>5.9518648888459369E-2</v>
      </c>
      <c r="J22" s="46">
        <f t="shared" si="26"/>
        <v>487.42534000000006</v>
      </c>
      <c r="K22" s="46">
        <f t="shared" si="26"/>
        <v>567.51580000000001</v>
      </c>
      <c r="L22" s="46">
        <f t="shared" si="27"/>
        <v>625</v>
      </c>
      <c r="M22" s="46">
        <f t="shared" si="28"/>
        <v>650</v>
      </c>
      <c r="N22" s="46">
        <f t="shared" si="29"/>
        <v>675</v>
      </c>
      <c r="O22" s="90">
        <f t="shared" si="30"/>
        <v>5.9518648888459369E-2</v>
      </c>
    </row>
    <row r="23" spans="2:15" outlineLevel="1">
      <c r="B23" s="45" t="s">
        <v>241</v>
      </c>
      <c r="C23" s="46">
        <f>'2025A'!F23</f>
        <v>297.28224</v>
      </c>
      <c r="D23" s="46">
        <f>'2025A'!C23</f>
        <v>277.16552000000001</v>
      </c>
      <c r="E23" s="46">
        <f>'2026B'!C23</f>
        <v>350</v>
      </c>
      <c r="F23" s="46">
        <f>'Sales Budget Summary'!G22</f>
        <v>380</v>
      </c>
      <c r="G23" s="46">
        <f>'Sales Budget Summary'!H22</f>
        <v>420</v>
      </c>
      <c r="H23" s="90">
        <f t="shared" si="25"/>
        <v>0.14860321994325232</v>
      </c>
      <c r="J23" s="46">
        <f t="shared" si="26"/>
        <v>297.28224</v>
      </c>
      <c r="K23" s="46">
        <f t="shared" si="26"/>
        <v>277.16552000000001</v>
      </c>
      <c r="L23" s="46">
        <f t="shared" si="27"/>
        <v>350</v>
      </c>
      <c r="M23" s="46">
        <f t="shared" si="28"/>
        <v>380</v>
      </c>
      <c r="N23" s="46">
        <f t="shared" si="29"/>
        <v>420</v>
      </c>
      <c r="O23" s="90">
        <f t="shared" si="30"/>
        <v>0.14860321994325232</v>
      </c>
    </row>
    <row r="24" spans="2:15" outlineLevel="1">
      <c r="B24" s="45" t="s">
        <v>242</v>
      </c>
      <c r="C24" s="46">
        <f>'2025A'!F24</f>
        <v>245.10886000000005</v>
      </c>
      <c r="D24" s="46">
        <f>'2025A'!C24</f>
        <v>443.66261000000003</v>
      </c>
      <c r="E24" s="46">
        <f>'2026B'!C24</f>
        <v>457.5</v>
      </c>
      <c r="F24" s="46">
        <f>'Sales Budget Summary'!G23</f>
        <v>520</v>
      </c>
      <c r="G24" s="46">
        <f>'Sales Budget Summary'!H23</f>
        <v>625</v>
      </c>
      <c r="H24" s="90">
        <f t="shared" si="25"/>
        <v>0.121008904991174</v>
      </c>
      <c r="J24" s="46">
        <f t="shared" si="26"/>
        <v>245.10886000000005</v>
      </c>
      <c r="K24" s="46">
        <f t="shared" si="26"/>
        <v>443.66261000000003</v>
      </c>
      <c r="L24" s="46">
        <f t="shared" si="27"/>
        <v>457.5</v>
      </c>
      <c r="M24" s="46">
        <f t="shared" si="28"/>
        <v>520</v>
      </c>
      <c r="N24" s="46">
        <f t="shared" si="29"/>
        <v>625</v>
      </c>
      <c r="O24" s="90">
        <f t="shared" si="30"/>
        <v>0.121008904991174</v>
      </c>
    </row>
    <row r="25" spans="2:15" outlineLevel="1">
      <c r="B25" s="45" t="s">
        <v>243</v>
      </c>
      <c r="C25" s="46">
        <f>'2025A'!F25</f>
        <v>28.565149999999996</v>
      </c>
      <c r="D25" s="46">
        <f>'2025A'!C25</f>
        <v>34.968969999999999</v>
      </c>
      <c r="E25" s="46">
        <f>'2026B'!C25</f>
        <v>30</v>
      </c>
      <c r="F25" s="46">
        <f>'Sales Budget Summary'!G24</f>
        <v>40</v>
      </c>
      <c r="G25" s="46">
        <f>'Sales Budget Summary'!H24</f>
        <v>50</v>
      </c>
      <c r="H25" s="90">
        <f t="shared" si="25"/>
        <v>0.12658091036364283</v>
      </c>
      <c r="J25" s="46">
        <f t="shared" si="26"/>
        <v>28.565149999999996</v>
      </c>
      <c r="K25" s="46">
        <f t="shared" si="26"/>
        <v>34.968969999999999</v>
      </c>
      <c r="L25" s="46">
        <f t="shared" si="27"/>
        <v>30</v>
      </c>
      <c r="M25" s="46">
        <f t="shared" si="28"/>
        <v>40</v>
      </c>
      <c r="N25" s="46">
        <f t="shared" si="29"/>
        <v>50</v>
      </c>
      <c r="O25" s="90">
        <f t="shared" si="30"/>
        <v>0.12658091036364283</v>
      </c>
    </row>
    <row r="26" spans="2:15" outlineLevel="1">
      <c r="B26" s="45" t="s">
        <v>244</v>
      </c>
      <c r="C26" s="46">
        <f>'2025A'!F26</f>
        <v>15.133949999999999</v>
      </c>
      <c r="D26" s="46">
        <f>'2025A'!C26</f>
        <v>14.61966</v>
      </c>
      <c r="E26" s="46">
        <f>'2026B'!C26</f>
        <v>20</v>
      </c>
      <c r="F26" s="46">
        <f>'Sales Budget Summary'!G25</f>
        <v>50</v>
      </c>
      <c r="G26" s="46">
        <f>'Sales Budget Summary'!H25</f>
        <v>100</v>
      </c>
      <c r="H26" s="90">
        <f t="shared" si="25"/>
        <v>0.89825364490749182</v>
      </c>
      <c r="J26" s="46">
        <f t="shared" si="26"/>
        <v>15.133949999999999</v>
      </c>
      <c r="K26" s="46">
        <f t="shared" si="26"/>
        <v>14.61966</v>
      </c>
      <c r="L26" s="46">
        <f t="shared" si="27"/>
        <v>20</v>
      </c>
      <c r="M26" s="46">
        <f t="shared" si="28"/>
        <v>50</v>
      </c>
      <c r="N26" s="46">
        <f t="shared" si="29"/>
        <v>100</v>
      </c>
      <c r="O26" s="90">
        <f t="shared" si="30"/>
        <v>0.89825364490749182</v>
      </c>
    </row>
    <row r="27" spans="2:15" outlineLevel="1">
      <c r="B27" s="45" t="s">
        <v>245</v>
      </c>
      <c r="C27" s="46">
        <f>'2025A'!F27</f>
        <v>54.728430000000003</v>
      </c>
      <c r="D27" s="46">
        <f>'2025A'!C27</f>
        <v>31.812060000000002</v>
      </c>
      <c r="E27" s="46">
        <f>'2026B'!C27</f>
        <v>32</v>
      </c>
      <c r="F27" s="46">
        <f>'Sales Budget Summary'!G26</f>
        <v>36</v>
      </c>
      <c r="G27" s="46">
        <f>'Sales Budget Summary'!H26</f>
        <v>40</v>
      </c>
      <c r="H27" s="90">
        <f t="shared" si="25"/>
        <v>7.9334517426726148E-2</v>
      </c>
      <c r="J27" s="46">
        <f t="shared" si="26"/>
        <v>54.728430000000003</v>
      </c>
      <c r="K27" s="46">
        <f t="shared" si="26"/>
        <v>31.812060000000002</v>
      </c>
      <c r="L27" s="46">
        <f t="shared" si="27"/>
        <v>32</v>
      </c>
      <c r="M27" s="46">
        <f t="shared" si="28"/>
        <v>36</v>
      </c>
      <c r="N27" s="46">
        <f t="shared" si="29"/>
        <v>40</v>
      </c>
      <c r="O27" s="90">
        <f t="shared" si="30"/>
        <v>7.9334517426726148E-2</v>
      </c>
    </row>
    <row r="28" spans="2:15" outlineLevel="1">
      <c r="B28" s="47" t="s">
        <v>100</v>
      </c>
      <c r="C28" s="48">
        <f t="shared" ref="C28:G28" si="31">SUM(C21:C27)</f>
        <v>1528.2451000000001</v>
      </c>
      <c r="D28" s="48">
        <f t="shared" si="31"/>
        <v>1817.5264900000002</v>
      </c>
      <c r="E28" s="48">
        <f t="shared" si="31"/>
        <v>1944.5</v>
      </c>
      <c r="F28" s="48">
        <f t="shared" si="31"/>
        <v>2116</v>
      </c>
      <c r="G28" s="48">
        <f t="shared" si="31"/>
        <v>2360</v>
      </c>
      <c r="H28" s="95">
        <f t="shared" si="25"/>
        <v>9.0963995121111862E-2</v>
      </c>
      <c r="J28" s="48">
        <f t="shared" ref="J28:N28" si="32">SUM(J21:J27)</f>
        <v>1528.2451000000001</v>
      </c>
      <c r="K28" s="48">
        <f t="shared" si="32"/>
        <v>1817.5264900000002</v>
      </c>
      <c r="L28" s="48">
        <f t="shared" si="32"/>
        <v>1944.5</v>
      </c>
      <c r="M28" s="48">
        <f t="shared" si="32"/>
        <v>2116</v>
      </c>
      <c r="N28" s="48">
        <f t="shared" si="32"/>
        <v>2360</v>
      </c>
      <c r="O28" s="95">
        <f t="shared" si="30"/>
        <v>9.0963995121111862E-2</v>
      </c>
    </row>
    <row r="29" spans="2:15" ht="6" customHeight="1" outlineLevel="1">
      <c r="B29" s="49"/>
      <c r="C29" s="63"/>
      <c r="D29" s="63"/>
      <c r="E29" s="63"/>
      <c r="F29" s="63"/>
      <c r="G29" s="63"/>
      <c r="H29" s="96"/>
      <c r="J29" s="63"/>
      <c r="K29" s="63"/>
      <c r="L29" s="63"/>
      <c r="M29" s="63"/>
      <c r="N29" s="63"/>
      <c r="O29" s="96"/>
    </row>
    <row r="30" spans="2:15" ht="15.75" outlineLevel="1" thickBot="1">
      <c r="B30" s="52" t="s">
        <v>246</v>
      </c>
      <c r="C30" s="53">
        <f t="shared" ref="C30:G30" si="33">SUM(C11,C15,C19,C28)</f>
        <v>9567.1810932792014</v>
      </c>
      <c r="D30" s="53">
        <f t="shared" si="33"/>
        <v>10231.146836</v>
      </c>
      <c r="E30" s="53">
        <f t="shared" si="33"/>
        <v>11282.017000000002</v>
      </c>
      <c r="F30" s="53">
        <f t="shared" si="33"/>
        <v>12587.352099999998</v>
      </c>
      <c r="G30" s="53">
        <f t="shared" si="33"/>
        <v>13991.300020000001</v>
      </c>
      <c r="H30" s="97">
        <f>IFERROR(_xlfn.RRI(3,D30,G30), "N/A")</f>
        <v>0.1099700246596591</v>
      </c>
      <c r="J30" s="53">
        <f t="shared" ref="J30:N30" si="34">SUM(J11,J15,J19,J28)</f>
        <v>9567.1810932792014</v>
      </c>
      <c r="K30" s="53">
        <f t="shared" si="34"/>
        <v>10231.146836</v>
      </c>
      <c r="L30" s="53">
        <f t="shared" si="34"/>
        <v>11282.017000000002</v>
      </c>
      <c r="M30" s="53">
        <f t="shared" si="34"/>
        <v>12587.352099999998</v>
      </c>
      <c r="N30" s="53">
        <f t="shared" si="34"/>
        <v>13991.300020000001</v>
      </c>
      <c r="O30" s="97">
        <f>IFERROR(_xlfn.RRI(3,K30,N30), "N/A")</f>
        <v>0.1099700246596591</v>
      </c>
    </row>
    <row r="31" spans="2:15" ht="6" customHeight="1" outlineLevel="1">
      <c r="B31" s="49"/>
      <c r="C31" s="63"/>
      <c r="D31" s="63"/>
      <c r="E31" s="63"/>
      <c r="F31" s="63"/>
      <c r="G31" s="63"/>
      <c r="H31" s="96"/>
      <c r="J31" s="63"/>
      <c r="K31" s="63"/>
      <c r="L31" s="63"/>
      <c r="M31" s="63"/>
      <c r="N31" s="63"/>
      <c r="O31" s="96"/>
    </row>
    <row r="32" spans="2:15" outlineLevel="1">
      <c r="B32" t="s">
        <v>247</v>
      </c>
      <c r="C32" s="46">
        <f>'2025A'!F32</f>
        <v>227.20375000000004</v>
      </c>
      <c r="D32" s="46">
        <f>'2025A'!C32</f>
        <v>500.90406999999993</v>
      </c>
      <c r="E32" s="46">
        <f>'2026B'!C32</f>
        <v>800</v>
      </c>
      <c r="F32" s="46">
        <f>'Sales Budget Summary'!G31</f>
        <v>1200</v>
      </c>
      <c r="G32" s="46">
        <f>'Sales Budget Summary'!H31</f>
        <v>1600</v>
      </c>
      <c r="H32" s="90">
        <f t="shared" ref="H32:H34" si="35">IFERROR(_xlfn.RRI(3,D32,G32), "N/A")</f>
        <v>0.4727255026098498</v>
      </c>
      <c r="J32" s="46">
        <f t="shared" ref="J32:K34" si="36">C32</f>
        <v>227.20375000000004</v>
      </c>
      <c r="K32" s="46">
        <f t="shared" si="36"/>
        <v>500.90406999999993</v>
      </c>
      <c r="L32" s="46">
        <f t="shared" ref="L32:L34" si="37">E32</f>
        <v>800</v>
      </c>
      <c r="M32" s="46">
        <f t="shared" ref="M32:M34" si="38">F32</f>
        <v>1200</v>
      </c>
      <c r="N32" s="46">
        <f t="shared" ref="N32:N34" si="39">G32</f>
        <v>1600</v>
      </c>
      <c r="O32" s="90">
        <f t="shared" ref="O32:O34" si="40">IFERROR(_xlfn.RRI(3,K32,N32), "N/A")</f>
        <v>0.4727255026098498</v>
      </c>
    </row>
    <row r="33" spans="2:15" outlineLevel="1">
      <c r="B33" t="s">
        <v>248</v>
      </c>
      <c r="C33" s="46">
        <f>'2025A'!F33</f>
        <v>0</v>
      </c>
      <c r="D33" s="46">
        <f>'2025A'!C33</f>
        <v>105.64609</v>
      </c>
      <c r="E33" s="46">
        <f>'2026B'!C33</f>
        <v>200</v>
      </c>
      <c r="F33" s="46">
        <f>'Sales Budget Summary'!G32</f>
        <v>300</v>
      </c>
      <c r="G33" s="46">
        <f>'Sales Budget Summary'!H32</f>
        <v>500</v>
      </c>
      <c r="H33" s="90">
        <f t="shared" si="35"/>
        <v>0.67895423654083675</v>
      </c>
      <c r="J33" s="46">
        <f t="shared" si="36"/>
        <v>0</v>
      </c>
      <c r="K33" s="46">
        <f t="shared" si="36"/>
        <v>105.64609</v>
      </c>
      <c r="L33" s="46">
        <f t="shared" si="37"/>
        <v>200</v>
      </c>
      <c r="M33" s="46">
        <f t="shared" si="38"/>
        <v>300</v>
      </c>
      <c r="N33" s="46">
        <f t="shared" si="39"/>
        <v>500</v>
      </c>
      <c r="O33" s="90">
        <f t="shared" si="40"/>
        <v>0.67895423654083675</v>
      </c>
    </row>
    <row r="34" spans="2:15" outlineLevel="1">
      <c r="B34" t="s">
        <v>249</v>
      </c>
      <c r="C34" s="46">
        <f>'2025A'!F34</f>
        <v>0</v>
      </c>
      <c r="D34" s="46">
        <f>'2025A'!C34</f>
        <v>0</v>
      </c>
      <c r="E34" s="46">
        <f>'2026B'!C34</f>
        <v>145</v>
      </c>
      <c r="F34" s="46">
        <f>'Sales Budget Summary'!G33</f>
        <v>225</v>
      </c>
      <c r="G34" s="46">
        <f>'Sales Budget Summary'!H33</f>
        <v>375</v>
      </c>
      <c r="H34" s="90" t="str">
        <f t="shared" si="35"/>
        <v>N/A</v>
      </c>
      <c r="J34" s="46">
        <f t="shared" si="36"/>
        <v>0</v>
      </c>
      <c r="K34" s="46">
        <f t="shared" si="36"/>
        <v>0</v>
      </c>
      <c r="L34" s="46">
        <f t="shared" si="37"/>
        <v>145</v>
      </c>
      <c r="M34" s="46">
        <f t="shared" si="38"/>
        <v>225</v>
      </c>
      <c r="N34" s="46">
        <f t="shared" si="39"/>
        <v>375</v>
      </c>
      <c r="O34" s="90" t="str">
        <f t="shared" si="40"/>
        <v>N/A</v>
      </c>
    </row>
    <row r="35" spans="2:15" ht="6" customHeight="1" outlineLevel="1">
      <c r="B35" s="49"/>
      <c r="C35" s="63"/>
      <c r="D35" s="63"/>
      <c r="E35" s="63"/>
      <c r="F35" s="63"/>
      <c r="G35" s="63"/>
      <c r="H35" s="96"/>
      <c r="J35" s="63"/>
      <c r="K35" s="63"/>
      <c r="L35" s="63"/>
      <c r="M35" s="63"/>
      <c r="N35" s="63"/>
      <c r="O35" s="96"/>
    </row>
    <row r="36" spans="2:15" ht="15.75" outlineLevel="1" thickBot="1">
      <c r="B36" s="52" t="s">
        <v>250</v>
      </c>
      <c r="C36" s="53">
        <f t="shared" ref="C36:G36" si="41">SUM(C32:C34)</f>
        <v>227.20375000000004</v>
      </c>
      <c r="D36" s="53">
        <f t="shared" si="41"/>
        <v>606.55015999999989</v>
      </c>
      <c r="E36" s="53">
        <f t="shared" si="41"/>
        <v>1145</v>
      </c>
      <c r="F36" s="53">
        <f t="shared" si="41"/>
        <v>1725</v>
      </c>
      <c r="G36" s="53">
        <f t="shared" si="41"/>
        <v>2475</v>
      </c>
      <c r="H36" s="97">
        <f>IFERROR(_xlfn.RRI(3,D36,G36), "N/A")</f>
        <v>0.59797320920415142</v>
      </c>
      <c r="J36" s="53">
        <f t="shared" ref="J36:N36" si="42">SUM(J32:J34)</f>
        <v>227.20375000000004</v>
      </c>
      <c r="K36" s="53">
        <f t="shared" si="42"/>
        <v>606.55015999999989</v>
      </c>
      <c r="L36" s="53">
        <f t="shared" si="42"/>
        <v>1145</v>
      </c>
      <c r="M36" s="53">
        <f t="shared" si="42"/>
        <v>1725</v>
      </c>
      <c r="N36" s="53">
        <f t="shared" si="42"/>
        <v>2475</v>
      </c>
      <c r="O36" s="97">
        <f>IFERROR(_xlfn.RRI(3,K36,N36), "N/A")</f>
        <v>0.59797320920415142</v>
      </c>
    </row>
    <row r="37" spans="2:15" ht="6" customHeight="1" outlineLevel="1">
      <c r="B37" s="49"/>
      <c r="C37" s="63"/>
      <c r="D37" s="63"/>
      <c r="E37" s="63"/>
      <c r="F37" s="63"/>
      <c r="G37" s="63"/>
      <c r="H37" s="96"/>
      <c r="J37" s="63"/>
      <c r="K37" s="63"/>
      <c r="L37" s="63"/>
      <c r="M37" s="63"/>
      <c r="N37" s="63"/>
      <c r="O37" s="96"/>
    </row>
    <row r="38" spans="2:15" outlineLevel="1">
      <c r="B38" t="s">
        <v>251</v>
      </c>
      <c r="C38" s="46">
        <f>'2025A'!F38</f>
        <v>394.85068254782402</v>
      </c>
      <c r="D38" s="46">
        <f>'2025A'!C38</f>
        <v>660.48169199999995</v>
      </c>
      <c r="E38" s="46">
        <f>'2026B'!C38</f>
        <v>748</v>
      </c>
      <c r="F38" s="46">
        <f>'Sales Budget Summary'!G37</f>
        <v>822.80000000000007</v>
      </c>
      <c r="G38" s="46">
        <f>'Sales Budget Summary'!H37</f>
        <v>888.62400000000014</v>
      </c>
      <c r="H38" s="90">
        <f t="shared" ref="H38:H41" si="43">IFERROR(_xlfn.RRI(3,D38,G38), "N/A")</f>
        <v>0.10395766247333982</v>
      </c>
      <c r="J38" s="46">
        <f t="shared" ref="J38:K41" si="44">C38</f>
        <v>394.85068254782402</v>
      </c>
      <c r="K38" s="46">
        <f t="shared" si="44"/>
        <v>660.48169199999995</v>
      </c>
      <c r="L38" s="46">
        <f t="shared" ref="L38:L41" si="45">E38</f>
        <v>748</v>
      </c>
      <c r="M38" s="46">
        <f t="shared" ref="M38:M41" si="46">F38</f>
        <v>822.80000000000007</v>
      </c>
      <c r="N38" s="46">
        <f t="shared" ref="N38:N41" si="47">G38</f>
        <v>888.62400000000014</v>
      </c>
      <c r="O38" s="90">
        <f t="shared" ref="O38:O41" si="48">IFERROR(_xlfn.RRI(3,K38,N38), "N/A")</f>
        <v>0.10395766247333982</v>
      </c>
    </row>
    <row r="39" spans="2:15" outlineLevel="1">
      <c r="B39" t="s">
        <v>252</v>
      </c>
      <c r="C39" s="46">
        <f>'2025A'!F39</f>
        <v>306.28693608745948</v>
      </c>
      <c r="D39" s="46">
        <f>'2025A'!C39</f>
        <v>396.49359879999997</v>
      </c>
      <c r="E39" s="46">
        <f>'2026B'!C39</f>
        <v>406</v>
      </c>
      <c r="F39" s="46">
        <f>'Sales Budget Summary'!G38</f>
        <v>446.6</v>
      </c>
      <c r="G39" s="46">
        <f>'Sales Budget Summary'!H38</f>
        <v>482.32800000000003</v>
      </c>
      <c r="H39" s="90">
        <f t="shared" si="43"/>
        <v>6.7502165425224137E-2</v>
      </c>
      <c r="J39" s="46">
        <f t="shared" si="44"/>
        <v>306.28693608745948</v>
      </c>
      <c r="K39" s="46">
        <f t="shared" si="44"/>
        <v>396.49359879999997</v>
      </c>
      <c r="L39" s="46">
        <f t="shared" si="45"/>
        <v>406</v>
      </c>
      <c r="M39" s="46">
        <f t="shared" si="46"/>
        <v>446.6</v>
      </c>
      <c r="N39" s="46">
        <f t="shared" si="47"/>
        <v>482.32800000000003</v>
      </c>
      <c r="O39" s="90">
        <f t="shared" si="48"/>
        <v>6.7502165425224137E-2</v>
      </c>
    </row>
    <row r="40" spans="2:15" outlineLevel="1">
      <c r="B40" t="s">
        <v>137</v>
      </c>
      <c r="C40" s="46">
        <f>'2025A'!F40</f>
        <v>20.505599999999998</v>
      </c>
      <c r="D40" s="46">
        <f>'2025A'!C40</f>
        <v>105.87025999999999</v>
      </c>
      <c r="E40" s="46">
        <f>'2026B'!C40</f>
        <v>110</v>
      </c>
      <c r="F40" s="46">
        <f>'Sales Budget Summary'!G39</f>
        <v>121.00000000000001</v>
      </c>
      <c r="G40" s="46">
        <f>'Sales Budget Summary'!H39</f>
        <v>130.68000000000004</v>
      </c>
      <c r="H40" s="90">
        <f t="shared" si="43"/>
        <v>7.270025053797724E-2</v>
      </c>
      <c r="J40" s="46">
        <f t="shared" si="44"/>
        <v>20.505599999999998</v>
      </c>
      <c r="K40" s="46">
        <f t="shared" si="44"/>
        <v>105.87025999999999</v>
      </c>
      <c r="L40" s="46">
        <f t="shared" si="45"/>
        <v>110</v>
      </c>
      <c r="M40" s="46">
        <f t="shared" si="46"/>
        <v>121.00000000000001</v>
      </c>
      <c r="N40" s="46">
        <f t="shared" si="47"/>
        <v>130.68000000000004</v>
      </c>
      <c r="O40" s="90">
        <f t="shared" si="48"/>
        <v>7.270025053797724E-2</v>
      </c>
    </row>
    <row r="41" spans="2:15" outlineLevel="1">
      <c r="B41" t="s">
        <v>253</v>
      </c>
      <c r="C41" s="46">
        <f>'2025A'!F41</f>
        <v>16.666325470512</v>
      </c>
      <c r="D41" s="46">
        <f>'2025A'!C41</f>
        <v>34.981104799999997</v>
      </c>
      <c r="E41" s="46">
        <f>'2026B'!C41</f>
        <v>34.981104799999997</v>
      </c>
      <c r="F41" s="46">
        <f>'Sales Budget Summary'!G40</f>
        <v>34.981104799999997</v>
      </c>
      <c r="G41" s="46">
        <f>'Sales Budget Summary'!H40</f>
        <v>34.981104799999997</v>
      </c>
      <c r="H41" s="90">
        <f t="shared" si="43"/>
        <v>0</v>
      </c>
      <c r="J41" s="46">
        <f t="shared" si="44"/>
        <v>16.666325470512</v>
      </c>
      <c r="K41" s="46">
        <f t="shared" si="44"/>
        <v>34.981104799999997</v>
      </c>
      <c r="L41" s="46">
        <f t="shared" si="45"/>
        <v>34.981104799999997</v>
      </c>
      <c r="M41" s="46">
        <f t="shared" si="46"/>
        <v>34.981104799999997</v>
      </c>
      <c r="N41" s="46">
        <f t="shared" si="47"/>
        <v>34.981104799999997</v>
      </c>
      <c r="O41" s="90">
        <f t="shared" si="48"/>
        <v>0</v>
      </c>
    </row>
    <row r="42" spans="2:15" ht="6" customHeight="1" outlineLevel="1">
      <c r="B42" s="49"/>
      <c r="C42" s="63"/>
      <c r="D42" s="63"/>
      <c r="E42" s="63"/>
      <c r="F42" s="63"/>
      <c r="G42" s="63"/>
      <c r="H42" s="96"/>
      <c r="J42" s="63"/>
      <c r="K42" s="63"/>
      <c r="L42" s="63"/>
      <c r="M42" s="63"/>
      <c r="N42" s="63"/>
      <c r="O42" s="96"/>
    </row>
    <row r="43" spans="2:15" ht="15.75" outlineLevel="1" thickBot="1">
      <c r="B43" s="52" t="s">
        <v>254</v>
      </c>
      <c r="C43" s="53">
        <f t="shared" ref="C43:G43" si="49">SUM(C38:C41)</f>
        <v>738.30954410579545</v>
      </c>
      <c r="D43" s="53">
        <f t="shared" si="49"/>
        <v>1197.8266555999999</v>
      </c>
      <c r="E43" s="53">
        <f t="shared" si="49"/>
        <v>1298.9811047999999</v>
      </c>
      <c r="F43" s="53">
        <f t="shared" si="49"/>
        <v>1425.3811048</v>
      </c>
      <c r="G43" s="53">
        <f t="shared" si="49"/>
        <v>1536.6131048000002</v>
      </c>
      <c r="H43" s="97">
        <f>IFERROR(_xlfn.RRI(3,D43,G43), "N/A")</f>
        <v>8.6567855967726759E-2</v>
      </c>
      <c r="J43" s="53">
        <f t="shared" ref="J43:N43" si="50">SUM(J38:J41)</f>
        <v>738.30954410579545</v>
      </c>
      <c r="K43" s="53">
        <f t="shared" si="50"/>
        <v>1197.8266555999999</v>
      </c>
      <c r="L43" s="53">
        <f t="shared" si="50"/>
        <v>1298.9811047999999</v>
      </c>
      <c r="M43" s="53">
        <f t="shared" si="50"/>
        <v>1425.3811048</v>
      </c>
      <c r="N43" s="53">
        <f t="shared" si="50"/>
        <v>1536.6131048000002</v>
      </c>
      <c r="O43" s="97">
        <f>IFERROR(_xlfn.RRI(3,K43,N43), "N/A")</f>
        <v>8.6567855967726759E-2</v>
      </c>
    </row>
    <row r="44" spans="2:15" ht="6" customHeight="1" outlineLevel="1">
      <c r="B44" s="49"/>
      <c r="C44" s="63"/>
      <c r="D44" s="63"/>
      <c r="E44" s="63"/>
      <c r="F44" s="63"/>
      <c r="G44" s="63"/>
      <c r="H44" s="96"/>
      <c r="J44" s="63"/>
      <c r="K44" s="63"/>
      <c r="L44" s="63"/>
      <c r="M44" s="63"/>
      <c r="N44" s="63"/>
      <c r="O44" s="96"/>
    </row>
    <row r="45" spans="2:15" ht="16.5" outlineLevel="1" thickBot="1">
      <c r="B45" s="54" t="s">
        <v>255</v>
      </c>
      <c r="C45" s="55">
        <f t="shared" ref="C45:G45" si="51">SUM(C30,C36,C43)</f>
        <v>10532.694387384998</v>
      </c>
      <c r="D45" s="55">
        <f t="shared" si="51"/>
        <v>12035.5236516</v>
      </c>
      <c r="E45" s="55">
        <f t="shared" si="51"/>
        <v>13725.998104800001</v>
      </c>
      <c r="F45" s="55">
        <f t="shared" si="51"/>
        <v>15737.733204799999</v>
      </c>
      <c r="G45" s="55">
        <f t="shared" si="51"/>
        <v>18002.913124800001</v>
      </c>
      <c r="H45" s="98">
        <f>IFERROR(_xlfn.RRI(3,D45,G45), "N/A")</f>
        <v>0.14364858865248253</v>
      </c>
      <c r="J45" s="55">
        <f t="shared" ref="J45:N45" si="52">SUM(J30,J36,J43)</f>
        <v>10532.694387384998</v>
      </c>
      <c r="K45" s="55">
        <f t="shared" si="52"/>
        <v>12035.5236516</v>
      </c>
      <c r="L45" s="55">
        <f t="shared" si="52"/>
        <v>13725.998104800001</v>
      </c>
      <c r="M45" s="55">
        <f t="shared" si="52"/>
        <v>15737.733204799999</v>
      </c>
      <c r="N45" s="55">
        <f t="shared" si="52"/>
        <v>18002.913124800001</v>
      </c>
      <c r="O45" s="98">
        <f>IFERROR(_xlfn.RRI(3,K45,N45), "N/A")</f>
        <v>0.14364858865248253</v>
      </c>
    </row>
    <row r="46" spans="2:15" ht="6" customHeight="1">
      <c r="H46" s="16"/>
      <c r="O46" s="16"/>
    </row>
    <row r="47" spans="2:15">
      <c r="B47" s="64" t="s">
        <v>155</v>
      </c>
      <c r="C47" s="93">
        <f>C45</f>
        <v>10532.694387384998</v>
      </c>
      <c r="D47" s="93">
        <f>D45</f>
        <v>12035.5236516</v>
      </c>
      <c r="E47" s="93">
        <f t="shared" ref="E47:G47" si="53">E45</f>
        <v>13725.998104800001</v>
      </c>
      <c r="F47" s="93">
        <f t="shared" si="53"/>
        <v>15737.733204799999</v>
      </c>
      <c r="G47" s="93">
        <f t="shared" si="53"/>
        <v>18002.913124800001</v>
      </c>
      <c r="H47" s="99">
        <f t="shared" ref="H47:H48" si="54">IFERROR(_xlfn.RRI(3,D47,G47), "N/A")</f>
        <v>0.14364858865248253</v>
      </c>
      <c r="J47" s="93">
        <f>J45</f>
        <v>10532.694387384998</v>
      </c>
      <c r="K47" s="93">
        <f>K45</f>
        <v>12035.5236516</v>
      </c>
      <c r="L47" s="93">
        <f t="shared" ref="L47:N47" si="55">L45</f>
        <v>13725.998104800001</v>
      </c>
      <c r="M47" s="93">
        <f t="shared" si="55"/>
        <v>15737.733204799999</v>
      </c>
      <c r="N47" s="93">
        <f t="shared" si="55"/>
        <v>18002.913124800001</v>
      </c>
      <c r="O47" s="99">
        <f t="shared" ref="O47:O48" si="56">IFERROR(_xlfn.RRI(3,K47,N47), "N/A")</f>
        <v>0.14364858865248253</v>
      </c>
    </row>
    <row r="48" spans="2:15">
      <c r="B48" t="s">
        <v>157</v>
      </c>
      <c r="C48" s="91">
        <f>'3YP'!C48</f>
        <v>-2037.9</v>
      </c>
      <c r="D48" s="91">
        <f>'3YP'!D48</f>
        <v>-2166.3942572880001</v>
      </c>
      <c r="E48" s="91">
        <f>'3YP'!E48</f>
        <v>-2591.1028262000004</v>
      </c>
      <c r="F48" s="91">
        <f>'3YP'!F48</f>
        <v>-2930.0132581880007</v>
      </c>
      <c r="G48" s="91">
        <f>'3YP'!G48</f>
        <v>-3435.1847735760025</v>
      </c>
      <c r="H48" s="16">
        <f t="shared" si="54"/>
        <v>0.16610467222441705</v>
      </c>
      <c r="J48" s="91">
        <f>C48</f>
        <v>-2037.9</v>
      </c>
      <c r="K48" s="91">
        <f>D48</f>
        <v>-2166.3942572880001</v>
      </c>
      <c r="L48" s="91">
        <f>'2026B w. downside'!G48</f>
        <v>-2591.1028262000004</v>
      </c>
      <c r="M48" s="91">
        <f t="shared" ref="M48" si="57">F48</f>
        <v>-2930.0132581880007</v>
      </c>
      <c r="N48" s="91">
        <f t="shared" ref="N48" si="58">G48</f>
        <v>-3435.1847735760025</v>
      </c>
      <c r="O48" s="16">
        <f t="shared" si="56"/>
        <v>0.16610467222441705</v>
      </c>
    </row>
    <row r="49" spans="2:15" ht="6" customHeight="1">
      <c r="B49" s="49"/>
      <c r="C49" s="3"/>
      <c r="D49" s="3"/>
      <c r="E49" s="3"/>
      <c r="F49" s="3"/>
      <c r="G49" s="3"/>
      <c r="H49" s="16"/>
      <c r="J49" s="3"/>
      <c r="K49" s="3"/>
      <c r="L49" s="3"/>
      <c r="M49" s="3"/>
      <c r="N49" s="3"/>
      <c r="O49" s="16"/>
    </row>
    <row r="50" spans="2:15">
      <c r="B50" s="65" t="s">
        <v>158</v>
      </c>
      <c r="C50" s="121">
        <f>SUM(C47:C48)</f>
        <v>8494.7943873849981</v>
      </c>
      <c r="D50" s="121">
        <f>SUM(D47:D48)</f>
        <v>9869.1293943119999</v>
      </c>
      <c r="E50" s="121">
        <f>SUM(E47:E48)</f>
        <v>11134.895278600001</v>
      </c>
      <c r="F50" s="121">
        <f t="shared" ref="F50:G50" si="59">SUM(F47:F48)</f>
        <v>12807.719946611998</v>
      </c>
      <c r="G50" s="121">
        <f t="shared" si="59"/>
        <v>14567.728351223999</v>
      </c>
      <c r="H50" s="18">
        <f>IFERROR(_xlfn.RRI(3,D50,G50), "N/A")</f>
        <v>0.1385995219416829</v>
      </c>
      <c r="J50" s="121">
        <f>SUM(J47:J48)</f>
        <v>8494.7943873849981</v>
      </c>
      <c r="K50" s="121">
        <f>SUM(K47:K48)</f>
        <v>9869.1293943119999</v>
      </c>
      <c r="L50" s="121">
        <f>SUM(L47:L48)</f>
        <v>11134.895278600001</v>
      </c>
      <c r="M50" s="121">
        <f t="shared" ref="M50:N50" si="60">SUM(M47:M48)</f>
        <v>12807.719946611998</v>
      </c>
      <c r="N50" s="121">
        <f t="shared" si="60"/>
        <v>14567.728351223999</v>
      </c>
      <c r="O50" s="18">
        <f>IFERROR(_xlfn.RRI(3,K50,N50), "N/A")</f>
        <v>0.1385995219416829</v>
      </c>
    </row>
    <row r="51" spans="2:15">
      <c r="B51" s="66" t="s">
        <v>160</v>
      </c>
      <c r="C51" s="67">
        <f>C50/C$47</f>
        <v>0.80651674442953636</v>
      </c>
      <c r="D51" s="67">
        <f>D50/D$47</f>
        <v>0.82</v>
      </c>
      <c r="E51" s="67">
        <f>E50/E$47</f>
        <v>0.81122663675045326</v>
      </c>
      <c r="F51" s="67">
        <f t="shared" ref="F51:G51" si="61">F50/F$47</f>
        <v>0.81382240885273438</v>
      </c>
      <c r="G51" s="67">
        <f t="shared" si="61"/>
        <v>0.80918728264905937</v>
      </c>
      <c r="H51" s="100"/>
      <c r="J51" s="67">
        <f>J50/J$47</f>
        <v>0.80651674442953636</v>
      </c>
      <c r="K51" s="67">
        <f>K50/K$47</f>
        <v>0.82</v>
      </c>
      <c r="L51" s="67">
        <f>L50/L$47</f>
        <v>0.81122663675045326</v>
      </c>
      <c r="M51" s="67">
        <f t="shared" ref="M51:N51" si="62">M50/M$47</f>
        <v>0.81382240885273438</v>
      </c>
      <c r="N51" s="67">
        <f t="shared" si="62"/>
        <v>0.80918728264905937</v>
      </c>
      <c r="O51" s="100"/>
    </row>
    <row r="52" spans="2:15" ht="6" customHeight="1">
      <c r="B52" s="49"/>
      <c r="C52" s="3"/>
      <c r="D52" s="3"/>
      <c r="E52" s="3"/>
      <c r="F52" s="3"/>
      <c r="G52" s="3"/>
      <c r="H52" s="16"/>
      <c r="J52" s="3"/>
      <c r="K52" s="3"/>
      <c r="L52" s="3"/>
      <c r="M52" s="3"/>
      <c r="N52" s="3"/>
      <c r="O52" s="16"/>
    </row>
    <row r="53" spans="2:15">
      <c r="B53" t="s">
        <v>162</v>
      </c>
      <c r="C53" s="91">
        <f>'3YP'!C53</f>
        <v>-255.9</v>
      </c>
      <c r="D53" s="91">
        <f>'3YP'!D53</f>
        <v>-248</v>
      </c>
      <c r="E53" s="91">
        <f>'3YP'!E53</f>
        <v>-269.948312096</v>
      </c>
      <c r="F53" s="91">
        <f>'3YP'!F53</f>
        <v>-323.99751909600002</v>
      </c>
      <c r="G53" s="91">
        <f>'3YP'!G53</f>
        <v>-364.50681349600001</v>
      </c>
      <c r="H53" s="16">
        <f t="shared" ref="H53:H54" si="63">IFERROR(_xlfn.RRI(3,D53,G53), "N/A")</f>
        <v>0.13697606773694693</v>
      </c>
      <c r="J53" s="91">
        <f t="shared" ref="J53:K54" si="64">C53</f>
        <v>-255.9</v>
      </c>
      <c r="K53" s="91">
        <f t="shared" si="64"/>
        <v>-248</v>
      </c>
      <c r="L53" s="91">
        <f>'2026B w. downside'!G53</f>
        <v>-269.948312096</v>
      </c>
      <c r="M53" s="91">
        <f t="shared" ref="M53:M54" si="65">F53</f>
        <v>-323.99751909600002</v>
      </c>
      <c r="N53" s="91">
        <f t="shared" ref="N53:N54" si="66">G53</f>
        <v>-364.50681349600001</v>
      </c>
      <c r="O53" s="16">
        <f t="shared" ref="O53:O54" si="67">IFERROR(_xlfn.RRI(3,K53,N53), "N/A")</f>
        <v>0.13697606773694693</v>
      </c>
    </row>
    <row r="54" spans="2:15">
      <c r="B54" t="s">
        <v>163</v>
      </c>
      <c r="C54" s="91">
        <f>'3YP'!C54</f>
        <v>-99</v>
      </c>
      <c r="D54" s="91">
        <f>'3YP'!D54</f>
        <v>-125.73333333333301</v>
      </c>
      <c r="E54" s="91">
        <f>'3YP'!E54</f>
        <v>-180.93937499999998</v>
      </c>
      <c r="F54" s="91">
        <f>'3YP'!F54</f>
        <v>-212.88968750000004</v>
      </c>
      <c r="G54" s="91">
        <f>'3YP'!G54</f>
        <v>-230.67181250000002</v>
      </c>
      <c r="H54" s="16">
        <f t="shared" si="63"/>
        <v>0.22418776003258167</v>
      </c>
      <c r="J54" s="91">
        <f t="shared" si="64"/>
        <v>-99</v>
      </c>
      <c r="K54" s="91">
        <f t="shared" si="64"/>
        <v>-125.73333333333301</v>
      </c>
      <c r="L54" s="91">
        <f>'2026B w. downside'!G54</f>
        <v>-180.93937499999998</v>
      </c>
      <c r="M54" s="91">
        <f t="shared" si="65"/>
        <v>-212.88968750000004</v>
      </c>
      <c r="N54" s="91">
        <f t="shared" si="66"/>
        <v>-230.67181250000002</v>
      </c>
      <c r="O54" s="16">
        <f t="shared" si="67"/>
        <v>0.22418776003258167</v>
      </c>
    </row>
    <row r="55" spans="2:15" ht="6" customHeight="1">
      <c r="B55" s="49"/>
      <c r="C55" s="3"/>
      <c r="D55" s="3"/>
      <c r="E55" s="3"/>
      <c r="F55" s="3"/>
      <c r="G55" s="3"/>
      <c r="H55" s="16"/>
      <c r="J55" s="3"/>
      <c r="K55" s="3"/>
      <c r="L55" s="3"/>
      <c r="M55" s="3"/>
      <c r="N55" s="3"/>
      <c r="O55" s="16"/>
    </row>
    <row r="56" spans="2:15">
      <c r="B56" s="65" t="s">
        <v>166</v>
      </c>
      <c r="C56" s="121">
        <f>SUM(C50,C53:C54)</f>
        <v>8139.8943873849985</v>
      </c>
      <c r="D56" s="121">
        <f>SUM(D50,D53:D54)</f>
        <v>9495.3960609786664</v>
      </c>
      <c r="E56" s="121">
        <f>SUM(E50,E53:E54)</f>
        <v>10684.007591504002</v>
      </c>
      <c r="F56" s="121">
        <f t="shared" ref="F56:G56" si="68">SUM(F50,F53:F54)</f>
        <v>12270.832740015998</v>
      </c>
      <c r="G56" s="121">
        <f t="shared" si="68"/>
        <v>13972.549725227998</v>
      </c>
      <c r="H56" s="18">
        <f>IFERROR(_xlfn.RRI(3,D56,G56), "N/A")</f>
        <v>0.13741999843493513</v>
      </c>
      <c r="J56" s="121">
        <f>SUM(J50,J53:J54)</f>
        <v>8139.8943873849985</v>
      </c>
      <c r="K56" s="121">
        <f>SUM(K50,K53:K54)</f>
        <v>9495.3960609786664</v>
      </c>
      <c r="L56" s="121">
        <f>SUM(L50,L53:L54)</f>
        <v>10684.007591504002</v>
      </c>
      <c r="M56" s="121">
        <f t="shared" ref="M56:N56" si="69">SUM(M50,M53:M54)</f>
        <v>12270.832740015998</v>
      </c>
      <c r="N56" s="121">
        <f t="shared" si="69"/>
        <v>13972.549725227998</v>
      </c>
      <c r="O56" s="18">
        <f>IFERROR(_xlfn.RRI(3,K56,N56), "N/A")</f>
        <v>0.13741999843493513</v>
      </c>
    </row>
    <row r="57" spans="2:15">
      <c r="B57" s="66" t="s">
        <v>167</v>
      </c>
      <c r="C57" s="67">
        <f>C56/C$47</f>
        <v>0.77282166253054352</v>
      </c>
      <c r="D57" s="67">
        <f>D56/D$47</f>
        <v>0.78894748046266772</v>
      </c>
      <c r="E57" s="67">
        <f>E56/E$47</f>
        <v>0.77837746369553917</v>
      </c>
      <c r="F57" s="67">
        <f t="shared" ref="F57:G57" si="70">F56/F$47</f>
        <v>0.77970776225088134</v>
      </c>
      <c r="G57" s="67">
        <f t="shared" si="70"/>
        <v>0.77612715388711417</v>
      </c>
      <c r="H57" s="100"/>
      <c r="J57" s="67">
        <f>J56/J$47</f>
        <v>0.77282166253054352</v>
      </c>
      <c r="K57" s="67">
        <f>K56/K$47</f>
        <v>0.78894748046266772</v>
      </c>
      <c r="L57" s="67">
        <f>L56/L$47</f>
        <v>0.77837746369553917</v>
      </c>
      <c r="M57" s="67">
        <f t="shared" ref="M57:N57" si="71">M56/M$47</f>
        <v>0.77970776225088134</v>
      </c>
      <c r="N57" s="67">
        <f t="shared" si="71"/>
        <v>0.77612715388711417</v>
      </c>
      <c r="O57" s="100"/>
    </row>
    <row r="58" spans="2:15" ht="6" customHeight="1">
      <c r="B58" s="49"/>
      <c r="C58" s="3"/>
      <c r="D58" s="3"/>
      <c r="E58" s="3"/>
      <c r="F58" s="3"/>
      <c r="G58" s="3"/>
      <c r="H58" s="16"/>
      <c r="J58" s="3"/>
      <c r="K58" s="3"/>
      <c r="L58" s="3"/>
      <c r="M58" s="3"/>
      <c r="N58" s="3"/>
      <c r="O58" s="16"/>
    </row>
    <row r="59" spans="2:15">
      <c r="B59" t="s">
        <v>168</v>
      </c>
      <c r="C59" s="91">
        <f>'3YP'!C59</f>
        <v>-548</v>
      </c>
      <c r="D59" s="91">
        <f>'3YP'!D59</f>
        <v>-629</v>
      </c>
      <c r="E59" s="91">
        <f>'3YP'!E59</f>
        <v>-861.64400000000001</v>
      </c>
      <c r="F59" s="91">
        <f>'3YP'!F59</f>
        <v>-1000</v>
      </c>
      <c r="G59" s="91">
        <f>'3YP'!G59</f>
        <v>-1100</v>
      </c>
      <c r="H59" s="16">
        <f t="shared" ref="H59:H60" si="72">IFERROR(_xlfn.RRI(3,D59,G59), "N/A")</f>
        <v>0.20479737670970688</v>
      </c>
      <c r="J59" s="91">
        <f t="shared" ref="J59:K60" si="73">C59</f>
        <v>-548</v>
      </c>
      <c r="K59" s="91">
        <f t="shared" si="73"/>
        <v>-629</v>
      </c>
      <c r="L59" s="91">
        <f>'2026B w. downside'!G59</f>
        <v>-861.64400000000001</v>
      </c>
      <c r="M59" s="91">
        <f t="shared" ref="M59:M60" si="74">F59</f>
        <v>-1000</v>
      </c>
      <c r="N59" s="91">
        <f t="shared" ref="N59:N60" si="75">G59</f>
        <v>-1100</v>
      </c>
      <c r="O59" s="16">
        <f t="shared" ref="O59:O60" si="76">IFERROR(_xlfn.RRI(3,K59,N59), "N/A")</f>
        <v>0.20479737670970688</v>
      </c>
    </row>
    <row r="60" spans="2:15">
      <c r="B60" t="s">
        <v>169</v>
      </c>
      <c r="C60" s="91">
        <f>'3YP'!C60</f>
        <v>-273</v>
      </c>
      <c r="D60" s="91">
        <f>'3YP'!D60</f>
        <v>-222</v>
      </c>
      <c r="E60" s="91">
        <f>'3YP'!E60</f>
        <v>-299.04899999999998</v>
      </c>
      <c r="F60" s="91">
        <f>'3YP'!F60</f>
        <v>-328.95389999999998</v>
      </c>
      <c r="G60" s="91">
        <f>'3YP'!G60</f>
        <v>-361.84929</v>
      </c>
      <c r="H60" s="16">
        <f t="shared" si="72"/>
        <v>0.1768603111268503</v>
      </c>
      <c r="J60" s="91">
        <f t="shared" si="73"/>
        <v>-273</v>
      </c>
      <c r="K60" s="91">
        <f t="shared" si="73"/>
        <v>-222</v>
      </c>
      <c r="L60" s="91">
        <f>'2026B w. downside'!G60</f>
        <v>-299.04899999999998</v>
      </c>
      <c r="M60" s="91">
        <f t="shared" si="74"/>
        <v>-328.95389999999998</v>
      </c>
      <c r="N60" s="91">
        <f t="shared" si="75"/>
        <v>-361.84929</v>
      </c>
      <c r="O60" s="16">
        <f t="shared" si="76"/>
        <v>0.1768603111268503</v>
      </c>
    </row>
    <row r="61" spans="2:15" ht="6" customHeight="1">
      <c r="B61" s="49"/>
      <c r="C61" s="3"/>
      <c r="D61" s="3"/>
      <c r="E61" s="3"/>
      <c r="F61" s="3"/>
      <c r="G61" s="3"/>
      <c r="H61" s="16"/>
      <c r="J61" s="3"/>
      <c r="K61" s="3"/>
      <c r="L61" s="3"/>
      <c r="M61" s="3"/>
      <c r="N61" s="3"/>
      <c r="O61" s="16"/>
    </row>
    <row r="62" spans="2:15">
      <c r="B62" s="65" t="s">
        <v>170</v>
      </c>
      <c r="C62" s="121">
        <f>SUM(C56,C59:C60)</f>
        <v>7318.8943873849985</v>
      </c>
      <c r="D62" s="121">
        <f>SUM(D56,D59:D60)</f>
        <v>8644.3960609786664</v>
      </c>
      <c r="E62" s="121">
        <f>SUM(E56,E59:E60)</f>
        <v>9523.3145915040004</v>
      </c>
      <c r="F62" s="121">
        <f t="shared" ref="F62:G62" si="77">SUM(F56,F59:F60)</f>
        <v>10941.878840015997</v>
      </c>
      <c r="G62" s="121">
        <f t="shared" si="77"/>
        <v>12510.700435227998</v>
      </c>
      <c r="H62" s="18">
        <f>IFERROR(_xlfn.RRI(3,D62,G62), "N/A")</f>
        <v>0.1311381656540096</v>
      </c>
      <c r="J62" s="121">
        <f>SUM(J56,J59:J60)</f>
        <v>7318.8943873849985</v>
      </c>
      <c r="K62" s="121">
        <f>SUM(K56,K59:K60)</f>
        <v>8644.3960609786664</v>
      </c>
      <c r="L62" s="121">
        <f>SUM(L56,L59:L60)</f>
        <v>9523.3145915040004</v>
      </c>
      <c r="M62" s="121">
        <f t="shared" ref="M62:N62" si="78">SUM(M56,M59:M60)</f>
        <v>10941.878840015997</v>
      </c>
      <c r="N62" s="121">
        <f t="shared" si="78"/>
        <v>12510.700435227998</v>
      </c>
      <c r="O62" s="18">
        <f>IFERROR(_xlfn.RRI(3,K62,N62), "N/A")</f>
        <v>0.1311381656540096</v>
      </c>
    </row>
    <row r="63" spans="2:15">
      <c r="B63" s="66" t="s">
        <v>171</v>
      </c>
      <c r="C63" s="67">
        <f>C62/C$47</f>
        <v>0.69487389628914276</v>
      </c>
      <c r="D63" s="67">
        <f>D62/D$47</f>
        <v>0.71824012907236334</v>
      </c>
      <c r="E63" s="67">
        <f>E62/E$47</f>
        <v>0.69381581716623464</v>
      </c>
      <c r="F63" s="67">
        <f t="shared" ref="F63:G63" si="79">F62/F$47</f>
        <v>0.6952639683000047</v>
      </c>
      <c r="G63" s="67">
        <f t="shared" si="79"/>
        <v>0.6949264459868898</v>
      </c>
      <c r="H63" s="100"/>
      <c r="J63" s="67">
        <f>J62/J$47</f>
        <v>0.69487389628914276</v>
      </c>
      <c r="K63" s="67">
        <f>K62/K$47</f>
        <v>0.71824012907236334</v>
      </c>
      <c r="L63" s="67">
        <f>L62/L$47</f>
        <v>0.69381581716623464</v>
      </c>
      <c r="M63" s="67">
        <f t="shared" ref="M63:N63" si="80">M62/M$47</f>
        <v>0.6952639683000047</v>
      </c>
      <c r="N63" s="67">
        <f t="shared" si="80"/>
        <v>0.6949264459868898</v>
      </c>
      <c r="O63" s="100"/>
    </row>
    <row r="64" spans="2:15" ht="6" customHeight="1">
      <c r="B64" s="49"/>
      <c r="C64" s="3"/>
      <c r="D64" s="3"/>
      <c r="E64" s="3"/>
      <c r="F64" s="3"/>
      <c r="G64" s="3"/>
      <c r="H64" s="16"/>
      <c r="J64" s="3"/>
      <c r="K64" s="3"/>
      <c r="L64" s="3"/>
      <c r="M64" s="3"/>
      <c r="N64" s="3"/>
      <c r="O64" s="16"/>
    </row>
    <row r="65" spans="2:15">
      <c r="B65" t="s">
        <v>172</v>
      </c>
      <c r="C65" s="91">
        <f>'3YP'!C65</f>
        <v>-4405</v>
      </c>
      <c r="D65" s="91">
        <f>'3YP'!D65</f>
        <v>-4690.5624749999997</v>
      </c>
      <c r="E65" s="91">
        <f>'3YP'!E65</f>
        <v>-4997</v>
      </c>
      <c r="F65" s="91">
        <f>'3YP'!F65</f>
        <v>-5196.88</v>
      </c>
      <c r="G65" s="91">
        <f>'3YP'!G65</f>
        <v>-5404.7552000000005</v>
      </c>
      <c r="H65" s="16">
        <f t="shared" ref="H65:H66" si="81">IFERROR(_xlfn.RRI(3,D65,G65), "N/A")</f>
        <v>4.8375913390342085E-2</v>
      </c>
      <c r="J65" s="91">
        <f t="shared" ref="J65:K66" si="82">C65</f>
        <v>-4405</v>
      </c>
      <c r="K65" s="91">
        <f t="shared" si="82"/>
        <v>-4690.5624749999997</v>
      </c>
      <c r="L65" s="91">
        <f>'2026B w. downside'!G65</f>
        <v>-4997</v>
      </c>
      <c r="M65" s="91">
        <f t="shared" ref="M65:M66" si="83">F65</f>
        <v>-5196.88</v>
      </c>
      <c r="N65" s="91">
        <f t="shared" ref="N65:N66" si="84">G65</f>
        <v>-5404.7552000000005</v>
      </c>
      <c r="O65" s="16">
        <f t="shared" ref="O65:O66" si="85">IFERROR(_xlfn.RRI(3,K65,N65), "N/A")</f>
        <v>4.8375913390342085E-2</v>
      </c>
    </row>
    <row r="66" spans="2:15">
      <c r="B66" t="s">
        <v>173</v>
      </c>
      <c r="C66" s="91">
        <f>'3YP'!C66</f>
        <v>-1398</v>
      </c>
      <c r="D66" s="91">
        <f>'3YP'!D66</f>
        <v>-1528.3859199999999</v>
      </c>
      <c r="E66" s="91">
        <f>'3YP'!E66</f>
        <v>-1620.8430699999999</v>
      </c>
      <c r="F66" s="91">
        <f>'3YP'!F66</f>
        <v>-1685.6767927999999</v>
      </c>
      <c r="G66" s="91">
        <f>'3YP'!G66</f>
        <v>-1753.103864512</v>
      </c>
      <c r="H66" s="16">
        <f t="shared" si="81"/>
        <v>4.6786724720556672E-2</v>
      </c>
      <c r="J66" s="91">
        <f t="shared" si="82"/>
        <v>-1398</v>
      </c>
      <c r="K66" s="91">
        <f t="shared" si="82"/>
        <v>-1528.3859199999999</v>
      </c>
      <c r="L66" s="91">
        <f>'2026B w. downside'!G66</f>
        <v>-1620.8430699999999</v>
      </c>
      <c r="M66" s="91">
        <f t="shared" si="83"/>
        <v>-1685.6767927999999</v>
      </c>
      <c r="N66" s="91">
        <f t="shared" si="84"/>
        <v>-1753.103864512</v>
      </c>
      <c r="O66" s="16">
        <f t="shared" si="85"/>
        <v>4.6786724720556672E-2</v>
      </c>
    </row>
    <row r="67" spans="2:15" ht="6" customHeight="1">
      <c r="B67" s="49"/>
      <c r="C67" s="3"/>
      <c r="D67" s="3"/>
      <c r="E67" s="3"/>
      <c r="F67" s="3"/>
      <c r="G67" s="3"/>
      <c r="H67" s="16"/>
      <c r="J67" s="3"/>
      <c r="K67" s="3"/>
      <c r="L67" s="3"/>
      <c r="M67" s="3"/>
      <c r="N67" s="3"/>
      <c r="O67" s="16"/>
    </row>
    <row r="68" spans="2:15">
      <c r="B68" s="65" t="s">
        <v>174</v>
      </c>
      <c r="C68" s="121">
        <f>SUM(C62,C65:C66)</f>
        <v>1515.8943873849985</v>
      </c>
      <c r="D68" s="121">
        <f>SUM(D62,D65:D66)</f>
        <v>2425.4476659786669</v>
      </c>
      <c r="E68" s="121">
        <f>SUM(E62,E65:E66)</f>
        <v>2905.4715215040005</v>
      </c>
      <c r="F68" s="121">
        <f t="shared" ref="F68:G68" si="86">SUM(F62,F65:F66)</f>
        <v>4059.3220472159974</v>
      </c>
      <c r="G68" s="121">
        <f t="shared" si="86"/>
        <v>5352.841370715998</v>
      </c>
      <c r="H68" s="18">
        <f>IFERROR(_xlfn.RRI(3,D68,G68), "N/A")</f>
        <v>0.30195954055210938</v>
      </c>
      <c r="J68" s="121">
        <f>SUM(J62,J65:J66)</f>
        <v>1515.8943873849985</v>
      </c>
      <c r="K68" s="121">
        <f>SUM(K62,K65:K66)</f>
        <v>2425.4476659786669</v>
      </c>
      <c r="L68" s="121">
        <f>SUM(L62,L65:L66)</f>
        <v>2905.4715215040005</v>
      </c>
      <c r="M68" s="121">
        <f t="shared" ref="M68:N68" si="87">SUM(M62,M65:M66)</f>
        <v>4059.3220472159974</v>
      </c>
      <c r="N68" s="121">
        <f t="shared" si="87"/>
        <v>5352.841370715998</v>
      </c>
      <c r="O68" s="18">
        <f>IFERROR(_xlfn.RRI(3,K68,N68), "N/A")</f>
        <v>0.30195954055210938</v>
      </c>
    </row>
    <row r="69" spans="2:15">
      <c r="B69" s="66" t="s">
        <v>175</v>
      </c>
      <c r="C69" s="67">
        <f>C68/C$47</f>
        <v>0.14392275439042307</v>
      </c>
      <c r="D69" s="67">
        <f>D68/D$47</f>
        <v>0.2015240662716182</v>
      </c>
      <c r="E69" s="67">
        <f>E68/E$47</f>
        <v>0.2116765206668616</v>
      </c>
      <c r="F69" s="67">
        <f t="shared" ref="F69:G69" si="88">F68/F$47</f>
        <v>0.25793562480636706</v>
      </c>
      <c r="G69" s="67">
        <f t="shared" si="88"/>
        <v>0.2973319558678626</v>
      </c>
      <c r="H69" s="100"/>
      <c r="J69" s="67">
        <f>J68/J$47</f>
        <v>0.14392275439042307</v>
      </c>
      <c r="K69" s="67">
        <f>K68/K$47</f>
        <v>0.2015240662716182</v>
      </c>
      <c r="L69" s="67">
        <f>L68/L$47</f>
        <v>0.2116765206668616</v>
      </c>
      <c r="M69" s="67">
        <f t="shared" ref="M69:N69" si="89">M68/M$47</f>
        <v>0.25793562480636706</v>
      </c>
      <c r="N69" s="67">
        <f t="shared" si="89"/>
        <v>0.2973319558678626</v>
      </c>
      <c r="O69" s="100"/>
    </row>
    <row r="70" spans="2:15" ht="6" customHeight="1">
      <c r="B70" s="49"/>
      <c r="C70" s="3"/>
      <c r="D70" s="3"/>
      <c r="E70" s="3"/>
      <c r="F70" s="3"/>
      <c r="G70" s="3"/>
      <c r="H70" s="16"/>
      <c r="J70" s="3"/>
      <c r="K70" s="3"/>
      <c r="L70" s="3"/>
      <c r="M70" s="3"/>
      <c r="N70" s="3"/>
      <c r="O70" s="16"/>
    </row>
    <row r="71" spans="2:15">
      <c r="B71" t="s">
        <v>176</v>
      </c>
      <c r="C71" s="91">
        <f>'3YP'!C71</f>
        <v>-1673</v>
      </c>
      <c r="D71" s="91">
        <f>'3YP'!D71</f>
        <v>-1130</v>
      </c>
      <c r="E71" s="91">
        <f>'3YP'!E71</f>
        <v>-741.32</v>
      </c>
      <c r="F71" s="91">
        <f>'3YP'!F71</f>
        <v>-641.32000000000005</v>
      </c>
      <c r="G71" s="91">
        <f>'3YP'!G71</f>
        <v>-591.32000000000005</v>
      </c>
      <c r="H71" s="16">
        <f>IFERROR(_xlfn.RRI(3,D71,G71), "N/A")</f>
        <v>-0.19416144611359965</v>
      </c>
      <c r="J71" s="91">
        <f>C71</f>
        <v>-1673</v>
      </c>
      <c r="K71" s="91">
        <f>D71</f>
        <v>-1130</v>
      </c>
      <c r="L71" s="91">
        <f>'2026B w. downside'!G71</f>
        <v>-2760.9174018351669</v>
      </c>
      <c r="M71" s="91">
        <f t="shared" ref="M71" si="90">F71</f>
        <v>-641.32000000000005</v>
      </c>
      <c r="N71" s="91">
        <f t="shared" ref="N71" si="91">G71</f>
        <v>-591.32000000000005</v>
      </c>
      <c r="O71" s="16">
        <f>IFERROR(_xlfn.RRI(3,K71,N71), "N/A")</f>
        <v>-0.19416144611359965</v>
      </c>
    </row>
    <row r="72" spans="2:15" ht="6" customHeight="1">
      <c r="B72" s="49"/>
      <c r="C72" s="3"/>
      <c r="D72" s="3"/>
      <c r="E72" s="3"/>
      <c r="F72" s="3"/>
      <c r="G72" s="3"/>
      <c r="H72" s="16"/>
      <c r="J72" s="3"/>
      <c r="K72" s="3"/>
      <c r="L72" s="3"/>
      <c r="M72" s="3"/>
      <c r="N72" s="3"/>
      <c r="O72" s="16"/>
    </row>
    <row r="73" spans="2:15">
      <c r="B73" s="65" t="s">
        <v>177</v>
      </c>
      <c r="C73" s="121">
        <f>SUM(C68,C71)</f>
        <v>-157.10561261500152</v>
      </c>
      <c r="D73" s="121">
        <f>SUM(D68,D71)</f>
        <v>1295.4476659786669</v>
      </c>
      <c r="E73" s="121">
        <f>SUM(E68,E71)</f>
        <v>2164.1515215040004</v>
      </c>
      <c r="F73" s="121">
        <f t="shared" ref="F73:G73" si="92">SUM(F68,F71)</f>
        <v>3418.0020472159972</v>
      </c>
      <c r="G73" s="121">
        <f t="shared" si="92"/>
        <v>4761.5213707159983</v>
      </c>
      <c r="H73" s="18">
        <f>IFERROR(_xlfn.RRI(3,D73,G73), "N/A")</f>
        <v>0.54327014600947443</v>
      </c>
      <c r="J73" s="121">
        <f>SUM(J68,J71)</f>
        <v>-157.10561261500152</v>
      </c>
      <c r="K73" s="121">
        <f>SUM(K68,K71)</f>
        <v>1295.4476659786669</v>
      </c>
      <c r="L73" s="121">
        <f>SUM(L68,L71)</f>
        <v>144.55411966883366</v>
      </c>
      <c r="M73" s="121">
        <f t="shared" ref="M73:N73" si="93">SUM(M68,M71)</f>
        <v>3418.0020472159972</v>
      </c>
      <c r="N73" s="121">
        <f t="shared" si="93"/>
        <v>4761.5213707159983</v>
      </c>
      <c r="O73" s="18">
        <f>IFERROR(_xlfn.RRI(3,K73,N73), "N/A")</f>
        <v>0.54327014600947443</v>
      </c>
    </row>
    <row r="74" spans="2:15">
      <c r="B74" s="66" t="s">
        <v>178</v>
      </c>
      <c r="C74" s="67">
        <f>C73/C$47</f>
        <v>-1.491599460088454E-2</v>
      </c>
      <c r="D74" s="67">
        <f>D73/D$47</f>
        <v>0.10763533880858191</v>
      </c>
      <c r="E74" s="67">
        <f>E73/E$47</f>
        <v>0.15766806209503945</v>
      </c>
      <c r="F74" s="67">
        <f t="shared" ref="F74:G74" si="94">F73/F$47</f>
        <v>0.21718515638411692</v>
      </c>
      <c r="G74" s="67">
        <f t="shared" si="94"/>
        <v>0.26448616052902801</v>
      </c>
      <c r="H74" s="100"/>
      <c r="J74" s="67">
        <f>J73/J$47</f>
        <v>-1.491599460088454E-2</v>
      </c>
      <c r="K74" s="67">
        <f>K73/K$47</f>
        <v>0.10763533880858191</v>
      </c>
      <c r="L74" s="67">
        <f>L73/L$47</f>
        <v>1.0531410434792563E-2</v>
      </c>
      <c r="M74" s="67">
        <f t="shared" ref="M74:N74" si="95">M73/M$47</f>
        <v>0.21718515638411692</v>
      </c>
      <c r="N74" s="67">
        <f t="shared" si="95"/>
        <v>0.26448616052902801</v>
      </c>
      <c r="O74" s="100"/>
    </row>
    <row r="80" spans="2:15">
      <c r="B80" s="74"/>
      <c r="C80" s="74" t="s">
        <v>273</v>
      </c>
      <c r="D80" s="74" t="s">
        <v>257</v>
      </c>
      <c r="E80" s="74" t="s">
        <v>275</v>
      </c>
      <c r="F80" s="74" t="s">
        <v>279</v>
      </c>
      <c r="G80" s="74" t="s">
        <v>280</v>
      </c>
      <c r="J80" s="74" t="s">
        <v>273</v>
      </c>
      <c r="K80" s="74" t="s">
        <v>257</v>
      </c>
      <c r="L80" s="74" t="s">
        <v>275</v>
      </c>
      <c r="M80" s="74" t="s">
        <v>279</v>
      </c>
      <c r="N80" s="74" t="s">
        <v>280</v>
      </c>
    </row>
    <row r="81" spans="2:15" ht="6" customHeight="1">
      <c r="B81" s="49"/>
      <c r="C81" s="3"/>
      <c r="D81" s="3"/>
      <c r="E81" s="3"/>
      <c r="F81" s="3"/>
      <c r="G81" s="3"/>
      <c r="H81" s="16"/>
      <c r="J81" s="3"/>
      <c r="K81" s="3"/>
      <c r="L81" s="3"/>
      <c r="M81" s="3"/>
      <c r="N81" s="3"/>
      <c r="O81" s="16"/>
    </row>
    <row r="82" spans="2:15">
      <c r="B82" s="6" t="s">
        <v>177</v>
      </c>
      <c r="C82" s="134">
        <f>'Cash Flows'!C4</f>
        <v>-157.10561261500152</v>
      </c>
      <c r="D82" s="134">
        <f>'Cash Flows'!D4</f>
        <v>1295.4476659786669</v>
      </c>
      <c r="E82" s="134">
        <f>'Cash Flows'!E4</f>
        <v>2164.1515215040004</v>
      </c>
      <c r="F82" s="134">
        <f>'Cash Flows'!F4</f>
        <v>3418.0020472159972</v>
      </c>
      <c r="G82" s="134">
        <f>'Cash Flows'!G4</f>
        <v>4761.5213707159983</v>
      </c>
      <c r="J82" s="134">
        <f>C82</f>
        <v>-157.10561261500152</v>
      </c>
      <c r="K82" s="134">
        <f>D82</f>
        <v>1295.4476659786669</v>
      </c>
      <c r="L82" s="134">
        <f>L73</f>
        <v>144.55411966883366</v>
      </c>
      <c r="M82" s="134">
        <f t="shared" ref="M82:N82" si="96">M73</f>
        <v>3418.0020472159972</v>
      </c>
      <c r="N82" s="134">
        <f t="shared" si="96"/>
        <v>4761.5213707159983</v>
      </c>
    </row>
    <row r="83" spans="2:15" ht="6" customHeight="1">
      <c r="B83" s="49"/>
      <c r="C83" s="3"/>
      <c r="D83" s="3"/>
      <c r="E83" s="3"/>
      <c r="F83" s="3"/>
      <c r="G83" s="3"/>
      <c r="H83" s="16"/>
      <c r="J83" s="3"/>
      <c r="K83" s="3"/>
      <c r="L83" s="3"/>
      <c r="M83" s="3"/>
      <c r="N83" s="3"/>
      <c r="O83" s="16"/>
    </row>
    <row r="84" spans="2:15">
      <c r="B84" t="s">
        <v>300</v>
      </c>
      <c r="C84" s="91">
        <f>'Cash Flows'!C6</f>
        <v>-768</v>
      </c>
      <c r="D84" s="91">
        <f>'Cash Flows'!D6</f>
        <v>-2045.3891741369862</v>
      </c>
      <c r="E84" s="91">
        <f>'Cash Flows'!E6</f>
        <v>-171.05791082498718</v>
      </c>
      <c r="F84" s="91">
        <f>'Cash Flows'!F6</f>
        <v>-345.53702210016468</v>
      </c>
      <c r="G84" s="91">
        <f>'Cash Flows'!G6</f>
        <v>-333.00900345260425</v>
      </c>
      <c r="J84" s="91">
        <f t="shared" ref="J84:K85" si="97">C84</f>
        <v>-768</v>
      </c>
      <c r="K84" s="91">
        <f t="shared" si="97"/>
        <v>-2045.3891741369862</v>
      </c>
      <c r="L84" s="91">
        <f>E84</f>
        <v>-171.05791082498718</v>
      </c>
      <c r="M84" s="91">
        <f t="shared" ref="M84:N84" si="98">F84</f>
        <v>-345.53702210016468</v>
      </c>
      <c r="N84" s="91">
        <f t="shared" si="98"/>
        <v>-333.00900345260425</v>
      </c>
    </row>
    <row r="85" spans="2:15">
      <c r="B85" t="s">
        <v>301</v>
      </c>
      <c r="C85" s="91">
        <f>'Cash Flows'!C7</f>
        <v>-193</v>
      </c>
      <c r="D85" s="91">
        <f>'Cash Flows'!D7</f>
        <v>-273.82182880666664</v>
      </c>
      <c r="E85" s="91">
        <f>'Cash Flows'!E7</f>
        <v>-216.41515215040005</v>
      </c>
      <c r="F85" s="91">
        <f>'Cash Flows'!F7</f>
        <v>-341.80020472159975</v>
      </c>
      <c r="G85" s="91">
        <f>'Cash Flows'!G7</f>
        <v>-476.15213707159984</v>
      </c>
      <c r="J85" s="91">
        <f t="shared" si="97"/>
        <v>-193</v>
      </c>
      <c r="K85" s="91">
        <f t="shared" si="97"/>
        <v>-273.82182880666664</v>
      </c>
      <c r="L85" s="91">
        <f>L82*-10%</f>
        <v>-14.455411966883368</v>
      </c>
      <c r="M85" s="91">
        <f>F85</f>
        <v>-341.80020472159975</v>
      </c>
      <c r="N85" s="91">
        <f>G85</f>
        <v>-476.15213707159984</v>
      </c>
    </row>
    <row r="86" spans="2:15" ht="6" customHeight="1">
      <c r="B86" s="49"/>
      <c r="C86" s="3"/>
      <c r="D86" s="3"/>
      <c r="E86" s="3"/>
      <c r="F86" s="3"/>
      <c r="G86" s="3"/>
      <c r="H86" s="16"/>
      <c r="J86" s="3"/>
      <c r="K86" s="3"/>
      <c r="L86" s="3"/>
      <c r="M86" s="3"/>
      <c r="N86" s="3"/>
      <c r="O86" s="16"/>
    </row>
    <row r="87" spans="2:15">
      <c r="B87" s="102" t="s">
        <v>302</v>
      </c>
      <c r="C87" s="122">
        <f>SUM(C82:C86)</f>
        <v>-1118.1056126150015</v>
      </c>
      <c r="D87" s="122">
        <f>SUM(D82:D86)</f>
        <v>-1023.7633369649859</v>
      </c>
      <c r="E87" s="122">
        <f t="shared" ref="E87:G87" si="99">SUM(E82:E86)</f>
        <v>1776.6784585286132</v>
      </c>
      <c r="F87" s="122">
        <f t="shared" si="99"/>
        <v>2730.6648203942332</v>
      </c>
      <c r="G87" s="122">
        <f t="shared" si="99"/>
        <v>3952.3602301917945</v>
      </c>
      <c r="J87" s="122">
        <f>SUM(J82:J86)</f>
        <v>-1118.1056126150015</v>
      </c>
      <c r="K87" s="122">
        <f>SUM(K82:K86)</f>
        <v>-1023.7633369649859</v>
      </c>
      <c r="L87" s="122">
        <f t="shared" ref="L87:N87" si="100">SUM(L82:L86)</f>
        <v>-40.959203123036879</v>
      </c>
      <c r="M87" s="122">
        <f t="shared" si="100"/>
        <v>2730.6648203942332</v>
      </c>
      <c r="N87" s="122">
        <f t="shared" si="100"/>
        <v>3952.3602301917945</v>
      </c>
    </row>
    <row r="88" spans="2:15" ht="6" customHeight="1">
      <c r="B88" s="49"/>
      <c r="C88" s="3"/>
      <c r="D88" s="3"/>
      <c r="E88" s="3"/>
      <c r="F88" s="3"/>
      <c r="G88" s="3"/>
      <c r="H88" s="16"/>
      <c r="J88" s="3"/>
      <c r="K88" s="3"/>
      <c r="L88" s="3"/>
      <c r="M88" s="3"/>
      <c r="N88" s="3"/>
      <c r="O88" s="16"/>
    </row>
    <row r="89" spans="2:15">
      <c r="B89" t="s">
        <v>303</v>
      </c>
      <c r="C89" s="91">
        <f>'Cash Flows'!C11</f>
        <v>-392</v>
      </c>
      <c r="D89" s="91">
        <f>'Cash Flows'!D11</f>
        <v>-270</v>
      </c>
      <c r="E89" s="91">
        <f>'Cash Flows'!E11</f>
        <v>-300</v>
      </c>
      <c r="F89" s="91">
        <f>'Cash Flows'!F11</f>
        <v>-300</v>
      </c>
      <c r="G89" s="91">
        <f>'Cash Flows'!G11</f>
        <v>-300</v>
      </c>
      <c r="J89" s="91">
        <f>C89</f>
        <v>-392</v>
      </c>
      <c r="K89" s="91">
        <f>D89</f>
        <v>-270</v>
      </c>
      <c r="L89" s="91">
        <f t="shared" ref="L89:N89" si="101">E89</f>
        <v>-300</v>
      </c>
      <c r="M89" s="91">
        <f t="shared" si="101"/>
        <v>-300</v>
      </c>
      <c r="N89" s="91">
        <f t="shared" si="101"/>
        <v>-300</v>
      </c>
    </row>
    <row r="90" spans="2:15" ht="6" customHeight="1">
      <c r="B90" s="49"/>
      <c r="C90" s="3"/>
      <c r="D90" s="3"/>
      <c r="E90" s="3"/>
      <c r="F90" s="3"/>
      <c r="G90" s="3"/>
      <c r="H90" s="16"/>
      <c r="J90" s="3"/>
      <c r="K90" s="3"/>
      <c r="L90" s="3"/>
      <c r="M90" s="3"/>
      <c r="N90" s="3"/>
      <c r="O90" s="16"/>
    </row>
    <row r="91" spans="2:15">
      <c r="B91" s="102" t="s">
        <v>304</v>
      </c>
      <c r="C91" s="122">
        <f>C89</f>
        <v>-392</v>
      </c>
      <c r="D91" s="122">
        <f>D89</f>
        <v>-270</v>
      </c>
      <c r="E91" s="122">
        <f t="shared" ref="E91:G91" si="102">E89</f>
        <v>-300</v>
      </c>
      <c r="F91" s="122">
        <f t="shared" si="102"/>
        <v>-300</v>
      </c>
      <c r="G91" s="122">
        <f t="shared" si="102"/>
        <v>-300</v>
      </c>
      <c r="J91" s="122">
        <f>J89</f>
        <v>-392</v>
      </c>
      <c r="K91" s="122">
        <f>K89</f>
        <v>-270</v>
      </c>
      <c r="L91" s="122">
        <f t="shared" ref="L91:N91" si="103">L89</f>
        <v>-300</v>
      </c>
      <c r="M91" s="122">
        <f t="shared" si="103"/>
        <v>-300</v>
      </c>
      <c r="N91" s="122">
        <f t="shared" si="103"/>
        <v>-300</v>
      </c>
    </row>
    <row r="92" spans="2:15" ht="6" customHeight="1">
      <c r="B92" s="49"/>
      <c r="C92" s="3"/>
      <c r="D92" s="3"/>
      <c r="E92" s="3"/>
      <c r="F92" s="3"/>
      <c r="G92" s="3"/>
      <c r="H92" s="16"/>
      <c r="J92" s="3"/>
      <c r="K92" s="3"/>
      <c r="L92" s="3"/>
      <c r="M92" s="3"/>
      <c r="N92" s="3"/>
      <c r="O92" s="16"/>
    </row>
    <row r="93" spans="2:15">
      <c r="B93" t="s">
        <v>305</v>
      </c>
      <c r="C93" s="91">
        <f>'Cash Flows'!C15</f>
        <v>0</v>
      </c>
      <c r="D93" s="91">
        <f>'Cash Flows'!D15</f>
        <v>0</v>
      </c>
      <c r="E93" s="91">
        <f>'Cash Flows'!E15</f>
        <v>0</v>
      </c>
      <c r="F93" s="91">
        <f>'Cash Flows'!F15</f>
        <v>0</v>
      </c>
      <c r="G93" s="91">
        <f>'Cash Flows'!G15</f>
        <v>0</v>
      </c>
      <c r="J93" s="91">
        <f t="shared" ref="J93:K99" si="104">C93</f>
        <v>0</v>
      </c>
      <c r="K93" s="91">
        <f t="shared" si="104"/>
        <v>0</v>
      </c>
      <c r="L93" s="91">
        <f t="shared" ref="L93:L99" si="105">E93</f>
        <v>0</v>
      </c>
      <c r="M93" s="91">
        <f t="shared" ref="M93:M99" si="106">F93</f>
        <v>0</v>
      </c>
      <c r="N93" s="91">
        <f t="shared" ref="N93:N99" si="107">G93</f>
        <v>0</v>
      </c>
    </row>
    <row r="94" spans="2:15">
      <c r="B94" t="s">
        <v>306</v>
      </c>
      <c r="C94" s="91">
        <f>'Cash Flows'!C16</f>
        <v>600</v>
      </c>
      <c r="D94" s="91">
        <f>'Cash Flows'!D16</f>
        <v>3891</v>
      </c>
      <c r="E94" s="91">
        <f>'Cash Flows'!E16</f>
        <v>0</v>
      </c>
      <c r="F94" s="91">
        <f>'Cash Flows'!F16</f>
        <v>0</v>
      </c>
      <c r="G94" s="91">
        <f>'Cash Flows'!G16</f>
        <v>-1700</v>
      </c>
      <c r="J94" s="91">
        <f t="shared" si="104"/>
        <v>600</v>
      </c>
      <c r="K94" s="91">
        <f t="shared" si="104"/>
        <v>3891</v>
      </c>
      <c r="L94" s="91">
        <v>500</v>
      </c>
      <c r="M94" s="91">
        <f t="shared" si="106"/>
        <v>0</v>
      </c>
      <c r="N94" s="91">
        <f t="shared" si="107"/>
        <v>-1700</v>
      </c>
    </row>
    <row r="95" spans="2:15">
      <c r="B95" t="s">
        <v>307</v>
      </c>
      <c r="C95" s="91">
        <f>'Cash Flows'!C17</f>
        <v>2900</v>
      </c>
      <c r="D95" s="91">
        <f>'Cash Flows'!D17</f>
        <v>1250</v>
      </c>
      <c r="E95" s="91">
        <f>'Cash Flows'!E17</f>
        <v>0</v>
      </c>
      <c r="F95" s="91">
        <f>'Cash Flows'!F17</f>
        <v>0</v>
      </c>
      <c r="G95" s="91">
        <f>'Cash Flows'!G17</f>
        <v>0</v>
      </c>
      <c r="J95" s="91">
        <f t="shared" si="104"/>
        <v>2900</v>
      </c>
      <c r="K95" s="91">
        <f t="shared" si="104"/>
        <v>1250</v>
      </c>
      <c r="L95" s="91">
        <f t="shared" si="105"/>
        <v>0</v>
      </c>
      <c r="M95" s="91">
        <f t="shared" si="106"/>
        <v>0</v>
      </c>
      <c r="N95" s="91">
        <f t="shared" si="107"/>
        <v>0</v>
      </c>
    </row>
    <row r="96" spans="2:15">
      <c r="B96" t="s">
        <v>308</v>
      </c>
      <c r="C96" s="91">
        <f>'Cash Flows'!C18</f>
        <v>-747</v>
      </c>
      <c r="D96" s="91">
        <f>'Cash Flows'!D18</f>
        <v>-535.5</v>
      </c>
      <c r="E96" s="91">
        <f>'Cash Flows'!E18</f>
        <v>-624.75</v>
      </c>
      <c r="F96" s="91">
        <f>'Cash Flows'!F18</f>
        <v>-1338.75</v>
      </c>
      <c r="G96" s="91">
        <f>'Cash Flows'!G18</f>
        <v>-1338.75</v>
      </c>
      <c r="J96" s="91">
        <f t="shared" si="104"/>
        <v>-747</v>
      </c>
      <c r="K96" s="91">
        <f t="shared" si="104"/>
        <v>-535.5</v>
      </c>
      <c r="L96" s="91">
        <f t="shared" si="105"/>
        <v>-624.75</v>
      </c>
      <c r="M96" s="91">
        <f t="shared" si="106"/>
        <v>-1338.75</v>
      </c>
      <c r="N96" s="91">
        <f t="shared" si="107"/>
        <v>-1338.75</v>
      </c>
    </row>
    <row r="97" spans="2:15">
      <c r="B97" t="s">
        <v>309</v>
      </c>
      <c r="C97" s="91">
        <f>'Cash Flows'!C19</f>
        <v>-1135</v>
      </c>
      <c r="D97" s="91">
        <f>'Cash Flows'!D19</f>
        <v>-1200</v>
      </c>
      <c r="E97" s="91">
        <f>'Cash Flows'!E19</f>
        <v>-1140.06</v>
      </c>
      <c r="F97" s="91">
        <f>'Cash Flows'!F19</f>
        <v>-956.53</v>
      </c>
      <c r="G97" s="91">
        <f>'Cash Flows'!G19</f>
        <v>-799.43000000000006</v>
      </c>
      <c r="J97" s="91">
        <f t="shared" si="104"/>
        <v>-1135</v>
      </c>
      <c r="K97" s="91">
        <f t="shared" si="104"/>
        <v>-1200</v>
      </c>
      <c r="L97" s="91">
        <f>E97-25</f>
        <v>-1165.06</v>
      </c>
      <c r="M97" s="91">
        <f>F97-50</f>
        <v>-1006.53</v>
      </c>
      <c r="N97" s="91">
        <f>G97-50</f>
        <v>-849.43000000000006</v>
      </c>
    </row>
    <row r="98" spans="2:15">
      <c r="B98" t="s">
        <v>310</v>
      </c>
      <c r="C98" s="91">
        <f>'Cash Flows'!C20</f>
        <v>0</v>
      </c>
      <c r="D98" s="91">
        <f>'Cash Flows'!D20</f>
        <v>-600</v>
      </c>
      <c r="E98" s="91">
        <f>'Cash Flows'!E20</f>
        <v>0</v>
      </c>
      <c r="F98" s="91">
        <f>'Cash Flows'!F20</f>
        <v>0</v>
      </c>
      <c r="G98" s="91">
        <f>'Cash Flows'!G20</f>
        <v>0</v>
      </c>
      <c r="J98" s="91">
        <f t="shared" si="104"/>
        <v>0</v>
      </c>
      <c r="K98" s="91">
        <f t="shared" si="104"/>
        <v>-600</v>
      </c>
      <c r="L98" s="91">
        <f t="shared" si="105"/>
        <v>0</v>
      </c>
      <c r="M98" s="91">
        <f t="shared" si="106"/>
        <v>0</v>
      </c>
      <c r="N98" s="91">
        <f t="shared" si="107"/>
        <v>0</v>
      </c>
    </row>
    <row r="99" spans="2:15">
      <c r="B99" t="s">
        <v>311</v>
      </c>
      <c r="C99" s="91">
        <f>'Cash Flows'!C21</f>
        <v>-49</v>
      </c>
      <c r="D99" s="91">
        <f>'Cash Flows'!D21</f>
        <v>0</v>
      </c>
      <c r="E99" s="91">
        <f>'Cash Flows'!E21</f>
        <v>0</v>
      </c>
      <c r="F99" s="91">
        <f>'Cash Flows'!F21</f>
        <v>0</v>
      </c>
      <c r="G99" s="91">
        <f>'Cash Flows'!G21</f>
        <v>0</v>
      </c>
      <c r="J99" s="91">
        <f t="shared" si="104"/>
        <v>-49</v>
      </c>
      <c r="K99" s="91">
        <f t="shared" si="104"/>
        <v>0</v>
      </c>
      <c r="L99" s="91">
        <f t="shared" si="105"/>
        <v>0</v>
      </c>
      <c r="M99" s="91">
        <f t="shared" si="106"/>
        <v>0</v>
      </c>
      <c r="N99" s="91">
        <f t="shared" si="107"/>
        <v>0</v>
      </c>
    </row>
    <row r="100" spans="2:15" ht="6" customHeight="1">
      <c r="B100" s="49"/>
      <c r="C100" s="3"/>
      <c r="D100" s="3"/>
      <c r="E100" s="3"/>
      <c r="F100" s="3"/>
      <c r="G100" s="3"/>
      <c r="H100" s="16"/>
      <c r="J100" s="3"/>
      <c r="K100" s="3"/>
      <c r="L100" s="3"/>
      <c r="M100" s="3"/>
      <c r="N100" s="3"/>
      <c r="O100" s="16"/>
    </row>
    <row r="101" spans="2:15">
      <c r="B101" s="102" t="s">
        <v>312</v>
      </c>
      <c r="C101" s="122">
        <f>SUM(C93:C99)</f>
        <v>1569</v>
      </c>
      <c r="D101" s="122">
        <f>SUM(D93:D99)</f>
        <v>2805.5</v>
      </c>
      <c r="E101" s="122">
        <f t="shared" ref="E101:G101" si="108">SUM(E93:E99)</f>
        <v>-1764.81</v>
      </c>
      <c r="F101" s="122">
        <f t="shared" si="108"/>
        <v>-2295.2799999999997</v>
      </c>
      <c r="G101" s="122">
        <f t="shared" si="108"/>
        <v>-3838.1800000000003</v>
      </c>
      <c r="J101" s="122">
        <f>SUM(J93:J99)</f>
        <v>1569</v>
      </c>
      <c r="K101" s="122">
        <f>SUM(K93:K99)</f>
        <v>2805.5</v>
      </c>
      <c r="L101" s="122">
        <f t="shared" ref="L101:N101" si="109">SUM(L93:L99)</f>
        <v>-1289.81</v>
      </c>
      <c r="M101" s="122">
        <f t="shared" si="109"/>
        <v>-2345.2799999999997</v>
      </c>
      <c r="N101" s="122">
        <f t="shared" si="109"/>
        <v>-3888.1800000000003</v>
      </c>
    </row>
    <row r="102" spans="2:15" ht="6" customHeight="1">
      <c r="B102" s="49"/>
      <c r="C102" s="3"/>
      <c r="D102" s="3"/>
      <c r="E102" s="3"/>
      <c r="F102" s="3"/>
      <c r="G102" s="3"/>
      <c r="H102" s="16"/>
      <c r="J102" s="3"/>
      <c r="K102" s="3"/>
      <c r="L102" s="3"/>
      <c r="M102" s="3"/>
      <c r="N102" s="3"/>
      <c r="O102" s="16"/>
    </row>
    <row r="103" spans="2:15" ht="15.75" thickBot="1">
      <c r="B103" s="71" t="s">
        <v>313</v>
      </c>
      <c r="C103" s="118">
        <f>SUM(C87,C91,C101)</f>
        <v>58.894387384998481</v>
      </c>
      <c r="D103" s="118">
        <f>SUM(D87,D91,D101)</f>
        <v>1511.7366630350141</v>
      </c>
      <c r="E103" s="118">
        <f t="shared" ref="E103:G103" si="110">SUM(E87,E91,E101)</f>
        <v>-288.13154147138675</v>
      </c>
      <c r="F103" s="118">
        <f t="shared" si="110"/>
        <v>135.38482039423343</v>
      </c>
      <c r="G103" s="118">
        <f t="shared" si="110"/>
        <v>-185.81976980820582</v>
      </c>
      <c r="J103" s="118">
        <f>SUM(J87,J91,J101)</f>
        <v>58.894387384998481</v>
      </c>
      <c r="K103" s="118">
        <f>SUM(K87,K91,K101)</f>
        <v>1511.7366630350141</v>
      </c>
      <c r="L103" s="118">
        <f t="shared" ref="L103:N103" si="111">SUM(L87,L91,L101)</f>
        <v>-1630.7692031230367</v>
      </c>
      <c r="M103" s="118">
        <f t="shared" si="111"/>
        <v>85.384820394233429</v>
      </c>
      <c r="N103" s="118">
        <f t="shared" si="111"/>
        <v>-235.81976980820582</v>
      </c>
    </row>
    <row r="104" spans="2:15" ht="6" customHeight="1">
      <c r="B104" s="49"/>
      <c r="C104" s="3"/>
      <c r="D104" s="3"/>
      <c r="E104" s="3"/>
      <c r="F104" s="3"/>
      <c r="G104" s="3"/>
      <c r="H104" s="16"/>
      <c r="J104" s="3"/>
      <c r="K104" s="3"/>
      <c r="L104" s="3"/>
      <c r="M104" s="3"/>
      <c r="N104" s="3"/>
      <c r="O104" s="16"/>
    </row>
    <row r="105" spans="2:15">
      <c r="B105" s="6" t="s">
        <v>314</v>
      </c>
      <c r="C105" s="121">
        <f>'Cash Flows'!C27</f>
        <v>82</v>
      </c>
      <c r="D105" s="121">
        <f>C107</f>
        <v>140.89438738499848</v>
      </c>
      <c r="E105" s="121">
        <f t="shared" ref="E105:G105" si="112">D107</f>
        <v>1652.6310504200126</v>
      </c>
      <c r="F105" s="121">
        <f t="shared" si="112"/>
        <v>1364.4995089486258</v>
      </c>
      <c r="G105" s="121">
        <f t="shared" si="112"/>
        <v>1499.8843293428592</v>
      </c>
      <c r="J105" s="121">
        <f>C105</f>
        <v>82</v>
      </c>
      <c r="K105" s="121">
        <f>D105</f>
        <v>140.89438738499848</v>
      </c>
      <c r="L105" s="121">
        <f t="shared" ref="L105:N105" si="113">K107</f>
        <v>1652.6310504200126</v>
      </c>
      <c r="M105" s="121">
        <f t="shared" si="113"/>
        <v>21.861847296975839</v>
      </c>
      <c r="N105" s="121">
        <f t="shared" si="113"/>
        <v>107.24666769120927</v>
      </c>
    </row>
    <row r="106" spans="2:15">
      <c r="B106" t="s">
        <v>315</v>
      </c>
      <c r="C106" s="91">
        <f>C103</f>
        <v>58.894387384998481</v>
      </c>
      <c r="D106" s="91">
        <f t="shared" ref="D106:G106" si="114">D103</f>
        <v>1511.7366630350141</v>
      </c>
      <c r="E106" s="91">
        <f t="shared" si="114"/>
        <v>-288.13154147138675</v>
      </c>
      <c r="F106" s="91">
        <f t="shared" si="114"/>
        <v>135.38482039423343</v>
      </c>
      <c r="G106" s="91">
        <f t="shared" si="114"/>
        <v>-185.81976980820582</v>
      </c>
      <c r="J106" s="91">
        <f>J103</f>
        <v>58.894387384998481</v>
      </c>
      <c r="K106" s="91">
        <f>K103</f>
        <v>1511.7366630350141</v>
      </c>
      <c r="L106" s="91">
        <f t="shared" ref="L106:N106" si="115">L103</f>
        <v>-1630.7692031230367</v>
      </c>
      <c r="M106" s="91">
        <f t="shared" si="115"/>
        <v>85.384820394233429</v>
      </c>
      <c r="N106" s="91">
        <f t="shared" si="115"/>
        <v>-235.81976980820582</v>
      </c>
    </row>
    <row r="107" spans="2:15">
      <c r="B107" s="103" t="s">
        <v>316</v>
      </c>
      <c r="C107" s="122">
        <f>SUM(C105:C106)</f>
        <v>140.89438738499848</v>
      </c>
      <c r="D107" s="122">
        <f t="shared" ref="D107:G107" si="116">SUM(D105:D106)</f>
        <v>1652.6310504200126</v>
      </c>
      <c r="E107" s="122">
        <f t="shared" si="116"/>
        <v>1364.4995089486258</v>
      </c>
      <c r="F107" s="122">
        <f t="shared" si="116"/>
        <v>1499.8843293428592</v>
      </c>
      <c r="G107" s="122">
        <f t="shared" si="116"/>
        <v>1314.0645595346534</v>
      </c>
      <c r="J107" s="122">
        <f>SUM(J105:J106)</f>
        <v>140.89438738499848</v>
      </c>
      <c r="K107" s="122">
        <f>SUM(K105:K106)</f>
        <v>1652.6310504200126</v>
      </c>
      <c r="L107" s="122">
        <f t="shared" ref="L107:N107" si="117">SUM(L105:L106)</f>
        <v>21.861847296975839</v>
      </c>
      <c r="M107" s="122">
        <f t="shared" si="117"/>
        <v>107.24666769120927</v>
      </c>
      <c r="N107" s="122">
        <f t="shared" si="117"/>
        <v>-128.57310211699655</v>
      </c>
    </row>
  </sheetData>
  <pageMargins left="0.7" right="0.7" top="0.75" bottom="0.75" header="0.3" footer="0.3"/>
  <pageSetup paperSize="9"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5B9D-2EFE-42FE-995C-76B1D1C6715F}">
  <sheetPr>
    <tabColor rgb="FF92D050"/>
  </sheetPr>
  <dimension ref="B1:O107"/>
  <sheetViews>
    <sheetView showGridLines="0" topLeftCell="A45" workbookViewId="0">
      <selection activeCell="L68" sqref="L68"/>
    </sheetView>
  </sheetViews>
  <sheetFormatPr defaultColWidth="8.85546875" defaultRowHeight="15" outlineLevelRow="1"/>
  <cols>
    <col min="2" max="2" width="42.42578125" bestFit="1" customWidth="1"/>
    <col min="3" max="8" width="11.42578125" customWidth="1"/>
    <col min="10" max="15" width="11.42578125" customWidth="1"/>
  </cols>
  <sheetData>
    <row r="1" spans="2:15">
      <c r="I1" s="9">
        <v>-0.03</v>
      </c>
    </row>
    <row r="2" spans="2:15">
      <c r="B2" s="74"/>
      <c r="C2" s="144" t="s">
        <v>323</v>
      </c>
      <c r="D2" s="144" t="s">
        <v>323</v>
      </c>
      <c r="E2" s="144" t="s">
        <v>323</v>
      </c>
      <c r="F2" s="144" t="s">
        <v>323</v>
      </c>
      <c r="G2" s="144" t="s">
        <v>323</v>
      </c>
      <c r="H2" s="74" t="s">
        <v>278</v>
      </c>
      <c r="I2" s="1"/>
      <c r="J2" s="144" t="s">
        <v>324</v>
      </c>
      <c r="K2" s="144" t="s">
        <v>324</v>
      </c>
      <c r="L2" s="144" t="s">
        <v>324</v>
      </c>
      <c r="M2" s="144" t="s">
        <v>324</v>
      </c>
      <c r="N2" s="144" t="s">
        <v>324</v>
      </c>
      <c r="O2" s="74" t="s">
        <v>278</v>
      </c>
    </row>
    <row r="3" spans="2:15">
      <c r="B3" s="68" t="s">
        <v>221</v>
      </c>
      <c r="C3" s="74" t="s">
        <v>273</v>
      </c>
      <c r="D3" s="74" t="s">
        <v>257</v>
      </c>
      <c r="E3" s="74" t="s">
        <v>275</v>
      </c>
      <c r="F3" s="74" t="s">
        <v>279</v>
      </c>
      <c r="G3" s="74" t="s">
        <v>280</v>
      </c>
      <c r="H3" s="74" t="s">
        <v>281</v>
      </c>
      <c r="J3" s="74" t="s">
        <v>273</v>
      </c>
      <c r="K3" s="74" t="s">
        <v>257</v>
      </c>
      <c r="L3" s="74" t="s">
        <v>275</v>
      </c>
      <c r="M3" s="74" t="s">
        <v>279</v>
      </c>
      <c r="N3" s="74" t="s">
        <v>280</v>
      </c>
      <c r="O3" s="74" t="s">
        <v>281</v>
      </c>
    </row>
    <row r="4" spans="2:15" ht="6" customHeight="1" outlineLevel="1">
      <c r="B4" s="49"/>
      <c r="C4" s="63"/>
      <c r="D4" s="63"/>
      <c r="E4" s="63"/>
      <c r="F4" s="63"/>
      <c r="G4" s="63"/>
      <c r="H4" s="87"/>
      <c r="J4" s="63"/>
      <c r="K4" s="63"/>
      <c r="L4" s="63"/>
      <c r="M4" s="63"/>
      <c r="N4" s="63"/>
      <c r="O4" s="87"/>
    </row>
    <row r="5" spans="2:15" outlineLevel="1">
      <c r="B5" s="45" t="s">
        <v>228</v>
      </c>
      <c r="C5" s="46">
        <f>'3YP w. downside'!J5</f>
        <v>4327.2666800000006</v>
      </c>
      <c r="D5" s="46">
        <f>'3YP w. downside'!K5</f>
        <v>4530.8243099999991</v>
      </c>
      <c r="E5" s="46">
        <f>'3YP w. downside'!L5</f>
        <v>4698.95</v>
      </c>
      <c r="F5" s="46">
        <f>'3YP w. downside'!M5</f>
        <v>4933.8975</v>
      </c>
      <c r="G5" s="46">
        <f>'3YP w. downside'!N5</f>
        <v>5131.2534000000005</v>
      </c>
      <c r="H5" s="90">
        <f>IFERROR(_xlfn.RRI(3,D5,G5), "N/A")</f>
        <v>4.2354422581478701E-2</v>
      </c>
      <c r="J5" s="46">
        <f t="shared" ref="J5:K10" si="0">C5</f>
        <v>4327.2666800000006</v>
      </c>
      <c r="K5" s="46">
        <f t="shared" si="0"/>
        <v>4530.8243099999991</v>
      </c>
      <c r="L5" s="46">
        <f t="shared" ref="L5:N5" si="1">E5*(1+$I$1)</f>
        <v>4557.9814999999999</v>
      </c>
      <c r="M5" s="46">
        <f t="shared" si="1"/>
        <v>4785.8805750000001</v>
      </c>
      <c r="N5" s="46">
        <f t="shared" si="1"/>
        <v>4977.3157980000005</v>
      </c>
      <c r="O5" s="90">
        <f>IFERROR(_xlfn.RRI(3,K5,N5), "N/A")</f>
        <v>3.1824870128214E-2</v>
      </c>
    </row>
    <row r="6" spans="2:15" outlineLevel="1">
      <c r="B6" s="45" t="s">
        <v>229</v>
      </c>
      <c r="C6" s="46">
        <f>'3YP w. downside'!J6</f>
        <v>1811.1542800000002</v>
      </c>
      <c r="D6" s="46">
        <f>'3YP w. downside'!K6</f>
        <v>1906.7439800000002</v>
      </c>
      <c r="E6" s="46">
        <f>'3YP w. downside'!L6</f>
        <v>1912.9</v>
      </c>
      <c r="F6" s="46">
        <f>'3YP w. downside'!M6</f>
        <v>2008.5450000000001</v>
      </c>
      <c r="G6" s="46">
        <f>'3YP w. downside'!N6</f>
        <v>2088.8868000000002</v>
      </c>
      <c r="H6" s="90">
        <f t="shared" ref="H6:H11" si="2">IFERROR(_xlfn.RRI(3,D6,G6), "N/A")</f>
        <v>3.0878559663043426E-2</v>
      </c>
      <c r="J6" s="46">
        <f t="shared" si="0"/>
        <v>1811.1542800000002</v>
      </c>
      <c r="K6" s="46">
        <f t="shared" si="0"/>
        <v>1906.7439800000002</v>
      </c>
      <c r="L6" s="46">
        <f t="shared" ref="L6:L10" si="3">E6*(1+$I$1)</f>
        <v>1855.5130000000001</v>
      </c>
      <c r="M6" s="46">
        <f t="shared" ref="M6:M10" si="4">F6*(1+$I$1)</f>
        <v>1948.28865</v>
      </c>
      <c r="N6" s="46">
        <f t="shared" ref="N6:N10" si="5">G6*(1+$I$1)</f>
        <v>2026.2201960000002</v>
      </c>
      <c r="O6" s="90">
        <f t="shared" ref="O6:O11" si="6">IFERROR(_xlfn.RRI(3,K6,N6), "N/A")</f>
        <v>2.0464932942838798E-2</v>
      </c>
    </row>
    <row r="7" spans="2:15" outlineLevel="1">
      <c r="B7" s="45" t="s">
        <v>230</v>
      </c>
      <c r="C7" s="46">
        <f>'3YP w. downside'!J7</f>
        <v>723.30100698414697</v>
      </c>
      <c r="D7" s="46">
        <f>'3YP w. downside'!K7</f>
        <v>641.74332000000004</v>
      </c>
      <c r="E7" s="46">
        <f>'3YP w. downside'!L7</f>
        <v>771.75</v>
      </c>
      <c r="F7" s="46">
        <f>'3YP w. downside'!M7</f>
        <v>833.49</v>
      </c>
      <c r="G7" s="46">
        <f>'3YP w. downside'!N7</f>
        <v>891.8343000000001</v>
      </c>
      <c r="H7" s="90">
        <f t="shared" si="2"/>
        <v>0.11594023996955505</v>
      </c>
      <c r="J7" s="46">
        <f t="shared" si="0"/>
        <v>723.30100698414697</v>
      </c>
      <c r="K7" s="46">
        <f t="shared" si="0"/>
        <v>641.74332000000004</v>
      </c>
      <c r="L7" s="46">
        <f t="shared" si="3"/>
        <v>748.59749999999997</v>
      </c>
      <c r="M7" s="46">
        <f t="shared" si="4"/>
        <v>808.48529999999994</v>
      </c>
      <c r="N7" s="46">
        <f t="shared" si="5"/>
        <v>865.07927100000006</v>
      </c>
      <c r="O7" s="90">
        <f t="shared" si="6"/>
        <v>0.10466734560952795</v>
      </c>
    </row>
    <row r="8" spans="2:15" outlineLevel="1">
      <c r="B8" s="45" t="s">
        <v>231</v>
      </c>
      <c r="C8" s="46">
        <f>'3YP w. downside'!J8</f>
        <v>87.682839999999999</v>
      </c>
      <c r="D8" s="46">
        <f>'3YP w. downside'!K8</f>
        <v>145.07323</v>
      </c>
      <c r="E8" s="46">
        <f>'3YP w. downside'!L8</f>
        <v>227.5</v>
      </c>
      <c r="F8" s="46">
        <f>'3YP w. downside'!M8</f>
        <v>318.5</v>
      </c>
      <c r="G8" s="46">
        <f>'3YP w. downside'!N8</f>
        <v>414.05</v>
      </c>
      <c r="H8" s="90">
        <f t="shared" si="2"/>
        <v>0.41847549054746258</v>
      </c>
      <c r="J8" s="46">
        <f t="shared" si="0"/>
        <v>87.682839999999999</v>
      </c>
      <c r="K8" s="46">
        <f t="shared" si="0"/>
        <v>145.07323</v>
      </c>
      <c r="L8" s="46">
        <f t="shared" si="3"/>
        <v>220.67499999999998</v>
      </c>
      <c r="M8" s="46">
        <f t="shared" si="4"/>
        <v>308.94499999999999</v>
      </c>
      <c r="N8" s="46">
        <f t="shared" si="5"/>
        <v>401.62849999999997</v>
      </c>
      <c r="O8" s="90">
        <f t="shared" si="6"/>
        <v>0.40414647561950767</v>
      </c>
    </row>
    <row r="9" spans="2:15" outlineLevel="1">
      <c r="B9" s="45" t="s">
        <v>232</v>
      </c>
      <c r="C9" s="46">
        <f>'3YP w. downside'!J9</f>
        <v>36.581779999999995</v>
      </c>
      <c r="D9" s="46">
        <f>'3YP w. downside'!K9</f>
        <v>42.081430000000005</v>
      </c>
      <c r="E9" s="46">
        <f>'3YP w. downside'!L9</f>
        <v>158.97499999999999</v>
      </c>
      <c r="F9" s="46">
        <f>'3YP w. downside'!M9</f>
        <v>286.15499999999997</v>
      </c>
      <c r="G9" s="46">
        <f>'3YP w. downside'!N9</f>
        <v>457.84799999999996</v>
      </c>
      <c r="H9" s="90">
        <f t="shared" si="2"/>
        <v>1.2158665963130328</v>
      </c>
      <c r="J9" s="46">
        <f t="shared" si="0"/>
        <v>36.581779999999995</v>
      </c>
      <c r="K9" s="46">
        <f t="shared" si="0"/>
        <v>42.081430000000005</v>
      </c>
      <c r="L9" s="46">
        <f t="shared" si="3"/>
        <v>154.20574999999999</v>
      </c>
      <c r="M9" s="46">
        <f t="shared" si="4"/>
        <v>277.57034999999996</v>
      </c>
      <c r="N9" s="46">
        <f t="shared" si="5"/>
        <v>444.11255999999997</v>
      </c>
      <c r="O9" s="90">
        <f t="shared" si="6"/>
        <v>1.1934825750532281</v>
      </c>
    </row>
    <row r="10" spans="2:15" outlineLevel="1">
      <c r="B10" s="45" t="s">
        <v>233</v>
      </c>
      <c r="C10" s="46">
        <f>'3YP w. downside'!J10</f>
        <v>0</v>
      </c>
      <c r="D10" s="46">
        <f>'3YP w. downside'!K10</f>
        <v>8.8706399999999999</v>
      </c>
      <c r="E10" s="46">
        <f>'3YP w. downside'!L10</f>
        <v>67.5</v>
      </c>
      <c r="F10" s="46">
        <f>'3YP w. downside'!M10</f>
        <v>135</v>
      </c>
      <c r="G10" s="46">
        <f>'3YP w. downside'!N10</f>
        <v>243</v>
      </c>
      <c r="H10" s="90">
        <f t="shared" si="2"/>
        <v>2.0145126201846448</v>
      </c>
      <c r="J10" s="46">
        <f t="shared" si="0"/>
        <v>0</v>
      </c>
      <c r="K10" s="46">
        <f t="shared" si="0"/>
        <v>8.8706399999999999</v>
      </c>
      <c r="L10" s="46">
        <f t="shared" si="3"/>
        <v>65.474999999999994</v>
      </c>
      <c r="M10" s="46">
        <f t="shared" si="4"/>
        <v>130.94999999999999</v>
      </c>
      <c r="N10" s="46">
        <f t="shared" si="5"/>
        <v>235.70999999999998</v>
      </c>
      <c r="O10" s="90">
        <f t="shared" si="6"/>
        <v>1.9840609157858164</v>
      </c>
    </row>
    <row r="11" spans="2:15" outlineLevel="1">
      <c r="B11" s="47" t="s">
        <v>31</v>
      </c>
      <c r="C11" s="48">
        <f>SUM(C5:C10)</f>
        <v>6985.9865869841487</v>
      </c>
      <c r="D11" s="48">
        <f>SUM(D5:D10)</f>
        <v>7275.3369099999991</v>
      </c>
      <c r="E11" s="48">
        <f t="shared" ref="E11:G11" si="7">SUM(E5:E10)</f>
        <v>7837.5750000000007</v>
      </c>
      <c r="F11" s="48">
        <f t="shared" si="7"/>
        <v>8515.5874999999996</v>
      </c>
      <c r="G11" s="48">
        <f t="shared" si="7"/>
        <v>9226.8725000000013</v>
      </c>
      <c r="H11" s="95">
        <f t="shared" si="2"/>
        <v>8.2431618844025945E-2</v>
      </c>
      <c r="J11" s="48">
        <f>SUM(J5:J10)</f>
        <v>6985.9865869841487</v>
      </c>
      <c r="K11" s="48">
        <f>SUM(K5:K10)</f>
        <v>7275.3369099999991</v>
      </c>
      <c r="L11" s="48">
        <f t="shared" ref="L11:N11" si="8">SUM(L5:L10)</f>
        <v>7602.4477500000003</v>
      </c>
      <c r="M11" s="48">
        <f t="shared" si="8"/>
        <v>8260.1198750000003</v>
      </c>
      <c r="N11" s="48">
        <f t="shared" si="8"/>
        <v>8950.0663249999998</v>
      </c>
      <c r="O11" s="95">
        <f t="shared" si="6"/>
        <v>7.1497218547183161E-2</v>
      </c>
    </row>
    <row r="12" spans="2:15" ht="6" customHeight="1" outlineLevel="1">
      <c r="B12" s="49"/>
      <c r="C12" s="63"/>
      <c r="D12" s="63"/>
      <c r="E12" s="63"/>
      <c r="F12" s="63"/>
      <c r="G12" s="63"/>
      <c r="H12" s="96"/>
      <c r="J12" s="63"/>
      <c r="K12" s="63"/>
      <c r="L12" s="63"/>
      <c r="M12" s="63"/>
      <c r="N12" s="63"/>
      <c r="O12" s="96"/>
    </row>
    <row r="13" spans="2:15" outlineLevel="1">
      <c r="B13" s="44" t="s">
        <v>234</v>
      </c>
      <c r="C13" s="46">
        <f>'3YP w. downside'!J13</f>
        <v>120.10185645763202</v>
      </c>
      <c r="D13" s="46">
        <f>'3YP w. downside'!K13</f>
        <v>201.3082344</v>
      </c>
      <c r="E13" s="46">
        <f>'3YP w. downside'!L13</f>
        <v>321.7</v>
      </c>
      <c r="F13" s="46">
        <f>'3YP w. downside'!M13</f>
        <v>482.54999999999995</v>
      </c>
      <c r="G13" s="46">
        <f>'3YP w. downside'!N13</f>
        <v>675.56999999999994</v>
      </c>
      <c r="H13" s="90">
        <f t="shared" ref="H13:H15" si="9">IFERROR(_xlfn.RRI(3,D13,G13), "N/A")</f>
        <v>0.49716479121602419</v>
      </c>
      <c r="J13" s="46">
        <f t="shared" ref="J13:K14" si="10">C13</f>
        <v>120.10185645763202</v>
      </c>
      <c r="K13" s="46">
        <f t="shared" si="10"/>
        <v>201.3082344</v>
      </c>
      <c r="L13" s="46">
        <f t="shared" ref="L13:L14" si="11">E13*(1+$I$1)</f>
        <v>312.04899999999998</v>
      </c>
      <c r="M13" s="46">
        <f t="shared" ref="M13:M14" si="12">F13*(1+$I$1)</f>
        <v>468.07349999999997</v>
      </c>
      <c r="N13" s="46">
        <f t="shared" ref="N13:N14" si="13">G13*(1+$I$1)</f>
        <v>655.30289999999991</v>
      </c>
      <c r="O13" s="90">
        <f t="shared" ref="O13:O15" si="14">IFERROR(_xlfn.RRI(3,K13,N13), "N/A")</f>
        <v>0.48204088052042016</v>
      </c>
    </row>
    <row r="14" spans="2:15" outlineLevel="1">
      <c r="B14" s="44" t="s">
        <v>235</v>
      </c>
      <c r="C14" s="46">
        <f>'3YP w. downside'!J14</f>
        <v>173.48070611518398</v>
      </c>
      <c r="D14" s="46">
        <f>'3YP w. downside'!K14</f>
        <v>177.28904740000002</v>
      </c>
      <c r="E14" s="46">
        <f>'3YP w. downside'!L14</f>
        <v>175</v>
      </c>
      <c r="F14" s="46">
        <f>'3YP w. downside'!M14</f>
        <v>175</v>
      </c>
      <c r="G14" s="46">
        <f>'3YP w. downside'!N14</f>
        <v>175</v>
      </c>
      <c r="H14" s="90">
        <f t="shared" si="9"/>
        <v>-4.3224521481128875E-3</v>
      </c>
      <c r="J14" s="46">
        <f t="shared" si="10"/>
        <v>173.48070611518398</v>
      </c>
      <c r="K14" s="46">
        <f t="shared" si="10"/>
        <v>177.28904740000002</v>
      </c>
      <c r="L14" s="46">
        <f t="shared" si="11"/>
        <v>169.75</v>
      </c>
      <c r="M14" s="46">
        <f t="shared" si="12"/>
        <v>169.75</v>
      </c>
      <c r="N14" s="46">
        <f t="shared" si="13"/>
        <v>169.75</v>
      </c>
      <c r="O14" s="90">
        <f t="shared" si="14"/>
        <v>-1.4380488780873391E-2</v>
      </c>
    </row>
    <row r="15" spans="2:15" outlineLevel="1">
      <c r="B15" s="51" t="s">
        <v>236</v>
      </c>
      <c r="C15" s="48">
        <f t="shared" ref="C15:G15" si="15">SUM(C13:C14)</f>
        <v>293.58256257281602</v>
      </c>
      <c r="D15" s="48">
        <f t="shared" si="15"/>
        <v>378.59728180000002</v>
      </c>
      <c r="E15" s="48">
        <f t="shared" si="15"/>
        <v>496.7</v>
      </c>
      <c r="F15" s="48">
        <f t="shared" si="15"/>
        <v>657.55</v>
      </c>
      <c r="G15" s="48">
        <f t="shared" si="15"/>
        <v>850.56999999999994</v>
      </c>
      <c r="H15" s="95">
        <f t="shared" si="9"/>
        <v>0.30971717629368922</v>
      </c>
      <c r="J15" s="48">
        <f t="shared" ref="J15:N15" si="16">SUM(J13:J14)</f>
        <v>293.58256257281602</v>
      </c>
      <c r="K15" s="48">
        <f t="shared" si="16"/>
        <v>378.59728180000002</v>
      </c>
      <c r="L15" s="48">
        <f t="shared" si="16"/>
        <v>481.79899999999998</v>
      </c>
      <c r="M15" s="48">
        <f t="shared" si="16"/>
        <v>637.82349999999997</v>
      </c>
      <c r="N15" s="48">
        <f t="shared" si="16"/>
        <v>825.05289999999991</v>
      </c>
      <c r="O15" s="95">
        <f t="shared" si="14"/>
        <v>0.29648680531049498</v>
      </c>
    </row>
    <row r="16" spans="2:15" ht="6" customHeight="1" outlineLevel="1">
      <c r="B16" s="49"/>
      <c r="C16" s="63"/>
      <c r="D16" s="63"/>
      <c r="E16" s="63"/>
      <c r="F16" s="63"/>
      <c r="G16" s="63"/>
      <c r="H16" s="96"/>
      <c r="J16" s="63"/>
      <c r="K16" s="63"/>
      <c r="L16" s="63"/>
      <c r="M16" s="63"/>
      <c r="N16" s="63"/>
      <c r="O16" s="96"/>
    </row>
    <row r="17" spans="2:15" outlineLevel="1">
      <c r="B17" s="45" t="s">
        <v>237</v>
      </c>
      <c r="C17" s="46">
        <f>'3YP w. downside'!J17</f>
        <v>723.64898508591909</v>
      </c>
      <c r="D17" s="46">
        <f>'3YP w. downside'!K17</f>
        <v>754.68615419999992</v>
      </c>
      <c r="E17" s="46">
        <f>'3YP w. downside'!L17</f>
        <v>983.24199999999996</v>
      </c>
      <c r="F17" s="46">
        <f>'3YP w. downside'!M17</f>
        <v>1278.2146</v>
      </c>
      <c r="G17" s="46">
        <f>'3YP w. downside'!N17</f>
        <v>1533.85752</v>
      </c>
      <c r="H17" s="90">
        <f t="shared" ref="H17:H19" si="17">IFERROR(_xlfn.RRI(3,D17,G17), "N/A")</f>
        <v>0.26669740018977106</v>
      </c>
      <c r="J17" s="46">
        <f t="shared" ref="J17:K18" si="18">C17</f>
        <v>723.64898508591909</v>
      </c>
      <c r="K17" s="46">
        <f t="shared" si="18"/>
        <v>754.68615419999992</v>
      </c>
      <c r="L17" s="46">
        <f t="shared" ref="L17:L18" si="19">E17*(1+$I$1)</f>
        <v>953.74473999999998</v>
      </c>
      <c r="M17" s="46">
        <f t="shared" ref="M17:M18" si="20">F17*(1+$I$1)</f>
        <v>1239.868162</v>
      </c>
      <c r="N17" s="46">
        <f t="shared" ref="N17:N18" si="21">G17*(1+$I$1)</f>
        <v>1487.8417944</v>
      </c>
      <c r="O17" s="90">
        <f t="shared" ref="O17:O19" si="22">IFERROR(_xlfn.RRI(3,K17,N17), "N/A")</f>
        <v>0.25390160211114821</v>
      </c>
    </row>
    <row r="18" spans="2:15" outlineLevel="1">
      <c r="B18" s="45" t="s">
        <v>64</v>
      </c>
      <c r="C18" s="46">
        <f>'3YP w. downside'!J18</f>
        <v>35.717858636318098</v>
      </c>
      <c r="D18" s="46">
        <f>'3YP w. downside'!K18</f>
        <v>5</v>
      </c>
      <c r="E18" s="46">
        <f>'3YP w. downside'!L18</f>
        <v>20</v>
      </c>
      <c r="F18" s="46">
        <f>'3YP w. downside'!M18</f>
        <v>20</v>
      </c>
      <c r="G18" s="46">
        <f>'3YP w. downside'!N18</f>
        <v>20</v>
      </c>
      <c r="H18" s="90">
        <f t="shared" si="17"/>
        <v>0.58740105196819936</v>
      </c>
      <c r="J18" s="46">
        <f t="shared" si="18"/>
        <v>35.717858636318098</v>
      </c>
      <c r="K18" s="46">
        <f t="shared" si="18"/>
        <v>5</v>
      </c>
      <c r="L18" s="46">
        <f t="shared" si="19"/>
        <v>19.399999999999999</v>
      </c>
      <c r="M18" s="46">
        <f t="shared" si="20"/>
        <v>19.399999999999999</v>
      </c>
      <c r="N18" s="46">
        <f t="shared" si="21"/>
        <v>19.399999999999999</v>
      </c>
      <c r="O18" s="90">
        <f t="shared" si="22"/>
        <v>0.57136560156959937</v>
      </c>
    </row>
    <row r="19" spans="2:15" outlineLevel="1">
      <c r="B19" s="47" t="s">
        <v>238</v>
      </c>
      <c r="C19" s="48">
        <f t="shared" ref="C19:G19" si="23">SUM(C17:C18)</f>
        <v>759.36684372223715</v>
      </c>
      <c r="D19" s="48">
        <f t="shared" si="23"/>
        <v>759.68615419999992</v>
      </c>
      <c r="E19" s="48">
        <f t="shared" si="23"/>
        <v>1003.242</v>
      </c>
      <c r="F19" s="48">
        <f t="shared" si="23"/>
        <v>1298.2146</v>
      </c>
      <c r="G19" s="48">
        <f t="shared" si="23"/>
        <v>1553.85752</v>
      </c>
      <c r="H19" s="95">
        <f t="shared" si="17"/>
        <v>0.26938197637891537</v>
      </c>
      <c r="J19" s="48">
        <f t="shared" ref="J19:N19" si="24">SUM(J17:J18)</f>
        <v>759.36684372223715</v>
      </c>
      <c r="K19" s="48">
        <f t="shared" si="24"/>
        <v>759.68615419999992</v>
      </c>
      <c r="L19" s="48">
        <f t="shared" si="24"/>
        <v>973.14473999999996</v>
      </c>
      <c r="M19" s="48">
        <f t="shared" si="24"/>
        <v>1259.2681620000001</v>
      </c>
      <c r="N19" s="48">
        <f t="shared" si="24"/>
        <v>1507.2417944000001</v>
      </c>
      <c r="O19" s="95">
        <f t="shared" si="22"/>
        <v>0.25655905951498692</v>
      </c>
    </row>
    <row r="20" spans="2:15" ht="6" customHeight="1" outlineLevel="1">
      <c r="B20" s="49"/>
      <c r="C20" s="63"/>
      <c r="D20" s="63"/>
      <c r="E20" s="63"/>
      <c r="F20" s="63"/>
      <c r="G20" s="63"/>
      <c r="H20" s="96"/>
      <c r="J20" s="63"/>
      <c r="K20" s="63"/>
      <c r="L20" s="63"/>
      <c r="M20" s="63"/>
      <c r="N20" s="63"/>
      <c r="O20" s="96"/>
    </row>
    <row r="21" spans="2:15" outlineLevel="1">
      <c r="B21" s="45" t="s">
        <v>239</v>
      </c>
      <c r="C21" s="46">
        <f>'3YP w. downside'!J21</f>
        <v>400.00112999999999</v>
      </c>
      <c r="D21" s="46">
        <f>'3YP w. downside'!K21</f>
        <v>447.78187000000008</v>
      </c>
      <c r="E21" s="46">
        <f>'3YP w. downside'!L21</f>
        <v>430</v>
      </c>
      <c r="F21" s="46">
        <f>'3YP w. downside'!M21</f>
        <v>440</v>
      </c>
      <c r="G21" s="46">
        <f>'3YP w. downside'!N21</f>
        <v>450</v>
      </c>
      <c r="H21" s="90">
        <f t="shared" ref="H21:H28" si="25">IFERROR(_xlfn.RRI(3,D21,G21), "N/A")</f>
        <v>1.6484793319253566E-3</v>
      </c>
      <c r="J21" s="46">
        <f t="shared" ref="J21:K27" si="26">C21</f>
        <v>400.00112999999999</v>
      </c>
      <c r="K21" s="46">
        <f t="shared" si="26"/>
        <v>447.78187000000008</v>
      </c>
      <c r="L21" s="46">
        <f t="shared" ref="L21:L27" si="27">E21*(1+$I$1)</f>
        <v>417.09999999999997</v>
      </c>
      <c r="M21" s="46">
        <f t="shared" ref="M21:M27" si="28">F21*(1+$I$1)</f>
        <v>426.8</v>
      </c>
      <c r="N21" s="46">
        <f t="shared" ref="N21:N27" si="29">G21*(1+$I$1)</f>
        <v>436.5</v>
      </c>
      <c r="O21" s="90">
        <f t="shared" ref="O21:O28" si="30">IFERROR(_xlfn.RRI(3,K21,N21), "N/A")</f>
        <v>-8.4698738638503412E-3</v>
      </c>
    </row>
    <row r="22" spans="2:15" outlineLevel="1">
      <c r="B22" s="45" t="s">
        <v>240</v>
      </c>
      <c r="C22" s="46">
        <f>'3YP w. downside'!J22</f>
        <v>487.42534000000006</v>
      </c>
      <c r="D22" s="46">
        <f>'3YP w. downside'!K22</f>
        <v>567.51580000000001</v>
      </c>
      <c r="E22" s="46">
        <f>'3YP w. downside'!L22</f>
        <v>625</v>
      </c>
      <c r="F22" s="46">
        <f>'3YP w. downside'!M22</f>
        <v>650</v>
      </c>
      <c r="G22" s="46">
        <f>'3YP w. downside'!N22</f>
        <v>675</v>
      </c>
      <c r="H22" s="90">
        <f t="shared" si="25"/>
        <v>5.9518648888459369E-2</v>
      </c>
      <c r="J22" s="46">
        <f t="shared" si="26"/>
        <v>487.42534000000006</v>
      </c>
      <c r="K22" s="46">
        <f t="shared" si="26"/>
        <v>567.51580000000001</v>
      </c>
      <c r="L22" s="46">
        <f t="shared" si="27"/>
        <v>606.25</v>
      </c>
      <c r="M22" s="46">
        <f t="shared" si="28"/>
        <v>630.5</v>
      </c>
      <c r="N22" s="46">
        <f t="shared" si="29"/>
        <v>654.75</v>
      </c>
      <c r="O22" s="90">
        <f t="shared" si="30"/>
        <v>4.8815708557421456E-2</v>
      </c>
    </row>
    <row r="23" spans="2:15" outlineLevel="1">
      <c r="B23" s="45" t="s">
        <v>241</v>
      </c>
      <c r="C23" s="46">
        <f>'3YP w. downside'!J23</f>
        <v>297.28224</v>
      </c>
      <c r="D23" s="46">
        <f>'3YP w. downside'!K23</f>
        <v>277.16552000000001</v>
      </c>
      <c r="E23" s="46">
        <f>'3YP w. downside'!L23</f>
        <v>350</v>
      </c>
      <c r="F23" s="46">
        <f>'3YP w. downside'!M23</f>
        <v>380</v>
      </c>
      <c r="G23" s="46">
        <f>'3YP w. downside'!N23</f>
        <v>420</v>
      </c>
      <c r="H23" s="90">
        <f t="shared" si="25"/>
        <v>0.14860321994325232</v>
      </c>
      <c r="J23" s="46">
        <f t="shared" si="26"/>
        <v>297.28224</v>
      </c>
      <c r="K23" s="46">
        <f t="shared" si="26"/>
        <v>277.16552000000001</v>
      </c>
      <c r="L23" s="46">
        <f t="shared" si="27"/>
        <v>339.5</v>
      </c>
      <c r="M23" s="46">
        <f t="shared" si="28"/>
        <v>368.59999999999997</v>
      </c>
      <c r="N23" s="46">
        <f t="shared" si="29"/>
        <v>407.4</v>
      </c>
      <c r="O23" s="90">
        <f t="shared" si="30"/>
        <v>0.13700037393389919</v>
      </c>
    </row>
    <row r="24" spans="2:15" outlineLevel="1">
      <c r="B24" s="45" t="s">
        <v>242</v>
      </c>
      <c r="C24" s="46">
        <f>'3YP w. downside'!J24</f>
        <v>245.10886000000005</v>
      </c>
      <c r="D24" s="46">
        <f>'3YP w. downside'!K24</f>
        <v>443.66261000000003</v>
      </c>
      <c r="E24" s="46">
        <f>'3YP w. downside'!L24</f>
        <v>457.5</v>
      </c>
      <c r="F24" s="46">
        <f>'3YP w. downside'!M24</f>
        <v>520</v>
      </c>
      <c r="G24" s="46">
        <f>'3YP w. downside'!N24</f>
        <v>625</v>
      </c>
      <c r="H24" s="90">
        <f t="shared" si="25"/>
        <v>0.121008904991174</v>
      </c>
      <c r="J24" s="46">
        <f t="shared" si="26"/>
        <v>245.10886000000005</v>
      </c>
      <c r="K24" s="46">
        <f t="shared" si="26"/>
        <v>443.66261000000003</v>
      </c>
      <c r="L24" s="46">
        <f t="shared" si="27"/>
        <v>443.77499999999998</v>
      </c>
      <c r="M24" s="46">
        <f t="shared" si="28"/>
        <v>504.4</v>
      </c>
      <c r="N24" s="46">
        <f t="shared" si="29"/>
        <v>606.25</v>
      </c>
      <c r="O24" s="90">
        <f t="shared" si="30"/>
        <v>0.10968480849389195</v>
      </c>
    </row>
    <row r="25" spans="2:15" outlineLevel="1">
      <c r="B25" s="45" t="s">
        <v>243</v>
      </c>
      <c r="C25" s="46">
        <f>'3YP w. downside'!J25</f>
        <v>28.565149999999996</v>
      </c>
      <c r="D25" s="46">
        <f>'3YP w. downside'!K25</f>
        <v>34.968969999999999</v>
      </c>
      <c r="E25" s="46">
        <f>'3YP w. downside'!L25</f>
        <v>30</v>
      </c>
      <c r="F25" s="46">
        <f>'3YP w. downside'!M25</f>
        <v>40</v>
      </c>
      <c r="G25" s="46">
        <f>'3YP w. downside'!N25</f>
        <v>50</v>
      </c>
      <c r="H25" s="90">
        <f t="shared" si="25"/>
        <v>0.12658091036364283</v>
      </c>
      <c r="J25" s="46">
        <f t="shared" si="26"/>
        <v>28.565149999999996</v>
      </c>
      <c r="K25" s="46">
        <f t="shared" si="26"/>
        <v>34.968969999999999</v>
      </c>
      <c r="L25" s="46">
        <f t="shared" si="27"/>
        <v>29.099999999999998</v>
      </c>
      <c r="M25" s="46">
        <f t="shared" si="28"/>
        <v>38.799999999999997</v>
      </c>
      <c r="N25" s="46">
        <f t="shared" si="29"/>
        <v>48.5</v>
      </c>
      <c r="O25" s="90">
        <f t="shared" si="30"/>
        <v>0.11520052713550588</v>
      </c>
    </row>
    <row r="26" spans="2:15" outlineLevel="1">
      <c r="B26" s="45" t="s">
        <v>244</v>
      </c>
      <c r="C26" s="46">
        <f>'3YP w. downside'!J26</f>
        <v>15.133949999999999</v>
      </c>
      <c r="D26" s="46">
        <f>'3YP w. downside'!K26</f>
        <v>14.61966</v>
      </c>
      <c r="E26" s="46">
        <f>'3YP w. downside'!L26</f>
        <v>20</v>
      </c>
      <c r="F26" s="46">
        <f>'3YP w. downside'!M26</f>
        <v>50</v>
      </c>
      <c r="G26" s="46">
        <f>'3YP w. downside'!N26</f>
        <v>100</v>
      </c>
      <c r="H26" s="90">
        <f t="shared" si="25"/>
        <v>0.89825364490749182</v>
      </c>
      <c r="J26" s="46">
        <f t="shared" si="26"/>
        <v>15.133949999999999</v>
      </c>
      <c r="K26" s="46">
        <f t="shared" si="26"/>
        <v>14.61966</v>
      </c>
      <c r="L26" s="46">
        <f t="shared" si="27"/>
        <v>19.399999999999999</v>
      </c>
      <c r="M26" s="46">
        <f t="shared" si="28"/>
        <v>48.5</v>
      </c>
      <c r="N26" s="46">
        <f t="shared" si="29"/>
        <v>97</v>
      </c>
      <c r="O26" s="90">
        <f t="shared" si="30"/>
        <v>0.87907805463738709</v>
      </c>
    </row>
    <row r="27" spans="2:15" outlineLevel="1">
      <c r="B27" s="45" t="s">
        <v>245</v>
      </c>
      <c r="C27" s="46">
        <f>'3YP w. downside'!J27</f>
        <v>54.728430000000003</v>
      </c>
      <c r="D27" s="46">
        <f>'3YP w. downside'!K27</f>
        <v>31.812060000000002</v>
      </c>
      <c r="E27" s="46">
        <f>'3YP w. downside'!L27</f>
        <v>32</v>
      </c>
      <c r="F27" s="46">
        <f>'3YP w. downside'!M27</f>
        <v>36</v>
      </c>
      <c r="G27" s="46">
        <f>'3YP w. downside'!N27</f>
        <v>40</v>
      </c>
      <c r="H27" s="90">
        <f t="shared" si="25"/>
        <v>7.9334517426726148E-2</v>
      </c>
      <c r="J27" s="46">
        <f t="shared" si="26"/>
        <v>54.728430000000003</v>
      </c>
      <c r="K27" s="46">
        <f t="shared" si="26"/>
        <v>31.812060000000002</v>
      </c>
      <c r="L27" s="46">
        <f t="shared" si="27"/>
        <v>31.04</v>
      </c>
      <c r="M27" s="46">
        <f t="shared" si="28"/>
        <v>34.92</v>
      </c>
      <c r="N27" s="46">
        <f t="shared" si="29"/>
        <v>38.799999999999997</v>
      </c>
      <c r="O27" s="90">
        <f t="shared" si="30"/>
        <v>6.8431403121596013E-2</v>
      </c>
    </row>
    <row r="28" spans="2:15" outlineLevel="1">
      <c r="B28" s="47" t="s">
        <v>100</v>
      </c>
      <c r="C28" s="48">
        <f t="shared" ref="C28:G28" si="31">SUM(C21:C27)</f>
        <v>1528.2451000000001</v>
      </c>
      <c r="D28" s="48">
        <f t="shared" si="31"/>
        <v>1817.5264900000002</v>
      </c>
      <c r="E28" s="48">
        <f t="shared" si="31"/>
        <v>1944.5</v>
      </c>
      <c r="F28" s="48">
        <f t="shared" si="31"/>
        <v>2116</v>
      </c>
      <c r="G28" s="48">
        <f t="shared" si="31"/>
        <v>2360</v>
      </c>
      <c r="H28" s="95">
        <f t="shared" si="25"/>
        <v>9.0963995121111862E-2</v>
      </c>
      <c r="J28" s="48">
        <f t="shared" ref="J28:N28" si="32">SUM(J21:J27)</f>
        <v>1528.2451000000001</v>
      </c>
      <c r="K28" s="48">
        <f t="shared" si="32"/>
        <v>1817.5264900000002</v>
      </c>
      <c r="L28" s="48">
        <f t="shared" si="32"/>
        <v>1886.165</v>
      </c>
      <c r="M28" s="48">
        <f t="shared" si="32"/>
        <v>2052.5199999999995</v>
      </c>
      <c r="N28" s="48">
        <f t="shared" si="32"/>
        <v>2289.2000000000003</v>
      </c>
      <c r="O28" s="95">
        <f t="shared" si="30"/>
        <v>7.9943403312424E-2</v>
      </c>
    </row>
    <row r="29" spans="2:15" ht="6" customHeight="1" outlineLevel="1">
      <c r="B29" s="49"/>
      <c r="C29" s="63"/>
      <c r="D29" s="63"/>
      <c r="E29" s="63"/>
      <c r="F29" s="63"/>
      <c r="G29" s="63"/>
      <c r="H29" s="96"/>
      <c r="J29" s="63"/>
      <c r="K29" s="63"/>
      <c r="L29" s="63"/>
      <c r="M29" s="63"/>
      <c r="N29" s="63"/>
      <c r="O29" s="96"/>
    </row>
    <row r="30" spans="2:15" ht="15.75" outlineLevel="1" thickBot="1">
      <c r="B30" s="52" t="s">
        <v>246</v>
      </c>
      <c r="C30" s="53">
        <f t="shared" ref="C30:G30" si="33">SUM(C11,C15,C19,C28)</f>
        <v>9567.1810932792014</v>
      </c>
      <c r="D30" s="53">
        <f t="shared" si="33"/>
        <v>10231.146836</v>
      </c>
      <c r="E30" s="53">
        <f t="shared" si="33"/>
        <v>11282.017000000002</v>
      </c>
      <c r="F30" s="53">
        <f t="shared" si="33"/>
        <v>12587.352099999998</v>
      </c>
      <c r="G30" s="53">
        <f t="shared" si="33"/>
        <v>13991.300020000001</v>
      </c>
      <c r="H30" s="97">
        <f>IFERROR(_xlfn.RRI(3,D30,G30), "N/A")</f>
        <v>0.1099700246596591</v>
      </c>
      <c r="J30" s="53">
        <f t="shared" ref="J30:N30" si="34">SUM(J11,J15,J19,J28)</f>
        <v>9567.1810932792014</v>
      </c>
      <c r="K30" s="53">
        <f t="shared" si="34"/>
        <v>10231.146836</v>
      </c>
      <c r="L30" s="53">
        <f t="shared" si="34"/>
        <v>10943.556489999999</v>
      </c>
      <c r="M30" s="53">
        <f t="shared" si="34"/>
        <v>12209.731537</v>
      </c>
      <c r="N30" s="53">
        <f t="shared" si="34"/>
        <v>13571.561019400002</v>
      </c>
      <c r="O30" s="97">
        <f>IFERROR(_xlfn.RRI(3,K30,N30), "N/A")</f>
        <v>9.8757439628110788E-2</v>
      </c>
    </row>
    <row r="31" spans="2:15" ht="6" customHeight="1" outlineLevel="1">
      <c r="B31" s="49"/>
      <c r="C31" s="63"/>
      <c r="D31" s="63"/>
      <c r="E31" s="63"/>
      <c r="F31" s="63"/>
      <c r="G31" s="63"/>
      <c r="H31" s="96"/>
      <c r="J31" s="63"/>
      <c r="K31" s="63"/>
      <c r="L31" s="63"/>
      <c r="M31" s="63"/>
      <c r="N31" s="63"/>
      <c r="O31" s="96"/>
    </row>
    <row r="32" spans="2:15" outlineLevel="1">
      <c r="B32" t="s">
        <v>247</v>
      </c>
      <c r="C32" s="46">
        <f>'3YP w. downside'!J32</f>
        <v>227.20375000000004</v>
      </c>
      <c r="D32" s="46">
        <f>'3YP w. downside'!K32</f>
        <v>500.90406999999993</v>
      </c>
      <c r="E32" s="46">
        <f>'3YP w. downside'!L32</f>
        <v>800</v>
      </c>
      <c r="F32" s="46">
        <f>'3YP w. downside'!M32</f>
        <v>1200</v>
      </c>
      <c r="G32" s="46">
        <f>'3YP w. downside'!N32</f>
        <v>1600</v>
      </c>
      <c r="H32" s="90">
        <f t="shared" ref="H32:H34" si="35">IFERROR(_xlfn.RRI(3,D32,G32), "N/A")</f>
        <v>0.4727255026098498</v>
      </c>
      <c r="J32" s="46">
        <f t="shared" ref="J32:K34" si="36">C32</f>
        <v>227.20375000000004</v>
      </c>
      <c r="K32" s="46">
        <f t="shared" si="36"/>
        <v>500.90406999999993</v>
      </c>
      <c r="L32" s="46">
        <f t="shared" ref="L32:L34" si="37">E32*(1+$I$1)</f>
        <v>776</v>
      </c>
      <c r="M32" s="46">
        <f t="shared" ref="M32:M34" si="38">F32*(1+$I$1)</f>
        <v>1164</v>
      </c>
      <c r="N32" s="46">
        <f t="shared" ref="N32:N34" si="39">G32*(1+$I$1)</f>
        <v>1552</v>
      </c>
      <c r="O32" s="90">
        <f t="shared" ref="O32:O34" si="40">IFERROR(_xlfn.RRI(3,K32,N32), "N/A")</f>
        <v>0.45784847029430953</v>
      </c>
    </row>
    <row r="33" spans="2:15" outlineLevel="1">
      <c r="B33" t="s">
        <v>248</v>
      </c>
      <c r="C33" s="46">
        <f>'3YP w. downside'!J33</f>
        <v>0</v>
      </c>
      <c r="D33" s="46">
        <f>'3YP w. downside'!K33</f>
        <v>105.64609</v>
      </c>
      <c r="E33" s="46">
        <f>'3YP w. downside'!L33</f>
        <v>200</v>
      </c>
      <c r="F33" s="46">
        <f>'3YP w. downside'!M33</f>
        <v>300</v>
      </c>
      <c r="G33" s="46">
        <f>'3YP w. downside'!N33</f>
        <v>500</v>
      </c>
      <c r="H33" s="90">
        <f t="shared" si="35"/>
        <v>0.67895423654083675</v>
      </c>
      <c r="J33" s="46">
        <f t="shared" si="36"/>
        <v>0</v>
      </c>
      <c r="K33" s="46">
        <f t="shared" si="36"/>
        <v>105.64609</v>
      </c>
      <c r="L33" s="46">
        <f t="shared" si="37"/>
        <v>194</v>
      </c>
      <c r="M33" s="46">
        <f t="shared" si="38"/>
        <v>291</v>
      </c>
      <c r="N33" s="46">
        <f t="shared" si="39"/>
        <v>485</v>
      </c>
      <c r="O33" s="90">
        <f t="shared" si="40"/>
        <v>0.66199394326889482</v>
      </c>
    </row>
    <row r="34" spans="2:15" outlineLevel="1">
      <c r="B34" t="s">
        <v>249</v>
      </c>
      <c r="C34" s="46">
        <f>'3YP w. downside'!J34</f>
        <v>0</v>
      </c>
      <c r="D34" s="46">
        <f>'3YP w. downside'!K34</f>
        <v>0</v>
      </c>
      <c r="E34" s="46">
        <f>'3YP w. downside'!L34</f>
        <v>145</v>
      </c>
      <c r="F34" s="46">
        <f>'3YP w. downside'!M34</f>
        <v>225</v>
      </c>
      <c r="G34" s="46">
        <f>'3YP w. downside'!N34</f>
        <v>375</v>
      </c>
      <c r="H34" s="90" t="str">
        <f t="shared" si="35"/>
        <v>N/A</v>
      </c>
      <c r="J34" s="46">
        <f t="shared" si="36"/>
        <v>0</v>
      </c>
      <c r="K34" s="46">
        <f t="shared" si="36"/>
        <v>0</v>
      </c>
      <c r="L34" s="46">
        <f t="shared" si="37"/>
        <v>140.65</v>
      </c>
      <c r="M34" s="46">
        <f t="shared" si="38"/>
        <v>218.25</v>
      </c>
      <c r="N34" s="46">
        <f t="shared" si="39"/>
        <v>363.75</v>
      </c>
      <c r="O34" s="90" t="str">
        <f t="shared" si="40"/>
        <v>N/A</v>
      </c>
    </row>
    <row r="35" spans="2:15" ht="6" customHeight="1" outlineLevel="1">
      <c r="B35" s="49"/>
      <c r="C35" s="63"/>
      <c r="D35" s="63"/>
      <c r="E35" s="63"/>
      <c r="F35" s="63"/>
      <c r="G35" s="63"/>
      <c r="H35" s="96"/>
      <c r="J35" s="63"/>
      <c r="K35" s="63"/>
      <c r="L35" s="63"/>
      <c r="M35" s="63"/>
      <c r="N35" s="63"/>
      <c r="O35" s="96"/>
    </row>
    <row r="36" spans="2:15" ht="15.75" outlineLevel="1" thickBot="1">
      <c r="B36" s="52" t="s">
        <v>250</v>
      </c>
      <c r="C36" s="53">
        <f t="shared" ref="C36:G36" si="41">SUM(C32:C34)</f>
        <v>227.20375000000004</v>
      </c>
      <c r="D36" s="53">
        <f t="shared" si="41"/>
        <v>606.55015999999989</v>
      </c>
      <c r="E36" s="53">
        <f t="shared" si="41"/>
        <v>1145</v>
      </c>
      <c r="F36" s="53">
        <f t="shared" si="41"/>
        <v>1725</v>
      </c>
      <c r="G36" s="53">
        <f t="shared" si="41"/>
        <v>2475</v>
      </c>
      <c r="H36" s="97">
        <f>IFERROR(_xlfn.RRI(3,D36,G36), "N/A")</f>
        <v>0.59797320920415142</v>
      </c>
      <c r="J36" s="53">
        <f t="shared" ref="J36:N36" si="42">SUM(J32:J34)</f>
        <v>227.20375000000004</v>
      </c>
      <c r="K36" s="53">
        <f t="shared" si="42"/>
        <v>606.55015999999989</v>
      </c>
      <c r="L36" s="53">
        <f t="shared" si="42"/>
        <v>1110.6500000000001</v>
      </c>
      <c r="M36" s="53">
        <f t="shared" si="42"/>
        <v>1673.25</v>
      </c>
      <c r="N36" s="53">
        <f t="shared" si="42"/>
        <v>2400.75</v>
      </c>
      <c r="O36" s="97">
        <f>IFERROR(_xlfn.RRI(3,K36,N36), "N/A")</f>
        <v>0.58183096203686269</v>
      </c>
    </row>
    <row r="37" spans="2:15" ht="6" customHeight="1" outlineLevel="1">
      <c r="B37" s="49"/>
      <c r="C37" s="63"/>
      <c r="D37" s="63"/>
      <c r="E37" s="63"/>
      <c r="F37" s="63"/>
      <c r="G37" s="63"/>
      <c r="H37" s="96"/>
      <c r="J37" s="63"/>
      <c r="K37" s="63"/>
      <c r="L37" s="63"/>
      <c r="M37" s="63"/>
      <c r="N37" s="63"/>
      <c r="O37" s="96"/>
    </row>
    <row r="38" spans="2:15" outlineLevel="1">
      <c r="B38" t="s">
        <v>251</v>
      </c>
      <c r="C38" s="46">
        <f>'3YP w. downside'!J38</f>
        <v>394.85068254782402</v>
      </c>
      <c r="D38" s="46">
        <f>'3YP w. downside'!K38</f>
        <v>660.48169199999995</v>
      </c>
      <c r="E38" s="46">
        <f>'3YP w. downside'!L38</f>
        <v>748</v>
      </c>
      <c r="F38" s="46">
        <f>'3YP w. downside'!M38</f>
        <v>822.80000000000007</v>
      </c>
      <c r="G38" s="46">
        <f>'3YP w. downside'!N38</f>
        <v>888.62400000000014</v>
      </c>
      <c r="H38" s="90">
        <f t="shared" ref="H38:H41" si="43">IFERROR(_xlfn.RRI(3,D38,G38), "N/A")</f>
        <v>0.10395766247333982</v>
      </c>
      <c r="J38" s="46">
        <f t="shared" ref="J38:K41" si="44">C38</f>
        <v>394.85068254782402</v>
      </c>
      <c r="K38" s="46">
        <f t="shared" si="44"/>
        <v>660.48169199999995</v>
      </c>
      <c r="L38" s="46">
        <f t="shared" ref="L38:L41" si="45">E38*(1+$I$1)</f>
        <v>725.56</v>
      </c>
      <c r="M38" s="46">
        <f t="shared" ref="M38:M41" si="46">F38*(1+$I$1)</f>
        <v>798.1160000000001</v>
      </c>
      <c r="N38" s="46">
        <f t="shared" ref="N38:N41" si="47">G38*(1+$I$1)</f>
        <v>861.96528000000012</v>
      </c>
      <c r="O38" s="90">
        <f t="shared" ref="O38:O41" si="48">IFERROR(_xlfn.RRI(3,K38,N38), "N/A")</f>
        <v>9.2805812525403431E-2</v>
      </c>
    </row>
    <row r="39" spans="2:15" outlineLevel="1">
      <c r="B39" t="s">
        <v>252</v>
      </c>
      <c r="C39" s="46">
        <f>'3YP w. downside'!J39</f>
        <v>306.28693608745948</v>
      </c>
      <c r="D39" s="46">
        <f>'3YP w. downside'!K39</f>
        <v>396.49359879999997</v>
      </c>
      <c r="E39" s="46">
        <f>'3YP w. downside'!L39</f>
        <v>406</v>
      </c>
      <c r="F39" s="46">
        <f>'3YP w. downside'!M39</f>
        <v>446.6</v>
      </c>
      <c r="G39" s="46">
        <f>'3YP w. downside'!N39</f>
        <v>482.32800000000003</v>
      </c>
      <c r="H39" s="90">
        <f t="shared" si="43"/>
        <v>6.7502165425224137E-2</v>
      </c>
      <c r="J39" s="46">
        <f t="shared" si="44"/>
        <v>306.28693608745948</v>
      </c>
      <c r="K39" s="46">
        <f t="shared" si="44"/>
        <v>396.49359879999997</v>
      </c>
      <c r="L39" s="46">
        <f t="shared" si="45"/>
        <v>393.82</v>
      </c>
      <c r="M39" s="46">
        <f t="shared" si="46"/>
        <v>433.202</v>
      </c>
      <c r="N39" s="46">
        <f t="shared" si="47"/>
        <v>467.85816</v>
      </c>
      <c r="O39" s="90">
        <f t="shared" si="48"/>
        <v>5.671857799919211E-2</v>
      </c>
    </row>
    <row r="40" spans="2:15" outlineLevel="1">
      <c r="B40" t="s">
        <v>137</v>
      </c>
      <c r="C40" s="46">
        <f>'3YP w. downside'!J40</f>
        <v>20.505599999999998</v>
      </c>
      <c r="D40" s="46">
        <f>'3YP w. downside'!K40</f>
        <v>105.87025999999999</v>
      </c>
      <c r="E40" s="46">
        <f>'3YP w. downside'!L40</f>
        <v>110</v>
      </c>
      <c r="F40" s="46">
        <f>'3YP w. downside'!M40</f>
        <v>121.00000000000001</v>
      </c>
      <c r="G40" s="46">
        <f>'3YP w. downside'!N40</f>
        <v>130.68000000000004</v>
      </c>
      <c r="H40" s="90">
        <f t="shared" si="43"/>
        <v>7.270025053797724E-2</v>
      </c>
      <c r="J40" s="46">
        <f t="shared" si="44"/>
        <v>20.505599999999998</v>
      </c>
      <c r="K40" s="46">
        <f t="shared" si="44"/>
        <v>105.87025999999999</v>
      </c>
      <c r="L40" s="46">
        <f t="shared" si="45"/>
        <v>106.7</v>
      </c>
      <c r="M40" s="46">
        <f t="shared" si="46"/>
        <v>117.37</v>
      </c>
      <c r="N40" s="46">
        <f t="shared" si="47"/>
        <v>126.75960000000003</v>
      </c>
      <c r="O40" s="90">
        <f t="shared" si="48"/>
        <v>6.1864153611658645E-2</v>
      </c>
    </row>
    <row r="41" spans="2:15" outlineLevel="1">
      <c r="B41" t="s">
        <v>253</v>
      </c>
      <c r="C41" s="46">
        <f>'3YP w. downside'!J41</f>
        <v>16.666325470512</v>
      </c>
      <c r="D41" s="46">
        <f>'3YP w. downside'!K41</f>
        <v>34.981104799999997</v>
      </c>
      <c r="E41" s="46">
        <f>'3YP w. downside'!L41</f>
        <v>34.981104799999997</v>
      </c>
      <c r="F41" s="46">
        <f>'3YP w. downside'!M41</f>
        <v>34.981104799999997</v>
      </c>
      <c r="G41" s="46">
        <f>'3YP w. downside'!N41</f>
        <v>34.981104799999997</v>
      </c>
      <c r="H41" s="90">
        <f t="shared" si="43"/>
        <v>0</v>
      </c>
      <c r="J41" s="46">
        <f t="shared" si="44"/>
        <v>16.666325470512</v>
      </c>
      <c r="K41" s="46">
        <f t="shared" si="44"/>
        <v>34.981104799999997</v>
      </c>
      <c r="L41" s="46">
        <f t="shared" si="45"/>
        <v>33.931671655999999</v>
      </c>
      <c r="M41" s="46">
        <f t="shared" si="46"/>
        <v>33.931671655999999</v>
      </c>
      <c r="N41" s="46">
        <f t="shared" si="47"/>
        <v>33.931671655999999</v>
      </c>
      <c r="O41" s="90">
        <f t="shared" si="48"/>
        <v>-1.0101700750870579E-2</v>
      </c>
    </row>
    <row r="42" spans="2:15" ht="6" customHeight="1" outlineLevel="1">
      <c r="B42" s="49"/>
      <c r="C42" s="63"/>
      <c r="D42" s="63"/>
      <c r="E42" s="63"/>
      <c r="F42" s="63"/>
      <c r="G42" s="63"/>
      <c r="H42" s="96"/>
      <c r="J42" s="63"/>
      <c r="K42" s="63"/>
      <c r="L42" s="63"/>
      <c r="M42" s="63"/>
      <c r="N42" s="63"/>
      <c r="O42" s="96"/>
    </row>
    <row r="43" spans="2:15" ht="15.75" outlineLevel="1" thickBot="1">
      <c r="B43" s="52" t="s">
        <v>254</v>
      </c>
      <c r="C43" s="53">
        <f t="shared" ref="C43:G43" si="49">SUM(C38:C41)</f>
        <v>738.30954410579545</v>
      </c>
      <c r="D43" s="53">
        <f t="shared" si="49"/>
        <v>1197.8266555999999</v>
      </c>
      <c r="E43" s="53">
        <f t="shared" si="49"/>
        <v>1298.9811047999999</v>
      </c>
      <c r="F43" s="53">
        <f t="shared" si="49"/>
        <v>1425.3811048</v>
      </c>
      <c r="G43" s="53">
        <f t="shared" si="49"/>
        <v>1536.6131048000002</v>
      </c>
      <c r="H43" s="97">
        <f>IFERROR(_xlfn.RRI(3,D43,G43), "N/A")</f>
        <v>8.6567855967726759E-2</v>
      </c>
      <c r="J43" s="53">
        <f t="shared" ref="J43:N43" si="50">SUM(J38:J41)</f>
        <v>738.30954410579545</v>
      </c>
      <c r="K43" s="53">
        <f t="shared" si="50"/>
        <v>1197.8266555999999</v>
      </c>
      <c r="L43" s="53">
        <f t="shared" si="50"/>
        <v>1260.0116716559999</v>
      </c>
      <c r="M43" s="53">
        <f t="shared" si="50"/>
        <v>1382.619671656</v>
      </c>
      <c r="N43" s="53">
        <f t="shared" si="50"/>
        <v>1490.5147116560001</v>
      </c>
      <c r="O43" s="97">
        <f>IFERROR(_xlfn.RRI(3,K43,N43), "N/A")</f>
        <v>7.5591672641225571E-2</v>
      </c>
    </row>
    <row r="44" spans="2:15" ht="6" customHeight="1" outlineLevel="1">
      <c r="B44" s="49"/>
      <c r="C44" s="63"/>
      <c r="D44" s="63"/>
      <c r="E44" s="63"/>
      <c r="F44" s="63"/>
      <c r="G44" s="63"/>
      <c r="H44" s="96"/>
      <c r="J44" s="63"/>
      <c r="K44" s="63"/>
      <c r="L44" s="63"/>
      <c r="M44" s="63"/>
      <c r="N44" s="63"/>
      <c r="O44" s="96"/>
    </row>
    <row r="45" spans="2:15" ht="16.5" outlineLevel="1" thickBot="1">
      <c r="B45" s="54" t="s">
        <v>255</v>
      </c>
      <c r="C45" s="55">
        <f t="shared" ref="C45:G45" si="51">SUM(C30,C36,C43)</f>
        <v>10532.694387384998</v>
      </c>
      <c r="D45" s="55">
        <f t="shared" si="51"/>
        <v>12035.5236516</v>
      </c>
      <c r="E45" s="55">
        <f t="shared" si="51"/>
        <v>13725.998104800001</v>
      </c>
      <c r="F45" s="55">
        <f t="shared" si="51"/>
        <v>15737.733204799999</v>
      </c>
      <c r="G45" s="55">
        <f t="shared" si="51"/>
        <v>18002.913124800001</v>
      </c>
      <c r="H45" s="98">
        <f>IFERROR(_xlfn.RRI(3,D45,G45), "N/A")</f>
        <v>0.14364858865248253</v>
      </c>
      <c r="J45" s="55">
        <f t="shared" ref="J45:N45" si="52">SUM(J30,J36,J43)</f>
        <v>10532.694387384998</v>
      </c>
      <c r="K45" s="55">
        <f t="shared" si="52"/>
        <v>12035.5236516</v>
      </c>
      <c r="L45" s="55">
        <f t="shared" si="52"/>
        <v>13314.218161655999</v>
      </c>
      <c r="M45" s="55">
        <f t="shared" si="52"/>
        <v>15265.601208656</v>
      </c>
      <c r="N45" s="55">
        <f t="shared" si="52"/>
        <v>17462.825731056</v>
      </c>
      <c r="O45" s="98">
        <f>IFERROR(_xlfn.RRI(3,K45,N45), "N/A")</f>
        <v>0.13209579284575934</v>
      </c>
    </row>
    <row r="46" spans="2:15" ht="6" customHeight="1">
      <c r="H46" s="16"/>
      <c r="O46" s="16"/>
    </row>
    <row r="47" spans="2:15">
      <c r="B47" s="64" t="s">
        <v>155</v>
      </c>
      <c r="C47" s="93">
        <f>C45</f>
        <v>10532.694387384998</v>
      </c>
      <c r="D47" s="93">
        <f>D45</f>
        <v>12035.5236516</v>
      </c>
      <c r="E47" s="93">
        <f t="shared" ref="E47:G47" si="53">E45</f>
        <v>13725.998104800001</v>
      </c>
      <c r="F47" s="93">
        <f t="shared" si="53"/>
        <v>15737.733204799999</v>
      </c>
      <c r="G47" s="93">
        <f t="shared" si="53"/>
        <v>18002.913124800001</v>
      </c>
      <c r="H47" s="99">
        <f t="shared" ref="H47:H48" si="54">IFERROR(_xlfn.RRI(3,D47,G47), "N/A")</f>
        <v>0.14364858865248253</v>
      </c>
      <c r="J47" s="93">
        <f>J45</f>
        <v>10532.694387384998</v>
      </c>
      <c r="K47" s="93">
        <f>K45</f>
        <v>12035.5236516</v>
      </c>
      <c r="L47" s="93">
        <f t="shared" ref="L47:N47" si="55">L45</f>
        <v>13314.218161655999</v>
      </c>
      <c r="M47" s="93">
        <f t="shared" si="55"/>
        <v>15265.601208656</v>
      </c>
      <c r="N47" s="93">
        <f t="shared" si="55"/>
        <v>17462.825731056</v>
      </c>
      <c r="O47" s="99">
        <f t="shared" ref="O47:O48" si="56">IFERROR(_xlfn.RRI(3,K47,N47), "N/A")</f>
        <v>0.13209579284575934</v>
      </c>
    </row>
    <row r="48" spans="2:15">
      <c r="B48" t="s">
        <v>157</v>
      </c>
      <c r="C48" s="91">
        <f>'3YP w. downside'!J48</f>
        <v>-2037.9</v>
      </c>
      <c r="D48" s="91">
        <f>'3YP w. downside'!K48</f>
        <v>-2166.3942572880001</v>
      </c>
      <c r="E48" s="91">
        <f>'3YP w. downside'!L48</f>
        <v>-2591.1028262000004</v>
      </c>
      <c r="F48" s="91">
        <f>'3YP w. downside'!M48</f>
        <v>-2930.0132581880007</v>
      </c>
      <c r="G48" s="91">
        <f>'3YP w. downside'!N48</f>
        <v>-3435.1847735760025</v>
      </c>
      <c r="H48" s="16">
        <f t="shared" si="54"/>
        <v>0.16610467222441705</v>
      </c>
      <c r="J48" s="91">
        <f>C48</f>
        <v>-2037.9</v>
      </c>
      <c r="K48" s="91">
        <f>D48</f>
        <v>-2166.3942572880001</v>
      </c>
      <c r="L48" s="91">
        <f t="shared" ref="L48" si="57">E48*(1+$I$1)</f>
        <v>-2513.3697414140001</v>
      </c>
      <c r="M48" s="91">
        <f t="shared" ref="M48" si="58">F48*(1+$I$1)</f>
        <v>-2842.1128604423607</v>
      </c>
      <c r="N48" s="91">
        <f t="shared" ref="N48" si="59">G48*(1+$I$1)</f>
        <v>-3332.1292303687223</v>
      </c>
      <c r="O48" s="16">
        <f t="shared" si="56"/>
        <v>0.15432503178141377</v>
      </c>
    </row>
    <row r="49" spans="2:15" ht="6" customHeight="1">
      <c r="B49" s="49"/>
      <c r="C49" s="3"/>
      <c r="D49" s="3"/>
      <c r="E49" s="3"/>
      <c r="F49" s="3"/>
      <c r="G49" s="3"/>
      <c r="H49" s="16"/>
      <c r="J49" s="3"/>
      <c r="K49" s="3"/>
      <c r="L49" s="3"/>
      <c r="M49" s="3"/>
      <c r="N49" s="3"/>
      <c r="O49" s="16"/>
    </row>
    <row r="50" spans="2:15">
      <c r="B50" s="65" t="s">
        <v>158</v>
      </c>
      <c r="C50" s="121">
        <f>SUM(C47:C48)</f>
        <v>8494.7943873849981</v>
      </c>
      <c r="D50" s="121">
        <f>SUM(D47:D48)</f>
        <v>9869.1293943119999</v>
      </c>
      <c r="E50" s="121">
        <f>SUM(E47:E48)</f>
        <v>11134.895278600001</v>
      </c>
      <c r="F50" s="121">
        <f t="shared" ref="F50:G50" si="60">SUM(F47:F48)</f>
        <v>12807.719946611998</v>
      </c>
      <c r="G50" s="121">
        <f t="shared" si="60"/>
        <v>14567.728351223999</v>
      </c>
      <c r="H50" s="18">
        <f>IFERROR(_xlfn.RRI(3,D50,G50), "N/A")</f>
        <v>0.1385995219416829</v>
      </c>
      <c r="J50" s="121">
        <f>SUM(J47:J48)</f>
        <v>8494.7943873849981</v>
      </c>
      <c r="K50" s="121">
        <f>SUM(K47:K48)</f>
        <v>9869.1293943119999</v>
      </c>
      <c r="L50" s="121">
        <f>SUM(L47:L48)</f>
        <v>10800.848420241999</v>
      </c>
      <c r="M50" s="121">
        <f t="shared" ref="M50:N50" si="61">SUM(M47:M48)</f>
        <v>12423.488348213639</v>
      </c>
      <c r="N50" s="121">
        <f t="shared" si="61"/>
        <v>14130.696500687278</v>
      </c>
      <c r="O50" s="18">
        <f>IFERROR(_xlfn.RRI(3,K50,N50), "N/A")</f>
        <v>0.12709773029594351</v>
      </c>
    </row>
    <row r="51" spans="2:15">
      <c r="B51" s="66" t="s">
        <v>160</v>
      </c>
      <c r="C51" s="67">
        <f>C50/C$47</f>
        <v>0.80651674442953636</v>
      </c>
      <c r="D51" s="67">
        <f>D50/D$47</f>
        <v>0.82</v>
      </c>
      <c r="E51" s="67">
        <f>E50/E$47</f>
        <v>0.81122663675045326</v>
      </c>
      <c r="F51" s="67">
        <f t="shared" ref="F51:G51" si="62">F50/F$47</f>
        <v>0.81382240885273438</v>
      </c>
      <c r="G51" s="67">
        <f t="shared" si="62"/>
        <v>0.80918728264905937</v>
      </c>
      <c r="H51" s="100"/>
      <c r="J51" s="67">
        <f>J50/J$47</f>
        <v>0.80651674442953636</v>
      </c>
      <c r="K51" s="67">
        <f>K50/K$47</f>
        <v>0.82</v>
      </c>
      <c r="L51" s="67">
        <f>L50/L$47</f>
        <v>0.81122663675045326</v>
      </c>
      <c r="M51" s="67">
        <f t="shared" ref="M51:N51" si="63">M50/M$47</f>
        <v>0.81382240885273438</v>
      </c>
      <c r="N51" s="67">
        <f t="shared" si="63"/>
        <v>0.80918728264905937</v>
      </c>
      <c r="O51" s="100"/>
    </row>
    <row r="52" spans="2:15" ht="6" customHeight="1">
      <c r="B52" s="49"/>
      <c r="C52" s="3"/>
      <c r="D52" s="3"/>
      <c r="E52" s="3"/>
      <c r="F52" s="3"/>
      <c r="G52" s="3"/>
      <c r="H52" s="16"/>
      <c r="J52" s="3"/>
      <c r="K52" s="3"/>
      <c r="L52" s="3"/>
      <c r="M52" s="3"/>
      <c r="N52" s="3"/>
      <c r="O52" s="16"/>
    </row>
    <row r="53" spans="2:15">
      <c r="B53" t="s">
        <v>162</v>
      </c>
      <c r="C53" s="91">
        <f>'3YP w. downside'!J53</f>
        <v>-255.9</v>
      </c>
      <c r="D53" s="91">
        <f>'3YP w. downside'!K53</f>
        <v>-248</v>
      </c>
      <c r="E53" s="91">
        <f>'3YP w. downside'!L53</f>
        <v>-269.948312096</v>
      </c>
      <c r="F53" s="91">
        <f>'3YP w. downside'!M53</f>
        <v>-323.99751909600002</v>
      </c>
      <c r="G53" s="91">
        <f>'3YP w. downside'!N53</f>
        <v>-364.50681349600001</v>
      </c>
      <c r="H53" s="16">
        <f t="shared" ref="H53:H54" si="64">IFERROR(_xlfn.RRI(3,D53,G53), "N/A")</f>
        <v>0.13697606773694693</v>
      </c>
      <c r="J53" s="91">
        <f t="shared" ref="J53:K54" si="65">C53</f>
        <v>-255.9</v>
      </c>
      <c r="K53" s="91">
        <f t="shared" si="65"/>
        <v>-248</v>
      </c>
      <c r="L53" s="91">
        <f t="shared" ref="L53:L54" si="66">E53*(1+$I$1)</f>
        <v>-261.84986273312001</v>
      </c>
      <c r="M53" s="91">
        <f t="shared" ref="M53:M54" si="67">F53*(1+$I$1)</f>
        <v>-314.27759352312</v>
      </c>
      <c r="N53" s="91">
        <f t="shared" ref="N53:N54" si="68">G53*(1+$I$1)</f>
        <v>-353.57160909112002</v>
      </c>
      <c r="O53" s="16">
        <f t="shared" ref="O53:O54" si="69">IFERROR(_xlfn.RRI(3,K53,N53), "N/A")</f>
        <v>0.12549067573976647</v>
      </c>
    </row>
    <row r="54" spans="2:15">
      <c r="B54" t="s">
        <v>163</v>
      </c>
      <c r="C54" s="91">
        <f>'3YP w. downside'!J54</f>
        <v>-99</v>
      </c>
      <c r="D54" s="91">
        <f>'3YP w. downside'!K54</f>
        <v>-125.73333333333301</v>
      </c>
      <c r="E54" s="91">
        <f>'3YP w. downside'!L54</f>
        <v>-180.93937499999998</v>
      </c>
      <c r="F54" s="91">
        <f>'3YP w. downside'!M54</f>
        <v>-212.88968750000004</v>
      </c>
      <c r="G54" s="91">
        <f>'3YP w. downside'!N54</f>
        <v>-230.67181250000002</v>
      </c>
      <c r="H54" s="16">
        <f t="shared" si="64"/>
        <v>0.22418776003258167</v>
      </c>
      <c r="J54" s="91">
        <f t="shared" si="65"/>
        <v>-99</v>
      </c>
      <c r="K54" s="91">
        <f t="shared" si="65"/>
        <v>-125.73333333333301</v>
      </c>
      <c r="L54" s="91">
        <f t="shared" si="66"/>
        <v>-175.51119374999999</v>
      </c>
      <c r="M54" s="91">
        <f t="shared" si="67"/>
        <v>-206.50299687500004</v>
      </c>
      <c r="N54" s="91">
        <f t="shared" si="68"/>
        <v>-223.75165812500001</v>
      </c>
      <c r="O54" s="16">
        <f t="shared" si="69"/>
        <v>0.2118213816178538</v>
      </c>
    </row>
    <row r="55" spans="2:15" ht="6" customHeight="1">
      <c r="B55" s="49"/>
      <c r="C55" s="3"/>
      <c r="D55" s="3"/>
      <c r="E55" s="3"/>
      <c r="F55" s="3"/>
      <c r="G55" s="3"/>
      <c r="H55" s="16"/>
      <c r="J55" s="3"/>
      <c r="K55" s="3"/>
      <c r="L55" s="3"/>
      <c r="M55" s="3"/>
      <c r="N55" s="3"/>
      <c r="O55" s="16"/>
    </row>
    <row r="56" spans="2:15">
      <c r="B56" s="65" t="s">
        <v>166</v>
      </c>
      <c r="C56" s="121">
        <f>SUM(C50,C53:C54)</f>
        <v>8139.8943873849985</v>
      </c>
      <c r="D56" s="121">
        <f>SUM(D50,D53:D54)</f>
        <v>9495.3960609786664</v>
      </c>
      <c r="E56" s="121">
        <f>SUM(E50,E53:E54)</f>
        <v>10684.007591504002</v>
      </c>
      <c r="F56" s="121">
        <f t="shared" ref="F56:G56" si="70">SUM(F50,F53:F54)</f>
        <v>12270.832740015998</v>
      </c>
      <c r="G56" s="121">
        <f t="shared" si="70"/>
        <v>13972.549725227998</v>
      </c>
      <c r="H56" s="18">
        <f>IFERROR(_xlfn.RRI(3,D56,G56), "N/A")</f>
        <v>0.13741999843493513</v>
      </c>
      <c r="J56" s="121">
        <f>SUM(J50,J53:J54)</f>
        <v>8139.8943873849985</v>
      </c>
      <c r="K56" s="121">
        <f>SUM(K50,K53:K54)</f>
        <v>9495.3960609786664</v>
      </c>
      <c r="L56" s="121">
        <f>SUM(L50,L53:L54)</f>
        <v>10363.487363758879</v>
      </c>
      <c r="M56" s="121">
        <f t="shared" ref="M56:N56" si="71">SUM(M50,M53:M54)</f>
        <v>11902.707757815519</v>
      </c>
      <c r="N56" s="121">
        <f t="shared" si="71"/>
        <v>13553.373233471159</v>
      </c>
      <c r="O56" s="18">
        <f>IFERROR(_xlfn.RRI(3,K56,N56), "N/A")</f>
        <v>0.1259301219826896</v>
      </c>
    </row>
    <row r="57" spans="2:15">
      <c r="B57" s="66" t="s">
        <v>167</v>
      </c>
      <c r="C57" s="67">
        <f>C56/C$47</f>
        <v>0.77282166253054352</v>
      </c>
      <c r="D57" s="67">
        <f>D56/D$47</f>
        <v>0.78894748046266772</v>
      </c>
      <c r="E57" s="67">
        <f>E56/E$47</f>
        <v>0.77837746369553917</v>
      </c>
      <c r="F57" s="67">
        <f t="shared" ref="F57:G57" si="72">F56/F$47</f>
        <v>0.77970776225088134</v>
      </c>
      <c r="G57" s="67">
        <f t="shared" si="72"/>
        <v>0.77612715388711417</v>
      </c>
      <c r="H57" s="100"/>
      <c r="J57" s="67">
        <f>J56/J$47</f>
        <v>0.77282166253054352</v>
      </c>
      <c r="K57" s="67">
        <f>K56/K$47</f>
        <v>0.78894748046266772</v>
      </c>
      <c r="L57" s="67">
        <f>L56/L$47</f>
        <v>0.77837746369553906</v>
      </c>
      <c r="M57" s="67">
        <f t="shared" ref="M57:N57" si="73">M56/M$47</f>
        <v>0.77970776225088123</v>
      </c>
      <c r="N57" s="67">
        <f t="shared" si="73"/>
        <v>0.77612715388711428</v>
      </c>
      <c r="O57" s="100"/>
    </row>
    <row r="58" spans="2:15" ht="6" customHeight="1">
      <c r="B58" s="49"/>
      <c r="C58" s="3"/>
      <c r="D58" s="3"/>
      <c r="E58" s="3"/>
      <c r="F58" s="3"/>
      <c r="G58" s="3"/>
      <c r="H58" s="16"/>
      <c r="J58" s="3"/>
      <c r="K58" s="3"/>
      <c r="L58" s="3"/>
      <c r="M58" s="3"/>
      <c r="N58" s="3"/>
      <c r="O58" s="16"/>
    </row>
    <row r="59" spans="2:15">
      <c r="B59" t="s">
        <v>168</v>
      </c>
      <c r="C59" s="91">
        <f>'3YP w. downside'!J59</f>
        <v>-548</v>
      </c>
      <c r="D59" s="91">
        <f>'3YP w. downside'!K59</f>
        <v>-629</v>
      </c>
      <c r="E59" s="91">
        <f>'3YP w. downside'!L59</f>
        <v>-861.64400000000001</v>
      </c>
      <c r="F59" s="91">
        <f>'3YP w. downside'!M59</f>
        <v>-1000</v>
      </c>
      <c r="G59" s="91">
        <f>'3YP w. downside'!N59</f>
        <v>-1100</v>
      </c>
      <c r="H59" s="16">
        <f t="shared" ref="H59:H60" si="74">IFERROR(_xlfn.RRI(3,D59,G59), "N/A")</f>
        <v>0.20479737670970688</v>
      </c>
      <c r="J59" s="91">
        <f t="shared" ref="J59:K60" si="75">C59</f>
        <v>-548</v>
      </c>
      <c r="K59" s="91">
        <f t="shared" si="75"/>
        <v>-629</v>
      </c>
      <c r="L59" s="91">
        <f>'2026B w. downside'!G59</f>
        <v>-861.64400000000001</v>
      </c>
      <c r="M59" s="91">
        <f t="shared" ref="M59:N60" si="76">F59</f>
        <v>-1000</v>
      </c>
      <c r="N59" s="91">
        <f t="shared" si="76"/>
        <v>-1100</v>
      </c>
      <c r="O59" s="16">
        <f t="shared" ref="O59:O60" si="77">IFERROR(_xlfn.RRI(3,K59,N59), "N/A")</f>
        <v>0.20479737670970688</v>
      </c>
    </row>
    <row r="60" spans="2:15">
      <c r="B60" t="s">
        <v>169</v>
      </c>
      <c r="C60" s="91">
        <f>'3YP w. downside'!J60</f>
        <v>-273</v>
      </c>
      <c r="D60" s="91">
        <f>'3YP w. downside'!K60</f>
        <v>-222</v>
      </c>
      <c r="E60" s="91">
        <f>'3YP w. downside'!L60</f>
        <v>-299.04899999999998</v>
      </c>
      <c r="F60" s="91">
        <f>'3YP w. downside'!M60</f>
        <v>-328.95389999999998</v>
      </c>
      <c r="G60" s="91">
        <f>'3YP w. downside'!N60</f>
        <v>-361.84929</v>
      </c>
      <c r="H60" s="16">
        <f t="shared" si="74"/>
        <v>0.1768603111268503</v>
      </c>
      <c r="J60" s="91">
        <f t="shared" si="75"/>
        <v>-273</v>
      </c>
      <c r="K60" s="91">
        <f t="shared" si="75"/>
        <v>-222</v>
      </c>
      <c r="L60" s="91">
        <f>'2026B w. downside'!G60</f>
        <v>-299.04899999999998</v>
      </c>
      <c r="M60" s="91">
        <f t="shared" si="76"/>
        <v>-328.95389999999998</v>
      </c>
      <c r="N60" s="91">
        <f t="shared" si="76"/>
        <v>-361.84929</v>
      </c>
      <c r="O60" s="16">
        <f t="shared" si="77"/>
        <v>0.1768603111268503</v>
      </c>
    </row>
    <row r="61" spans="2:15" ht="6" customHeight="1">
      <c r="B61" s="49"/>
      <c r="C61" s="3"/>
      <c r="D61" s="3"/>
      <c r="E61" s="3"/>
      <c r="F61" s="3"/>
      <c r="G61" s="3"/>
      <c r="H61" s="16"/>
      <c r="J61" s="3"/>
      <c r="K61" s="3"/>
      <c r="L61" s="3"/>
      <c r="M61" s="3"/>
      <c r="N61" s="3"/>
      <c r="O61" s="16"/>
    </row>
    <row r="62" spans="2:15">
      <c r="B62" s="65" t="s">
        <v>170</v>
      </c>
      <c r="C62" s="121">
        <f>SUM(C56,C59:C60)</f>
        <v>7318.8943873849985</v>
      </c>
      <c r="D62" s="121">
        <f>SUM(D56,D59:D60)</f>
        <v>8644.3960609786664</v>
      </c>
      <c r="E62" s="121">
        <f>SUM(E56,E59:E60)</f>
        <v>9523.3145915040004</v>
      </c>
      <c r="F62" s="121">
        <f t="shared" ref="F62:G62" si="78">SUM(F56,F59:F60)</f>
        <v>10941.878840015997</v>
      </c>
      <c r="G62" s="121">
        <f t="shared" si="78"/>
        <v>12510.700435227998</v>
      </c>
      <c r="H62" s="18">
        <f>IFERROR(_xlfn.RRI(3,D62,G62), "N/A")</f>
        <v>0.1311381656540096</v>
      </c>
      <c r="J62" s="121">
        <f>SUM(J56,J59:J60)</f>
        <v>7318.8943873849985</v>
      </c>
      <c r="K62" s="121">
        <f>SUM(K56,K59:K60)</f>
        <v>8644.3960609786664</v>
      </c>
      <c r="L62" s="121">
        <f>SUM(L56,L59:L60)</f>
        <v>9202.7943637588796</v>
      </c>
      <c r="M62" s="121">
        <f t="shared" ref="M62:N62" si="79">SUM(M56,M59:M60)</f>
        <v>10573.753857815518</v>
      </c>
      <c r="N62" s="121">
        <f t="shared" si="79"/>
        <v>12091.523943471158</v>
      </c>
      <c r="O62" s="18">
        <f>IFERROR(_xlfn.RRI(3,K62,N62), "N/A")</f>
        <v>0.11836129371528759</v>
      </c>
    </row>
    <row r="63" spans="2:15">
      <c r="B63" s="66" t="s">
        <v>171</v>
      </c>
      <c r="C63" s="67">
        <f>C62/C$47</f>
        <v>0.69487389628914276</v>
      </c>
      <c r="D63" s="67">
        <f>D62/D$47</f>
        <v>0.71824012907236334</v>
      </c>
      <c r="E63" s="67">
        <f>E62/E$47</f>
        <v>0.69381581716623464</v>
      </c>
      <c r="F63" s="67">
        <f t="shared" ref="F63:G63" si="80">F62/F$47</f>
        <v>0.6952639683000047</v>
      </c>
      <c r="G63" s="67">
        <f t="shared" si="80"/>
        <v>0.6949264459868898</v>
      </c>
      <c r="H63" s="100"/>
      <c r="J63" s="67">
        <f>J62/J$47</f>
        <v>0.69487389628914276</v>
      </c>
      <c r="K63" s="67">
        <f>K62/K$47</f>
        <v>0.71824012907236334</v>
      </c>
      <c r="L63" s="67">
        <f>L62/L$47</f>
        <v>0.69120050851068915</v>
      </c>
      <c r="M63" s="67">
        <f t="shared" ref="M63:N63" si="81">M62/M$47</f>
        <v>0.69265230456956517</v>
      </c>
      <c r="N63" s="67">
        <f t="shared" si="81"/>
        <v>0.692415083886883</v>
      </c>
      <c r="O63" s="100"/>
    </row>
    <row r="64" spans="2:15" ht="6" customHeight="1">
      <c r="B64" s="49"/>
      <c r="C64" s="3"/>
      <c r="D64" s="3"/>
      <c r="E64" s="3"/>
      <c r="F64" s="3"/>
      <c r="G64" s="3"/>
      <c r="H64" s="16"/>
      <c r="J64" s="3"/>
      <c r="K64" s="3"/>
      <c r="L64" s="3"/>
      <c r="M64" s="3"/>
      <c r="N64" s="3"/>
      <c r="O64" s="16"/>
    </row>
    <row r="65" spans="2:15">
      <c r="B65" t="s">
        <v>172</v>
      </c>
      <c r="C65" s="91">
        <f>'3YP w. downside'!J65</f>
        <v>-4405</v>
      </c>
      <c r="D65" s="91">
        <f>'3YP w. downside'!K65</f>
        <v>-4690.5624749999997</v>
      </c>
      <c r="E65" s="91">
        <f>'3YP w. downside'!L65</f>
        <v>-4997</v>
      </c>
      <c r="F65" s="91">
        <f>'3YP w. downside'!M65</f>
        <v>-5196.88</v>
      </c>
      <c r="G65" s="91">
        <f>'3YP w. downside'!N65</f>
        <v>-5404.7552000000005</v>
      </c>
      <c r="H65" s="16">
        <f t="shared" ref="H65:H66" si="82">IFERROR(_xlfn.RRI(3,D65,G65), "N/A")</f>
        <v>4.8375913390342085E-2</v>
      </c>
      <c r="J65" s="91">
        <f t="shared" ref="J65:K66" si="83">C65</f>
        <v>-4405</v>
      </c>
      <c r="K65" s="91">
        <f t="shared" si="83"/>
        <v>-4690.5624749999997</v>
      </c>
      <c r="L65" s="91">
        <f>'2026B w. downside'!G65</f>
        <v>-4997</v>
      </c>
      <c r="M65" s="91">
        <f t="shared" ref="M65:N66" si="84">F65</f>
        <v>-5196.88</v>
      </c>
      <c r="N65" s="91">
        <f t="shared" si="84"/>
        <v>-5404.7552000000005</v>
      </c>
      <c r="O65" s="16">
        <f t="shared" ref="O65:O66" si="85">IFERROR(_xlfn.RRI(3,K65,N65), "N/A")</f>
        <v>4.8375913390342085E-2</v>
      </c>
    </row>
    <row r="66" spans="2:15">
      <c r="B66" t="s">
        <v>173</v>
      </c>
      <c r="C66" s="91">
        <f>'3YP w. downside'!J66</f>
        <v>-1398</v>
      </c>
      <c r="D66" s="91">
        <f>'3YP w. downside'!K66</f>
        <v>-1528.3859199999999</v>
      </c>
      <c r="E66" s="91">
        <f>'3YP w. downside'!L66</f>
        <v>-1620.8430699999999</v>
      </c>
      <c r="F66" s="91">
        <f>'3YP w. downside'!M66</f>
        <v>-1685.6767927999999</v>
      </c>
      <c r="G66" s="91">
        <f>'3YP w. downside'!N66</f>
        <v>-1753.103864512</v>
      </c>
      <c r="H66" s="16">
        <f t="shared" si="82"/>
        <v>4.6786724720556672E-2</v>
      </c>
      <c r="J66" s="91">
        <f t="shared" si="83"/>
        <v>-1398</v>
      </c>
      <c r="K66" s="91">
        <f t="shared" si="83"/>
        <v>-1528.3859199999999</v>
      </c>
      <c r="L66" s="91">
        <f>'2026B w. downside'!G66</f>
        <v>-1620.8430699999999</v>
      </c>
      <c r="M66" s="91">
        <f t="shared" si="84"/>
        <v>-1685.6767927999999</v>
      </c>
      <c r="N66" s="91">
        <f t="shared" si="84"/>
        <v>-1753.103864512</v>
      </c>
      <c r="O66" s="16">
        <f t="shared" si="85"/>
        <v>4.6786724720556672E-2</v>
      </c>
    </row>
    <row r="67" spans="2:15" ht="6" customHeight="1">
      <c r="B67" s="49"/>
      <c r="C67" s="3"/>
      <c r="D67" s="3"/>
      <c r="E67" s="3"/>
      <c r="F67" s="3"/>
      <c r="G67" s="3"/>
      <c r="H67" s="16"/>
      <c r="J67" s="3"/>
      <c r="K67" s="3"/>
      <c r="L67" s="3"/>
      <c r="M67" s="3"/>
      <c r="N67" s="3"/>
      <c r="O67" s="16"/>
    </row>
    <row r="68" spans="2:15">
      <c r="B68" s="65" t="s">
        <v>174</v>
      </c>
      <c r="C68" s="121">
        <f>SUM(C62,C65:C66)</f>
        <v>1515.8943873849985</v>
      </c>
      <c r="D68" s="121">
        <f>SUM(D62,D65:D66)</f>
        <v>2425.4476659786669</v>
      </c>
      <c r="E68" s="121">
        <f>SUM(E62,E65:E66)</f>
        <v>2905.4715215040005</v>
      </c>
      <c r="F68" s="121">
        <f t="shared" ref="F68:G68" si="86">SUM(F62,F65:F66)</f>
        <v>4059.3220472159974</v>
      </c>
      <c r="G68" s="121">
        <f t="shared" si="86"/>
        <v>5352.841370715998</v>
      </c>
      <c r="H68" s="18">
        <f>IFERROR(_xlfn.RRI(3,D68,G68), "N/A")</f>
        <v>0.30195954055210938</v>
      </c>
      <c r="J68" s="121">
        <f>SUM(J62,J65:J66)</f>
        <v>1515.8943873849985</v>
      </c>
      <c r="K68" s="121">
        <f>SUM(K62,K65:K66)</f>
        <v>2425.4476659786669</v>
      </c>
      <c r="L68" s="121">
        <f>SUM(L62,L65:L66)</f>
        <v>2584.9512937588797</v>
      </c>
      <c r="M68" s="121">
        <f t="shared" ref="M68:N68" si="87">SUM(M62,M65:M66)</f>
        <v>3691.1970650155181</v>
      </c>
      <c r="N68" s="121">
        <f t="shared" si="87"/>
        <v>4933.6648789591582</v>
      </c>
      <c r="O68" s="18">
        <f>IFERROR(_xlfn.RRI(3,K68,N68), "N/A")</f>
        <v>0.26704657541359644</v>
      </c>
    </row>
    <row r="69" spans="2:15">
      <c r="B69" s="66" t="s">
        <v>175</v>
      </c>
      <c r="C69" s="67">
        <f>C68/C$47</f>
        <v>0.14392275439042307</v>
      </c>
      <c r="D69" s="67">
        <f>D68/D$47</f>
        <v>0.2015240662716182</v>
      </c>
      <c r="E69" s="67">
        <f>E68/E$47</f>
        <v>0.2116765206668616</v>
      </c>
      <c r="F69" s="67">
        <f t="shared" ref="F69:G69" si="88">F68/F$47</f>
        <v>0.25793562480636706</v>
      </c>
      <c r="G69" s="67">
        <f t="shared" si="88"/>
        <v>0.2973319558678626</v>
      </c>
      <c r="H69" s="100"/>
      <c r="J69" s="67">
        <f>J68/J$47</f>
        <v>0.14392275439042307</v>
      </c>
      <c r="K69" s="67">
        <f>K68/K$47</f>
        <v>0.2015240662716182</v>
      </c>
      <c r="L69" s="67">
        <f>L68/L$47</f>
        <v>0.19414968737731483</v>
      </c>
      <c r="M69" s="67">
        <f t="shared" ref="M69:N69" si="89">M68/M$47</f>
        <v>0.24179834220499036</v>
      </c>
      <c r="N69" s="67">
        <f t="shared" si="89"/>
        <v>0.28252385696005072</v>
      </c>
      <c r="O69" s="100"/>
    </row>
    <row r="70" spans="2:15" ht="6" customHeight="1">
      <c r="B70" s="49"/>
      <c r="C70" s="3"/>
      <c r="D70" s="3"/>
      <c r="E70" s="3"/>
      <c r="F70" s="3"/>
      <c r="G70" s="3"/>
      <c r="H70" s="16"/>
      <c r="J70" s="3"/>
      <c r="K70" s="3"/>
      <c r="L70" s="3"/>
      <c r="M70" s="3"/>
      <c r="N70" s="3"/>
      <c r="O70" s="16"/>
    </row>
    <row r="71" spans="2:15">
      <c r="B71" t="s">
        <v>176</v>
      </c>
      <c r="C71" s="91">
        <f>'3YP w. downside'!J71</f>
        <v>-1673</v>
      </c>
      <c r="D71" s="91">
        <f>'3YP w. downside'!K71</f>
        <v>-1130</v>
      </c>
      <c r="E71" s="91">
        <f>'3YP w. downside'!L71</f>
        <v>-2760.9174018351669</v>
      </c>
      <c r="F71" s="91">
        <f>'3YP w. downside'!M71</f>
        <v>-641.32000000000005</v>
      </c>
      <c r="G71" s="91">
        <f>'3YP w. downside'!N71</f>
        <v>-591.32000000000005</v>
      </c>
      <c r="H71" s="16">
        <f>IFERROR(_xlfn.RRI(3,D71,G71), "N/A")</f>
        <v>-0.19416144611359965</v>
      </c>
      <c r="J71" s="91">
        <f>C71</f>
        <v>-1673</v>
      </c>
      <c r="K71" s="91">
        <f>D71</f>
        <v>-1130</v>
      </c>
      <c r="L71" s="91">
        <f>'2026B w. downside'!G71</f>
        <v>-2760.9174018351669</v>
      </c>
      <c r="M71" s="91">
        <f t="shared" ref="M71:N71" si="90">F71</f>
        <v>-641.32000000000005</v>
      </c>
      <c r="N71" s="91">
        <f t="shared" si="90"/>
        <v>-591.32000000000005</v>
      </c>
      <c r="O71" s="16">
        <f>IFERROR(_xlfn.RRI(3,K71,N71), "N/A")</f>
        <v>-0.19416144611359965</v>
      </c>
    </row>
    <row r="72" spans="2:15" ht="6" customHeight="1">
      <c r="B72" s="49"/>
      <c r="C72" s="3"/>
      <c r="D72" s="3"/>
      <c r="E72" s="3"/>
      <c r="F72" s="3"/>
      <c r="G72" s="3"/>
      <c r="H72" s="16"/>
      <c r="J72" s="3"/>
      <c r="K72" s="3"/>
      <c r="L72" s="3"/>
      <c r="M72" s="3"/>
      <c r="N72" s="3"/>
      <c r="O72" s="16"/>
    </row>
    <row r="73" spans="2:15">
      <c r="B73" s="65" t="s">
        <v>177</v>
      </c>
      <c r="C73" s="121">
        <f>SUM(C68,C71)</f>
        <v>-157.10561261500152</v>
      </c>
      <c r="D73" s="121">
        <f>SUM(D68,D71)</f>
        <v>1295.4476659786669</v>
      </c>
      <c r="E73" s="121">
        <f>SUM(E68,E71)</f>
        <v>144.55411966883366</v>
      </c>
      <c r="F73" s="121">
        <f t="shared" ref="F73:G73" si="91">SUM(F68,F71)</f>
        <v>3418.0020472159972</v>
      </c>
      <c r="G73" s="121">
        <f t="shared" si="91"/>
        <v>4761.5213707159983</v>
      </c>
      <c r="H73" s="18">
        <f>IFERROR(_xlfn.RRI(3,D73,G73), "N/A")</f>
        <v>0.54327014600947443</v>
      </c>
      <c r="J73" s="121">
        <f>SUM(J68,J71)</f>
        <v>-157.10561261500152</v>
      </c>
      <c r="K73" s="121">
        <f>SUM(K68,K71)</f>
        <v>1295.4476659786669</v>
      </c>
      <c r="L73" s="121">
        <f>SUM(L68,L71)</f>
        <v>-175.96610807628713</v>
      </c>
      <c r="M73" s="121">
        <f t="shared" ref="M73:N73" si="92">SUM(M68,M71)</f>
        <v>3049.8770650155179</v>
      </c>
      <c r="N73" s="121">
        <f t="shared" si="92"/>
        <v>4342.3448789591585</v>
      </c>
      <c r="O73" s="18">
        <f>IFERROR(_xlfn.RRI(3,K73,N73), "N/A")</f>
        <v>0.49658531716628573</v>
      </c>
    </row>
    <row r="74" spans="2:15">
      <c r="B74" s="66" t="s">
        <v>178</v>
      </c>
      <c r="C74" s="67">
        <f>C73/C$47</f>
        <v>-1.491599460088454E-2</v>
      </c>
      <c r="D74" s="67">
        <f>D73/D$47</f>
        <v>0.10763533880858191</v>
      </c>
      <c r="E74" s="67">
        <f>E73/E$47</f>
        <v>1.0531410434792563E-2</v>
      </c>
      <c r="F74" s="67">
        <f t="shared" ref="F74:G74" si="93">F73/F$47</f>
        <v>0.21718515638411692</v>
      </c>
      <c r="G74" s="67">
        <f t="shared" si="93"/>
        <v>0.26448616052902801</v>
      </c>
      <c r="H74" s="100"/>
      <c r="J74" s="67">
        <f>J73/J$47</f>
        <v>-1.491599460088454E-2</v>
      </c>
      <c r="K74" s="67">
        <f>K73/K$47</f>
        <v>0.10763533880858191</v>
      </c>
      <c r="L74" s="67">
        <f>L73/L$47</f>
        <v>-1.3216405645436771E-2</v>
      </c>
      <c r="M74" s="67">
        <f t="shared" ref="M74:N74" si="94">M73/M$47</f>
        <v>0.1997875500171036</v>
      </c>
      <c r="N74" s="67">
        <f t="shared" si="94"/>
        <v>0.24866221228083979</v>
      </c>
      <c r="O74" s="100"/>
    </row>
    <row r="80" spans="2:15">
      <c r="B80" s="74"/>
      <c r="C80" s="74" t="s">
        <v>273</v>
      </c>
      <c r="D80" s="74" t="s">
        <v>257</v>
      </c>
      <c r="E80" s="74" t="s">
        <v>275</v>
      </c>
      <c r="F80" s="74" t="s">
        <v>279</v>
      </c>
      <c r="G80" s="74" t="s">
        <v>280</v>
      </c>
      <c r="J80" s="74" t="s">
        <v>273</v>
      </c>
      <c r="K80" s="74" t="s">
        <v>257</v>
      </c>
      <c r="L80" s="74" t="s">
        <v>275</v>
      </c>
      <c r="M80" s="74" t="s">
        <v>279</v>
      </c>
      <c r="N80" s="74" t="s">
        <v>280</v>
      </c>
    </row>
    <row r="81" spans="2:15" ht="6" customHeight="1">
      <c r="B81" s="49"/>
      <c r="C81" s="3"/>
      <c r="D81" s="3"/>
      <c r="E81" s="3"/>
      <c r="F81" s="3"/>
      <c r="G81" s="3"/>
      <c r="H81" s="16"/>
      <c r="J81" s="3"/>
      <c r="K81" s="3"/>
      <c r="L81" s="3"/>
      <c r="M81" s="3"/>
      <c r="N81" s="3"/>
      <c r="O81" s="16"/>
    </row>
    <row r="82" spans="2:15">
      <c r="B82" s="6" t="s">
        <v>177</v>
      </c>
      <c r="C82" s="134">
        <f>C73</f>
        <v>-157.10561261500152</v>
      </c>
      <c r="D82" s="134">
        <f t="shared" ref="D82:G82" si="95">D73</f>
        <v>1295.4476659786669</v>
      </c>
      <c r="E82" s="134">
        <f t="shared" si="95"/>
        <v>144.55411966883366</v>
      </c>
      <c r="F82" s="134">
        <f t="shared" si="95"/>
        <v>3418.0020472159972</v>
      </c>
      <c r="G82" s="134">
        <f t="shared" si="95"/>
        <v>4761.5213707159983</v>
      </c>
      <c r="J82" s="134">
        <f>C82</f>
        <v>-157.10561261500152</v>
      </c>
      <c r="K82" s="134">
        <f>D82</f>
        <v>1295.4476659786669</v>
      </c>
      <c r="L82" s="134">
        <f>L73</f>
        <v>-175.96610807628713</v>
      </c>
      <c r="M82" s="134">
        <f t="shared" ref="M82:N82" si="96">M73</f>
        <v>3049.8770650155179</v>
      </c>
      <c r="N82" s="134">
        <f t="shared" si="96"/>
        <v>4342.3448789591585</v>
      </c>
    </row>
    <row r="83" spans="2:15" ht="6" customHeight="1">
      <c r="B83" s="49"/>
      <c r="C83" s="3"/>
      <c r="D83" s="3"/>
      <c r="E83" s="3"/>
      <c r="F83" s="3"/>
      <c r="G83" s="3"/>
      <c r="H83" s="16"/>
      <c r="J83" s="3"/>
      <c r="K83" s="3"/>
      <c r="L83" s="3"/>
      <c r="M83" s="3"/>
      <c r="N83" s="3"/>
      <c r="O83" s="16"/>
    </row>
    <row r="84" spans="2:15">
      <c r="B84" t="s">
        <v>300</v>
      </c>
      <c r="C84" s="91">
        <f>'3YP w. downside'!J84</f>
        <v>-768</v>
      </c>
      <c r="D84" s="91">
        <f>'3YP w. downside'!K84</f>
        <v>-2045.3891741369862</v>
      </c>
      <c r="E84" s="91">
        <f>'3YP w. downside'!L84</f>
        <v>-171.05791082498718</v>
      </c>
      <c r="F84" s="91">
        <f>'3YP w. downside'!M84</f>
        <v>-345.53702210016468</v>
      </c>
      <c r="G84" s="91">
        <f>'3YP w. downside'!N84</f>
        <v>-333.00900345260425</v>
      </c>
      <c r="J84" s="91">
        <f t="shared" ref="J84:K85" si="97">C84</f>
        <v>-768</v>
      </c>
      <c r="K84" s="91">
        <f t="shared" si="97"/>
        <v>-2045.3891741369862</v>
      </c>
      <c r="L84" s="91">
        <f>E84</f>
        <v>-171.05791082498718</v>
      </c>
      <c r="M84" s="91">
        <f t="shared" ref="M84:N84" si="98">F84</f>
        <v>-345.53702210016468</v>
      </c>
      <c r="N84" s="91">
        <f t="shared" si="98"/>
        <v>-333.00900345260425</v>
      </c>
    </row>
    <row r="85" spans="2:15">
      <c r="B85" t="s">
        <v>301</v>
      </c>
      <c r="C85" s="91">
        <f>'3YP w. downside'!J85</f>
        <v>-193</v>
      </c>
      <c r="D85" s="91">
        <f>'3YP w. downside'!K85</f>
        <v>-273.82182880666664</v>
      </c>
      <c r="E85" s="91">
        <f>'3YP w. downside'!L85</f>
        <v>-14.455411966883368</v>
      </c>
      <c r="F85" s="91">
        <f>'3YP w. downside'!M85</f>
        <v>-341.80020472159975</v>
      </c>
      <c r="G85" s="91">
        <f>'3YP w. downside'!N85</f>
        <v>-476.15213707159984</v>
      </c>
      <c r="J85" s="91">
        <f t="shared" si="97"/>
        <v>-193</v>
      </c>
      <c r="K85" s="91">
        <f t="shared" si="97"/>
        <v>-273.82182880666664</v>
      </c>
      <c r="L85" s="91">
        <f>L82*-10%</f>
        <v>17.596610807628714</v>
      </c>
      <c r="M85" s="91">
        <f>F85</f>
        <v>-341.80020472159975</v>
      </c>
      <c r="N85" s="91">
        <f>G85</f>
        <v>-476.15213707159984</v>
      </c>
    </row>
    <row r="86" spans="2:15" ht="6" customHeight="1">
      <c r="B86" s="49"/>
      <c r="C86" s="3"/>
      <c r="D86" s="3"/>
      <c r="E86" s="3"/>
      <c r="F86" s="3"/>
      <c r="G86" s="3"/>
      <c r="H86" s="16"/>
      <c r="J86" s="3"/>
      <c r="K86" s="3"/>
      <c r="L86" s="3"/>
      <c r="M86" s="3"/>
      <c r="N86" s="3"/>
      <c r="O86" s="16"/>
    </row>
    <row r="87" spans="2:15">
      <c r="B87" s="102" t="s">
        <v>302</v>
      </c>
      <c r="C87" s="122">
        <f>SUM(C82:C86)</f>
        <v>-1118.1056126150015</v>
      </c>
      <c r="D87" s="122">
        <f>SUM(D82:D86)</f>
        <v>-1023.7633369649859</v>
      </c>
      <c r="E87" s="122">
        <f t="shared" ref="E87:G87" si="99">SUM(E82:E86)</f>
        <v>-40.959203123036879</v>
      </c>
      <c r="F87" s="122">
        <f t="shared" si="99"/>
        <v>2730.6648203942332</v>
      </c>
      <c r="G87" s="122">
        <f t="shared" si="99"/>
        <v>3952.3602301917945</v>
      </c>
      <c r="J87" s="122">
        <f>SUM(J82:J86)</f>
        <v>-1118.1056126150015</v>
      </c>
      <c r="K87" s="122">
        <f>SUM(K82:K86)</f>
        <v>-1023.7633369649859</v>
      </c>
      <c r="L87" s="122">
        <f t="shared" ref="L87:N87" si="100">SUM(L82:L86)</f>
        <v>-329.42740809364557</v>
      </c>
      <c r="M87" s="122">
        <f t="shared" si="100"/>
        <v>2362.5398381937539</v>
      </c>
      <c r="N87" s="122">
        <f t="shared" si="100"/>
        <v>3533.1837384349542</v>
      </c>
    </row>
    <row r="88" spans="2:15" ht="6" customHeight="1">
      <c r="B88" s="49"/>
      <c r="C88" s="3"/>
      <c r="D88" s="3"/>
      <c r="E88" s="3"/>
      <c r="F88" s="3"/>
      <c r="G88" s="3"/>
      <c r="H88" s="16"/>
      <c r="J88" s="3"/>
      <c r="K88" s="3"/>
      <c r="L88" s="3"/>
      <c r="M88" s="3"/>
      <c r="N88" s="3"/>
      <c r="O88" s="16"/>
    </row>
    <row r="89" spans="2:15">
      <c r="B89" t="s">
        <v>303</v>
      </c>
      <c r="C89" s="91">
        <f>'3YP w. downside'!J89</f>
        <v>-392</v>
      </c>
      <c r="D89" s="91">
        <f>'3YP w. downside'!K89</f>
        <v>-270</v>
      </c>
      <c r="E89" s="91">
        <f>'3YP w. downside'!L89</f>
        <v>-300</v>
      </c>
      <c r="F89" s="91">
        <f>'3YP w. downside'!M89</f>
        <v>-300</v>
      </c>
      <c r="G89" s="91">
        <f>'3YP w. downside'!N89</f>
        <v>-300</v>
      </c>
      <c r="J89" s="91">
        <f>C89</f>
        <v>-392</v>
      </c>
      <c r="K89" s="91">
        <f>D89</f>
        <v>-270</v>
      </c>
      <c r="L89" s="91">
        <f t="shared" ref="L89:N89" si="101">E89</f>
        <v>-300</v>
      </c>
      <c r="M89" s="91">
        <f t="shared" si="101"/>
        <v>-300</v>
      </c>
      <c r="N89" s="91">
        <f t="shared" si="101"/>
        <v>-300</v>
      </c>
    </row>
    <row r="90" spans="2:15" ht="6" customHeight="1">
      <c r="B90" s="49"/>
      <c r="C90" s="3"/>
      <c r="D90" s="3"/>
      <c r="E90" s="3"/>
      <c r="F90" s="3"/>
      <c r="G90" s="3"/>
      <c r="H90" s="16"/>
      <c r="J90" s="3"/>
      <c r="K90" s="3"/>
      <c r="L90" s="3"/>
      <c r="M90" s="3"/>
      <c r="N90" s="3"/>
      <c r="O90" s="16"/>
    </row>
    <row r="91" spans="2:15">
      <c r="B91" s="102" t="s">
        <v>304</v>
      </c>
      <c r="C91" s="122">
        <f>C89</f>
        <v>-392</v>
      </c>
      <c r="D91" s="122">
        <f>D89</f>
        <v>-270</v>
      </c>
      <c r="E91" s="122">
        <f t="shared" ref="E91:G91" si="102">E89</f>
        <v>-300</v>
      </c>
      <c r="F91" s="122">
        <f t="shared" si="102"/>
        <v>-300</v>
      </c>
      <c r="G91" s="122">
        <f t="shared" si="102"/>
        <v>-300</v>
      </c>
      <c r="J91" s="122">
        <f>J89</f>
        <v>-392</v>
      </c>
      <c r="K91" s="122">
        <f>K89</f>
        <v>-270</v>
      </c>
      <c r="L91" s="122">
        <f t="shared" ref="L91:N91" si="103">L89</f>
        <v>-300</v>
      </c>
      <c r="M91" s="122">
        <f t="shared" si="103"/>
        <v>-300</v>
      </c>
      <c r="N91" s="122">
        <f t="shared" si="103"/>
        <v>-300</v>
      </c>
    </row>
    <row r="92" spans="2:15" ht="6" customHeight="1">
      <c r="B92" s="49"/>
      <c r="C92" s="3"/>
      <c r="D92" s="3"/>
      <c r="E92" s="3"/>
      <c r="F92" s="3"/>
      <c r="G92" s="3"/>
      <c r="H92" s="16"/>
      <c r="J92" s="3"/>
      <c r="K92" s="3"/>
      <c r="L92" s="3"/>
      <c r="M92" s="3"/>
      <c r="N92" s="3"/>
      <c r="O92" s="16"/>
    </row>
    <row r="93" spans="2:15">
      <c r="B93" t="s">
        <v>305</v>
      </c>
      <c r="C93" s="91">
        <f>'3YP w. downside'!J93</f>
        <v>0</v>
      </c>
      <c r="D93" s="91">
        <f>'3YP w. downside'!K93</f>
        <v>0</v>
      </c>
      <c r="E93" s="91">
        <f>'3YP w. downside'!L93</f>
        <v>0</v>
      </c>
      <c r="F93" s="91">
        <f>'3YP w. downside'!M93</f>
        <v>0</v>
      </c>
      <c r="G93" s="91">
        <f>'3YP w. downside'!N93</f>
        <v>0</v>
      </c>
      <c r="J93" s="91">
        <f t="shared" ref="J93:N99" si="104">C93</f>
        <v>0</v>
      </c>
      <c r="K93" s="91">
        <f t="shared" si="104"/>
        <v>0</v>
      </c>
      <c r="L93" s="91">
        <f t="shared" si="104"/>
        <v>0</v>
      </c>
      <c r="M93" s="91">
        <f t="shared" si="104"/>
        <v>0</v>
      </c>
      <c r="N93" s="91">
        <f t="shared" si="104"/>
        <v>0</v>
      </c>
    </row>
    <row r="94" spans="2:15">
      <c r="B94" t="s">
        <v>306</v>
      </c>
      <c r="C94" s="91">
        <f>'3YP w. downside'!J94</f>
        <v>600</v>
      </c>
      <c r="D94" s="91">
        <f>'3YP w. downside'!K94</f>
        <v>3891</v>
      </c>
      <c r="E94" s="91">
        <f>'3YP w. downside'!L94</f>
        <v>500</v>
      </c>
      <c r="F94" s="91">
        <f>'3YP w. downside'!M94</f>
        <v>0</v>
      </c>
      <c r="G94" s="91">
        <f>'3YP w. downside'!N94</f>
        <v>-1700</v>
      </c>
      <c r="J94" s="91">
        <f t="shared" si="104"/>
        <v>600</v>
      </c>
      <c r="K94" s="91">
        <f t="shared" si="104"/>
        <v>3891</v>
      </c>
      <c r="L94" s="91">
        <v>500</v>
      </c>
      <c r="M94" s="91">
        <f t="shared" si="104"/>
        <v>0</v>
      </c>
      <c r="N94" s="91">
        <f t="shared" si="104"/>
        <v>-1700</v>
      </c>
    </row>
    <row r="95" spans="2:15">
      <c r="B95" t="s">
        <v>307</v>
      </c>
      <c r="C95" s="91">
        <f>'3YP w. downside'!J95</f>
        <v>2900</v>
      </c>
      <c r="D95" s="91">
        <f>'3YP w. downside'!K95</f>
        <v>1250</v>
      </c>
      <c r="E95" s="91">
        <f>'3YP w. downside'!L95</f>
        <v>0</v>
      </c>
      <c r="F95" s="91">
        <f>'3YP w. downside'!M95</f>
        <v>0</v>
      </c>
      <c r="G95" s="91">
        <f>'3YP w. downside'!N95</f>
        <v>0</v>
      </c>
      <c r="J95" s="91">
        <f t="shared" si="104"/>
        <v>2900</v>
      </c>
      <c r="K95" s="91">
        <f t="shared" si="104"/>
        <v>1250</v>
      </c>
      <c r="L95" s="91">
        <f t="shared" si="104"/>
        <v>0</v>
      </c>
      <c r="M95" s="91">
        <f t="shared" si="104"/>
        <v>0</v>
      </c>
      <c r="N95" s="91">
        <f t="shared" si="104"/>
        <v>0</v>
      </c>
    </row>
    <row r="96" spans="2:15">
      <c r="B96" t="s">
        <v>308</v>
      </c>
      <c r="C96" s="91">
        <f>'3YP w. downside'!J96</f>
        <v>-747</v>
      </c>
      <c r="D96" s="91">
        <f>'3YP w. downside'!K96</f>
        <v>-535.5</v>
      </c>
      <c r="E96" s="91">
        <f>'3YP w. downside'!L96</f>
        <v>-624.75</v>
      </c>
      <c r="F96" s="91">
        <f>'3YP w. downside'!M96</f>
        <v>-1338.75</v>
      </c>
      <c r="G96" s="91">
        <f>'3YP w. downside'!N96</f>
        <v>-1338.75</v>
      </c>
      <c r="J96" s="91">
        <f t="shared" si="104"/>
        <v>-747</v>
      </c>
      <c r="K96" s="91">
        <f t="shared" si="104"/>
        <v>-535.5</v>
      </c>
      <c r="L96" s="91">
        <f t="shared" si="104"/>
        <v>-624.75</v>
      </c>
      <c r="M96" s="91">
        <f t="shared" si="104"/>
        <v>-1338.75</v>
      </c>
      <c r="N96" s="91">
        <f t="shared" si="104"/>
        <v>-1338.75</v>
      </c>
    </row>
    <row r="97" spans="2:15">
      <c r="B97" t="s">
        <v>309</v>
      </c>
      <c r="C97" s="91">
        <f>'3YP w. downside'!J97</f>
        <v>-1135</v>
      </c>
      <c r="D97" s="91">
        <f>'3YP w. downside'!K97</f>
        <v>-1200</v>
      </c>
      <c r="E97" s="91">
        <f>'3YP w. downside'!L97</f>
        <v>-1165.06</v>
      </c>
      <c r="F97" s="91">
        <f>'3YP w. downside'!M97</f>
        <v>-1006.53</v>
      </c>
      <c r="G97" s="91">
        <f>'3YP w. downside'!N97</f>
        <v>-849.43000000000006</v>
      </c>
      <c r="J97" s="91">
        <f t="shared" si="104"/>
        <v>-1135</v>
      </c>
      <c r="K97" s="91">
        <f t="shared" si="104"/>
        <v>-1200</v>
      </c>
      <c r="L97" s="91">
        <f>E97-25</f>
        <v>-1190.06</v>
      </c>
      <c r="M97" s="91">
        <f>F97-50</f>
        <v>-1056.53</v>
      </c>
      <c r="N97" s="91">
        <f>G97-50</f>
        <v>-899.43000000000006</v>
      </c>
    </row>
    <row r="98" spans="2:15">
      <c r="B98" t="s">
        <v>310</v>
      </c>
      <c r="C98" s="91">
        <f>'3YP w. downside'!J98</f>
        <v>0</v>
      </c>
      <c r="D98" s="91">
        <f>'3YP w. downside'!K98</f>
        <v>-600</v>
      </c>
      <c r="E98" s="91">
        <f>'3YP w. downside'!L98</f>
        <v>0</v>
      </c>
      <c r="F98" s="91">
        <f>'3YP w. downside'!M98</f>
        <v>0</v>
      </c>
      <c r="G98" s="91">
        <f>'3YP w. downside'!N98</f>
        <v>0</v>
      </c>
      <c r="J98" s="91">
        <f t="shared" si="104"/>
        <v>0</v>
      </c>
      <c r="K98" s="91">
        <f t="shared" si="104"/>
        <v>-600</v>
      </c>
      <c r="L98" s="91">
        <f t="shared" si="104"/>
        <v>0</v>
      </c>
      <c r="M98" s="91">
        <f t="shared" si="104"/>
        <v>0</v>
      </c>
      <c r="N98" s="91">
        <f t="shared" si="104"/>
        <v>0</v>
      </c>
    </row>
    <row r="99" spans="2:15">
      <c r="B99" t="s">
        <v>311</v>
      </c>
      <c r="C99" s="91">
        <f>'3YP w. downside'!J99</f>
        <v>-49</v>
      </c>
      <c r="D99" s="91">
        <f>'3YP w. downside'!K99</f>
        <v>0</v>
      </c>
      <c r="E99" s="91">
        <f>'3YP w. downside'!L99</f>
        <v>0</v>
      </c>
      <c r="F99" s="91">
        <f>'3YP w. downside'!M99</f>
        <v>0</v>
      </c>
      <c r="G99" s="91">
        <f>'3YP w. downside'!N99</f>
        <v>0</v>
      </c>
      <c r="J99" s="91">
        <f t="shared" si="104"/>
        <v>-49</v>
      </c>
      <c r="K99" s="91">
        <f t="shared" si="104"/>
        <v>0</v>
      </c>
      <c r="L99" s="91">
        <f t="shared" si="104"/>
        <v>0</v>
      </c>
      <c r="M99" s="91">
        <f t="shared" si="104"/>
        <v>0</v>
      </c>
      <c r="N99" s="91">
        <f t="shared" si="104"/>
        <v>0</v>
      </c>
    </row>
    <row r="100" spans="2:15" ht="6" customHeight="1">
      <c r="B100" s="49"/>
      <c r="C100" s="3"/>
      <c r="D100" s="3"/>
      <c r="E100" s="3"/>
      <c r="F100" s="3"/>
      <c r="G100" s="3"/>
      <c r="H100" s="16"/>
      <c r="J100" s="3"/>
      <c r="K100" s="3"/>
      <c r="L100" s="3"/>
      <c r="M100" s="3"/>
      <c r="N100" s="3"/>
      <c r="O100" s="16"/>
    </row>
    <row r="101" spans="2:15">
      <c r="B101" s="102" t="s">
        <v>312</v>
      </c>
      <c r="C101" s="122">
        <f>SUM(C93:C99)</f>
        <v>1569</v>
      </c>
      <c r="D101" s="122">
        <f>SUM(D93:D99)</f>
        <v>2805.5</v>
      </c>
      <c r="E101" s="122">
        <f t="shared" ref="E101:G101" si="105">SUM(E93:E99)</f>
        <v>-1289.81</v>
      </c>
      <c r="F101" s="122">
        <f t="shared" si="105"/>
        <v>-2345.2799999999997</v>
      </c>
      <c r="G101" s="122">
        <f t="shared" si="105"/>
        <v>-3888.1800000000003</v>
      </c>
      <c r="J101" s="122">
        <f>SUM(J93:J99)</f>
        <v>1569</v>
      </c>
      <c r="K101" s="122">
        <f>SUM(K93:K99)</f>
        <v>2805.5</v>
      </c>
      <c r="L101" s="122">
        <f t="shared" ref="L101:N101" si="106">SUM(L93:L99)</f>
        <v>-1314.81</v>
      </c>
      <c r="M101" s="122">
        <f t="shared" si="106"/>
        <v>-2395.2799999999997</v>
      </c>
      <c r="N101" s="122">
        <f t="shared" si="106"/>
        <v>-3938.1800000000003</v>
      </c>
    </row>
    <row r="102" spans="2:15" ht="6" customHeight="1">
      <c r="B102" s="49"/>
      <c r="C102" s="3"/>
      <c r="D102" s="3"/>
      <c r="E102" s="3"/>
      <c r="F102" s="3"/>
      <c r="G102" s="3"/>
      <c r="H102" s="16"/>
      <c r="J102" s="3"/>
      <c r="K102" s="3"/>
      <c r="L102" s="3"/>
      <c r="M102" s="3"/>
      <c r="N102" s="3"/>
      <c r="O102" s="16"/>
    </row>
    <row r="103" spans="2:15" ht="15.75" thickBot="1">
      <c r="B103" s="71" t="s">
        <v>313</v>
      </c>
      <c r="C103" s="118">
        <f>SUM(C87,C91,C101)</f>
        <v>58.894387384998481</v>
      </c>
      <c r="D103" s="118">
        <f>SUM(D87,D91,D101)</f>
        <v>1511.7366630350141</v>
      </c>
      <c r="E103" s="118">
        <f t="shared" ref="E103:G103" si="107">SUM(E87,E91,E101)</f>
        <v>-1630.7692031230367</v>
      </c>
      <c r="F103" s="118">
        <f t="shared" si="107"/>
        <v>85.384820394233429</v>
      </c>
      <c r="G103" s="118">
        <f t="shared" si="107"/>
        <v>-235.81976980820582</v>
      </c>
      <c r="J103" s="118">
        <f>SUM(J87,J91,J101)</f>
        <v>58.894387384998481</v>
      </c>
      <c r="K103" s="118">
        <f>SUM(K87,K91,K101)</f>
        <v>1511.7366630350141</v>
      </c>
      <c r="L103" s="118">
        <f t="shared" ref="L103:N103" si="108">SUM(L87,L91,L101)</f>
        <v>-1944.2374080936456</v>
      </c>
      <c r="M103" s="118">
        <f t="shared" si="108"/>
        <v>-332.74016180624585</v>
      </c>
      <c r="N103" s="118">
        <f t="shared" si="108"/>
        <v>-704.9962615650461</v>
      </c>
    </row>
    <row r="104" spans="2:15" ht="6" customHeight="1">
      <c r="B104" s="49"/>
      <c r="C104" s="3"/>
      <c r="D104" s="3"/>
      <c r="E104" s="3"/>
      <c r="F104" s="3"/>
      <c r="G104" s="3"/>
      <c r="H104" s="16"/>
      <c r="J104" s="3"/>
      <c r="K104" s="3"/>
      <c r="L104" s="3"/>
      <c r="M104" s="3"/>
      <c r="N104" s="3"/>
      <c r="O104" s="16"/>
    </row>
    <row r="105" spans="2:15">
      <c r="B105" s="6" t="s">
        <v>314</v>
      </c>
      <c r="C105" s="121">
        <f>'Cash Flows'!C27</f>
        <v>82</v>
      </c>
      <c r="D105" s="121">
        <f>C107</f>
        <v>140.89438738499848</v>
      </c>
      <c r="E105" s="121">
        <f t="shared" ref="E105:G105" si="109">D107</f>
        <v>1652.6310504200126</v>
      </c>
      <c r="F105" s="121">
        <f t="shared" si="109"/>
        <v>21.861847296975839</v>
      </c>
      <c r="G105" s="121">
        <f t="shared" si="109"/>
        <v>107.24666769120927</v>
      </c>
      <c r="J105" s="121">
        <f>C105</f>
        <v>82</v>
      </c>
      <c r="K105" s="121">
        <f>D105</f>
        <v>140.89438738499848</v>
      </c>
      <c r="L105" s="121">
        <f t="shared" ref="L105:N105" si="110">K107</f>
        <v>1652.6310504200126</v>
      </c>
      <c r="M105" s="121">
        <f t="shared" si="110"/>
        <v>-291.60635767363306</v>
      </c>
      <c r="N105" s="121">
        <f t="shared" si="110"/>
        <v>-624.34651947987891</v>
      </c>
    </row>
    <row r="106" spans="2:15">
      <c r="B106" t="s">
        <v>315</v>
      </c>
      <c r="C106" s="91">
        <f>C103</f>
        <v>58.894387384998481</v>
      </c>
      <c r="D106" s="91">
        <f t="shared" ref="D106:G106" si="111">D103</f>
        <v>1511.7366630350141</v>
      </c>
      <c r="E106" s="91">
        <f t="shared" si="111"/>
        <v>-1630.7692031230367</v>
      </c>
      <c r="F106" s="91">
        <f t="shared" si="111"/>
        <v>85.384820394233429</v>
      </c>
      <c r="G106" s="91">
        <f t="shared" si="111"/>
        <v>-235.81976980820582</v>
      </c>
      <c r="J106" s="91">
        <f>J103</f>
        <v>58.894387384998481</v>
      </c>
      <c r="K106" s="91">
        <f>K103</f>
        <v>1511.7366630350141</v>
      </c>
      <c r="L106" s="91">
        <f t="shared" ref="L106:N106" si="112">L103</f>
        <v>-1944.2374080936456</v>
      </c>
      <c r="M106" s="91">
        <f t="shared" si="112"/>
        <v>-332.74016180624585</v>
      </c>
      <c r="N106" s="91">
        <f t="shared" si="112"/>
        <v>-704.9962615650461</v>
      </c>
    </row>
    <row r="107" spans="2:15">
      <c r="B107" s="103" t="s">
        <v>316</v>
      </c>
      <c r="C107" s="122">
        <f>SUM(C105:C106)</f>
        <v>140.89438738499848</v>
      </c>
      <c r="D107" s="122">
        <f t="shared" ref="D107:G107" si="113">SUM(D105:D106)</f>
        <v>1652.6310504200126</v>
      </c>
      <c r="E107" s="122">
        <f t="shared" si="113"/>
        <v>21.861847296975839</v>
      </c>
      <c r="F107" s="122">
        <f t="shared" si="113"/>
        <v>107.24666769120927</v>
      </c>
      <c r="G107" s="122">
        <f t="shared" si="113"/>
        <v>-128.57310211699655</v>
      </c>
      <c r="J107" s="122">
        <f>SUM(J105:J106)</f>
        <v>140.89438738499848</v>
      </c>
      <c r="K107" s="122">
        <f>SUM(K105:K106)</f>
        <v>1652.6310504200126</v>
      </c>
      <c r="L107" s="122">
        <f t="shared" ref="L107:N107" si="114">SUM(L105:L106)</f>
        <v>-291.60635767363306</v>
      </c>
      <c r="M107" s="122">
        <f t="shared" si="114"/>
        <v>-624.34651947987891</v>
      </c>
      <c r="N107" s="122">
        <f t="shared" si="114"/>
        <v>-1329.342781044925</v>
      </c>
    </row>
  </sheetData>
  <pageMargins left="0.7" right="0.7" top="0.75" bottom="0.75" header="0.3" footer="0.3"/>
  <pageSetup paperSize="9"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BDB3-1CBF-41BC-9BF3-1E3F3A1BFCCD}">
  <sheetPr>
    <tabColor theme="1"/>
  </sheetPr>
  <dimension ref="A1"/>
  <sheetViews>
    <sheetView showGridLines="0" workbookViewId="0"/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717B-BD69-4143-BB72-DACBCF6BF3AD}">
  <sheetPr>
    <tabColor rgb="FF92D050"/>
    <pageSetUpPr fitToPage="1"/>
  </sheetPr>
  <dimension ref="B2:W46"/>
  <sheetViews>
    <sheetView showGridLines="0" topLeftCell="A4" workbookViewId="0">
      <selection activeCell="L12" sqref="L12"/>
    </sheetView>
  </sheetViews>
  <sheetFormatPr defaultColWidth="8.85546875" defaultRowHeight="15"/>
  <cols>
    <col min="2" max="2" width="23.140625" bestFit="1" customWidth="1"/>
  </cols>
  <sheetData>
    <row r="2" spans="2:23">
      <c r="C2" t="s">
        <v>273</v>
      </c>
      <c r="D2" t="s">
        <v>271</v>
      </c>
      <c r="E2" t="s">
        <v>257</v>
      </c>
      <c r="F2" t="s">
        <v>275</v>
      </c>
      <c r="G2" t="s">
        <v>279</v>
      </c>
      <c r="H2" t="s">
        <v>280</v>
      </c>
      <c r="L2" s="183">
        <v>46023</v>
      </c>
      <c r="M2" s="183">
        <v>46054</v>
      </c>
      <c r="N2" s="183">
        <v>46082</v>
      </c>
      <c r="O2" s="183">
        <v>46113</v>
      </c>
      <c r="P2" s="183">
        <v>46143</v>
      </c>
      <c r="Q2" s="183">
        <v>46174</v>
      </c>
      <c r="R2" s="183">
        <v>46204</v>
      </c>
      <c r="S2" s="183">
        <v>46235</v>
      </c>
      <c r="T2" s="183">
        <v>46266</v>
      </c>
      <c r="U2" s="183">
        <v>46296</v>
      </c>
      <c r="V2" s="183">
        <v>46327</v>
      </c>
      <c r="W2" s="183">
        <v>46357</v>
      </c>
    </row>
    <row r="4" spans="2:23">
      <c r="B4" s="45" t="s">
        <v>228</v>
      </c>
      <c r="C4" s="46">
        <v>4327.2666800000006</v>
      </c>
      <c r="D4" s="46">
        <v>4600</v>
      </c>
      <c r="E4" s="46">
        <v>4530.8243099999991</v>
      </c>
      <c r="F4" s="46">
        <f>'Co. 1 B2B Sales'!U12/1000</f>
        <v>4698.95</v>
      </c>
      <c r="G4" s="46">
        <f>F4*1.05</f>
        <v>4933.8975</v>
      </c>
      <c r="H4" s="46">
        <f>G4*1.04</f>
        <v>5131.2534000000005</v>
      </c>
      <c r="L4" s="46">
        <f>'Co. 1 B2B Sales'!Y12/1000</f>
        <v>309.60649999999998</v>
      </c>
      <c r="M4" s="46">
        <f>'Co. 1 B2B Sales'!Z12/1000</f>
        <v>367.63600000000002</v>
      </c>
      <c r="N4" s="46">
        <f>'Co. 1 B2B Sales'!AA12/1000</f>
        <v>456.09500000000003</v>
      </c>
      <c r="O4" s="46">
        <f>'Co. 1 B2B Sales'!AB12/1000</f>
        <v>389.75074999999998</v>
      </c>
      <c r="P4" s="46">
        <f>'Co. 1 B2B Sales'!AC12/1000</f>
        <v>411.8655</v>
      </c>
      <c r="Q4" s="46">
        <f>'Co. 1 B2B Sales'!AD12/1000</f>
        <v>381.43599999999998</v>
      </c>
      <c r="R4" s="46">
        <f>'Co. 1 B2B Sales'!AE12/1000</f>
        <v>381.43599999999998</v>
      </c>
      <c r="S4" s="46">
        <f>'Co. 1 B2B Sales'!AF12/1000</f>
        <v>315.09174999999999</v>
      </c>
      <c r="T4" s="46">
        <f>'Co. 1 B2B Sales'!AG12/1000</f>
        <v>447.78025000000002</v>
      </c>
      <c r="U4" s="46">
        <f>'Co. 1 B2B Sales'!AH12/1000</f>
        <v>483.69499999999999</v>
      </c>
      <c r="V4" s="46">
        <f>'Co. 1 B2B Sales'!AI12/1000</f>
        <v>417.35075000000001</v>
      </c>
      <c r="W4" s="46">
        <f>'Co. 1 B2B Sales'!AJ12/1000</f>
        <v>337.20650000000001</v>
      </c>
    </row>
    <row r="5" spans="2:23">
      <c r="B5" s="45" t="s">
        <v>229</v>
      </c>
      <c r="C5" s="46">
        <v>1811.1542800000002</v>
      </c>
      <c r="D5" s="46">
        <v>1900</v>
      </c>
      <c r="E5" s="46">
        <v>1906.7439800000002</v>
      </c>
      <c r="F5" s="46">
        <f>'Co. 1 B2B Sales'!U22/1000</f>
        <v>1912.9</v>
      </c>
      <c r="G5" s="46">
        <f>F5*1.05</f>
        <v>2008.5450000000001</v>
      </c>
      <c r="H5" s="46">
        <f>G5*1.04</f>
        <v>2088.8868000000002</v>
      </c>
      <c r="L5" s="46">
        <f>'Co. 1 B2B Sales'!Y22/1000</f>
        <v>124.24300000000001</v>
      </c>
      <c r="M5" s="46">
        <f>'Co. 1 B2B Sales'!Z22/1000</f>
        <v>148.892</v>
      </c>
      <c r="N5" s="46">
        <f>'Co. 1 B2B Sales'!AA22/1000</f>
        <v>184.39</v>
      </c>
      <c r="O5" s="46">
        <f>'Co. 1 B2B Sales'!AB22/1000</f>
        <v>157.76650000000001</v>
      </c>
      <c r="P5" s="46">
        <f>'Co. 1 B2B Sales'!AC22/1000</f>
        <v>166.64099999999999</v>
      </c>
      <c r="Q5" s="46">
        <f>'Co. 1 B2B Sales'!AD22/1000</f>
        <v>155.792</v>
      </c>
      <c r="R5" s="46">
        <f>'Co. 1 B2B Sales'!AE22/1000</f>
        <v>155.792</v>
      </c>
      <c r="S5" s="46">
        <f>'Co. 1 B2B Sales'!AF22/1000</f>
        <v>129.16849999999999</v>
      </c>
      <c r="T5" s="46">
        <f>'Co. 1 B2B Sales'!AG22/1000</f>
        <v>182.41550000000001</v>
      </c>
      <c r="U5" s="46">
        <f>'Co. 1 B2B Sales'!AH22/1000</f>
        <v>198.19</v>
      </c>
      <c r="V5" s="46">
        <f>'Co. 1 B2B Sales'!AI22/1000</f>
        <v>171.56649999999999</v>
      </c>
      <c r="W5" s="46">
        <f>'Co. 1 B2B Sales'!AJ22/1000</f>
        <v>138.04300000000001</v>
      </c>
    </row>
    <row r="6" spans="2:23">
      <c r="B6" s="45" t="s">
        <v>230</v>
      </c>
      <c r="C6" s="46">
        <v>723.30100698414697</v>
      </c>
      <c r="D6" s="46">
        <v>775</v>
      </c>
      <c r="E6" s="46">
        <v>641.74332000000004</v>
      </c>
      <c r="F6" s="46">
        <f>'Co. 1 B2B Sales'!U32/1000</f>
        <v>771.75</v>
      </c>
      <c r="G6" s="46">
        <f>F6*1.08</f>
        <v>833.49</v>
      </c>
      <c r="H6" s="46">
        <f>G6*1.07</f>
        <v>891.8343000000001</v>
      </c>
      <c r="L6" s="46">
        <f>'Co. 1 B2B Sales'!Y32/1000</f>
        <v>48.422500000000007</v>
      </c>
      <c r="M6" s="46">
        <f>'Co. 1 B2B Sales'!Z32/1000</f>
        <v>59.34</v>
      </c>
      <c r="N6" s="46">
        <f>'Co. 1 B2B Sales'!AA32/1000</f>
        <v>73.174999999999997</v>
      </c>
      <c r="O6" s="46">
        <f>'Co. 1 B2B Sales'!AB32/1000</f>
        <v>62.798750000000005</v>
      </c>
      <c r="P6" s="46">
        <f>'Co. 1 B2B Sales'!AC32/1000</f>
        <v>66.257499999999993</v>
      </c>
      <c r="Q6" s="46">
        <f>'Co. 1 B2B Sales'!AD32/1000</f>
        <v>63.34</v>
      </c>
      <c r="R6" s="46">
        <f>'Co. 1 B2B Sales'!AE32/1000</f>
        <v>63.34</v>
      </c>
      <c r="S6" s="46">
        <f>'Co. 1 B2B Sales'!AF32/1000</f>
        <v>52.963749999999997</v>
      </c>
      <c r="T6" s="46">
        <f>'Co. 1 B2B Sales'!AG32/1000</f>
        <v>73.716250000000002</v>
      </c>
      <c r="U6" s="46">
        <f>'Co. 1 B2B Sales'!AH32/1000</f>
        <v>81.174999999999997</v>
      </c>
      <c r="V6" s="46">
        <f>'Co. 1 B2B Sales'!AI32/1000</f>
        <v>70.798749999999998</v>
      </c>
      <c r="W6" s="46">
        <f>'Co. 1 B2B Sales'!AJ32/1000</f>
        <v>56.422500000000007</v>
      </c>
    </row>
    <row r="7" spans="2:23">
      <c r="B7" s="45" t="s">
        <v>231</v>
      </c>
      <c r="C7" s="46">
        <v>87.682839999999999</v>
      </c>
      <c r="D7" s="46">
        <v>135</v>
      </c>
      <c r="E7" s="46">
        <v>145.07323</v>
      </c>
      <c r="F7" s="46">
        <f>'Co. 1 B2B Sales'!U39/1000</f>
        <v>227.5</v>
      </c>
      <c r="G7" s="46">
        <f>F7*1.4</f>
        <v>318.5</v>
      </c>
      <c r="H7" s="46">
        <f>G7*1.3</f>
        <v>414.05</v>
      </c>
      <c r="L7" s="46">
        <f>SUM('Co. 1 B2B Sales'!Y39)/1000</f>
        <v>12.425000000000002</v>
      </c>
      <c r="M7" s="46">
        <f>SUM('Co. 1 B2B Sales'!Z39)/1000</f>
        <v>16.7</v>
      </c>
      <c r="N7" s="46">
        <f>SUM('Co. 1 B2B Sales'!AA39)/1000</f>
        <v>20.25</v>
      </c>
      <c r="O7" s="46">
        <f>SUM('Co. 1 B2B Sales'!AB39)/1000</f>
        <v>17.587499999999999</v>
      </c>
      <c r="P7" s="46">
        <f>SUM('Co. 1 B2B Sales'!AC39)/1000</f>
        <v>18.475000000000001</v>
      </c>
      <c r="Q7" s="46">
        <f>SUM('Co. 1 B2B Sales'!AD39)/1000</f>
        <v>19.2</v>
      </c>
      <c r="R7" s="46">
        <f>SUM('Co. 1 B2B Sales'!AE39)/1000</f>
        <v>19.2</v>
      </c>
      <c r="S7" s="46">
        <f>SUM('Co. 1 B2B Sales'!AF39)/1000</f>
        <v>16.537500000000001</v>
      </c>
      <c r="T7" s="46">
        <f>SUM('Co. 1 B2B Sales'!AG39)/1000</f>
        <v>21.862500000000001</v>
      </c>
      <c r="U7" s="46">
        <f>SUM('Co. 1 B2B Sales'!AH39)/1000</f>
        <v>25.25</v>
      </c>
      <c r="V7" s="46">
        <f>SUM('Co. 1 B2B Sales'!AI39)/1000</f>
        <v>22.587499999999999</v>
      </c>
      <c r="W7" s="46">
        <f>SUM('Co. 1 B2B Sales'!AJ39)/1000</f>
        <v>17.425000000000001</v>
      </c>
    </row>
    <row r="8" spans="2:23">
      <c r="B8" s="45" t="s">
        <v>232</v>
      </c>
      <c r="C8" s="46">
        <v>36.581779999999995</v>
      </c>
      <c r="D8" s="46">
        <v>110</v>
      </c>
      <c r="E8" s="46">
        <v>42.081430000000005</v>
      </c>
      <c r="F8" s="46" cm="1">
        <f t="array" ref="F8">SUM('Co. 1 B2B Sales'!U40:U41/1000)</f>
        <v>158.97499999999999</v>
      </c>
      <c r="G8" s="46">
        <f>F8*1.8</f>
        <v>286.15499999999997</v>
      </c>
      <c r="H8" s="46">
        <f>G8*1.6</f>
        <v>457.84799999999996</v>
      </c>
      <c r="L8" s="46">
        <f>SUM('Co. 1 B2B Sales'!Y40:Y41)/1000</f>
        <v>4.1282500000000013</v>
      </c>
      <c r="M8" s="46">
        <f>SUM('Co. 1 B2B Sales'!Z40:Z41)/1000</f>
        <v>9.718</v>
      </c>
      <c r="N8" s="46">
        <f>SUM('Co. 1 B2B Sales'!AA40:AA41)/1000</f>
        <v>10.897500000000001</v>
      </c>
      <c r="O8" s="46">
        <f>SUM('Co. 1 B2B Sales'!AB40:AB41)/1000</f>
        <v>10.012874999999999</v>
      </c>
      <c r="P8" s="46">
        <f>SUM('Co. 1 B2B Sales'!AC40:AC41)/1000</f>
        <v>10.30775</v>
      </c>
      <c r="Q8" s="46">
        <f>SUM('Co. 1 B2B Sales'!AD40:AD41)/1000</f>
        <v>14.718</v>
      </c>
      <c r="R8" s="46">
        <f>SUM('Co. 1 B2B Sales'!AE40:AE41)/1000</f>
        <v>14.718</v>
      </c>
      <c r="S8" s="46">
        <f>SUM('Co. 1 B2B Sales'!AF40:AF41)/1000</f>
        <v>13.833375</v>
      </c>
      <c r="T8" s="46">
        <f>SUM('Co. 1 B2B Sales'!AG40:AG41)/1000</f>
        <v>15.602625</v>
      </c>
      <c r="U8" s="46">
        <f>SUM('Co. 1 B2B Sales'!AH40:AH41)/1000</f>
        <v>20.897500000000001</v>
      </c>
      <c r="V8" s="46">
        <f>SUM('Co. 1 B2B Sales'!AI40:AI41)/1000</f>
        <v>20.012875000000001</v>
      </c>
      <c r="W8" s="46">
        <f>SUM('Co. 1 B2B Sales'!AJ40:AJ41)/1000</f>
        <v>14.12825</v>
      </c>
    </row>
    <row r="9" spans="2:23">
      <c r="B9" s="45" t="s">
        <v>233</v>
      </c>
      <c r="C9" s="46">
        <v>0</v>
      </c>
      <c r="D9" s="46">
        <v>0</v>
      </c>
      <c r="E9" s="46">
        <v>8.8706399999999999</v>
      </c>
      <c r="F9" s="46">
        <f>'Co. 1 B2B Sales'!U42/1000</f>
        <v>67.5</v>
      </c>
      <c r="G9" s="46">
        <f>F9*2</f>
        <v>135</v>
      </c>
      <c r="H9" s="46">
        <f>G9*1.8</f>
        <v>243</v>
      </c>
      <c r="L9" s="46">
        <f>'Co. 1 B2B Sales'!Y42/1000</f>
        <v>1.2250000000000003</v>
      </c>
      <c r="M9" s="46">
        <f>'Co. 1 B2B Sales'!Z42/1000</f>
        <v>3.9</v>
      </c>
      <c r="N9" s="46">
        <f>'Co. 1 B2B Sales'!AA42/1000</f>
        <v>4.25</v>
      </c>
      <c r="O9" s="46">
        <f>'Co. 1 B2B Sales'!AB42/1000</f>
        <v>3.9874999999999998</v>
      </c>
      <c r="P9" s="46">
        <f>'Co. 1 B2B Sales'!AC42/1000</f>
        <v>4.0750000000000002</v>
      </c>
      <c r="Q9" s="46">
        <f>'Co. 1 B2B Sales'!AD42/1000</f>
        <v>6.4</v>
      </c>
      <c r="R9" s="46">
        <f>'Co. 1 B2B Sales'!AE42/1000</f>
        <v>6.4</v>
      </c>
      <c r="S9" s="46">
        <f>'Co. 1 B2B Sales'!AF42/1000</f>
        <v>6.1375000000000002</v>
      </c>
      <c r="T9" s="46">
        <f>'Co. 1 B2B Sales'!AG42/1000</f>
        <v>6.6624999999999996</v>
      </c>
      <c r="U9" s="46">
        <f>'Co. 1 B2B Sales'!AH42/1000</f>
        <v>9.25</v>
      </c>
      <c r="V9" s="46">
        <f>'Co. 1 B2B Sales'!AI42/1000</f>
        <v>8.9875000000000007</v>
      </c>
      <c r="W9" s="46">
        <f>'Co. 1 B2B Sales'!AJ42/1000</f>
        <v>6.2249999999999996</v>
      </c>
    </row>
    <row r="10" spans="2:23">
      <c r="B10" s="47" t="s">
        <v>31</v>
      </c>
      <c r="C10" s="48">
        <f t="shared" ref="C10:H10" si="0">SUM(C4:C9)</f>
        <v>6985.9865869841487</v>
      </c>
      <c r="D10" s="48">
        <f t="shared" si="0"/>
        <v>7520</v>
      </c>
      <c r="E10" s="48">
        <f t="shared" si="0"/>
        <v>7275.3369099999991</v>
      </c>
      <c r="F10" s="48">
        <f t="shared" si="0"/>
        <v>7837.5750000000007</v>
      </c>
      <c r="G10" s="48">
        <f t="shared" si="0"/>
        <v>8515.5874999999996</v>
      </c>
      <c r="H10" s="48">
        <f t="shared" si="0"/>
        <v>9226.8725000000013</v>
      </c>
      <c r="L10" s="48">
        <f t="shared" ref="L10:W10" si="1">SUM(L4:L9)</f>
        <v>500.05025000000001</v>
      </c>
      <c r="M10" s="48">
        <f t="shared" si="1"/>
        <v>606.18600000000004</v>
      </c>
      <c r="N10" s="48">
        <f t="shared" si="1"/>
        <v>749.0575</v>
      </c>
      <c r="O10" s="48">
        <f t="shared" si="1"/>
        <v>641.90387499999997</v>
      </c>
      <c r="P10" s="48">
        <f t="shared" si="1"/>
        <v>677.62175000000002</v>
      </c>
      <c r="Q10" s="48">
        <f t="shared" si="1"/>
        <v>640.88599999999997</v>
      </c>
      <c r="R10" s="48">
        <f t="shared" si="1"/>
        <v>640.88599999999997</v>
      </c>
      <c r="S10" s="48">
        <f t="shared" si="1"/>
        <v>533.73237500000005</v>
      </c>
      <c r="T10" s="48">
        <f t="shared" si="1"/>
        <v>748.039625</v>
      </c>
      <c r="U10" s="48">
        <f t="shared" si="1"/>
        <v>818.45749999999998</v>
      </c>
      <c r="V10" s="48">
        <f t="shared" si="1"/>
        <v>711.30387499999995</v>
      </c>
      <c r="W10" s="48">
        <f t="shared" si="1"/>
        <v>569.45024999999998</v>
      </c>
    </row>
    <row r="11" spans="2:23">
      <c r="B11" s="49"/>
      <c r="C11" s="50"/>
      <c r="D11" s="50"/>
      <c r="E11" s="50"/>
    </row>
    <row r="12" spans="2:23">
      <c r="B12" s="44" t="s">
        <v>234</v>
      </c>
      <c r="C12" s="46">
        <v>120.10185645763202</v>
      </c>
      <c r="D12" s="46">
        <v>250</v>
      </c>
      <c r="E12" s="46">
        <v>201.3082344</v>
      </c>
      <c r="F12" s="46">
        <f>'Co. 1 B2B Sales'!U52/1000</f>
        <v>321.7</v>
      </c>
      <c r="G12" s="46">
        <f>F12*1.5</f>
        <v>482.54999999999995</v>
      </c>
      <c r="H12" s="46">
        <f>G12*1.4</f>
        <v>675.56999999999994</v>
      </c>
      <c r="L12" s="46">
        <f>'Co. 1 B2B Sales'!Y51/1000</f>
        <v>19.335999999999999</v>
      </c>
      <c r="M12" s="46">
        <f>'Co. 1 B2B Sales'!Z51/1000</f>
        <v>23.335999999999999</v>
      </c>
      <c r="N12" s="46">
        <f>'Co. 1 B2B Sales'!AA51/1000</f>
        <v>25.753</v>
      </c>
      <c r="O12" s="46">
        <f>'Co. 1 B2B Sales'!AB51/1000</f>
        <v>25.753</v>
      </c>
      <c r="P12" s="46">
        <f>'Co. 1 B2B Sales'!AC51/1000</f>
        <v>25.753</v>
      </c>
      <c r="Q12" s="46">
        <f>'Co. 1 B2B Sales'!AD51/1000</f>
        <v>26.127500000000001</v>
      </c>
      <c r="R12" s="46">
        <f>'Co. 1 B2B Sales'!AE51/1000</f>
        <v>24.919</v>
      </c>
      <c r="S12" s="46">
        <f>'Co. 1 B2B Sales'!AF51/1000</f>
        <v>22.501999999999999</v>
      </c>
      <c r="T12" s="46">
        <f>'Co. 1 B2B Sales'!AG51/1000</f>
        <v>30.961500000000001</v>
      </c>
      <c r="U12" s="46">
        <f>'Co. 1 B2B Sales'!AH51/1000</f>
        <v>37.378500000000003</v>
      </c>
      <c r="V12" s="46">
        <f>'Co. 1 B2B Sales'!AI51/1000</f>
        <v>33.753</v>
      </c>
      <c r="W12" s="46">
        <f>'Co. 1 B2B Sales'!AJ51/1000</f>
        <v>26.127500000000001</v>
      </c>
    </row>
    <row r="13" spans="2:23">
      <c r="B13" s="44" t="s">
        <v>235</v>
      </c>
      <c r="C13" s="46">
        <v>173.48070611518398</v>
      </c>
      <c r="D13" s="46">
        <v>125</v>
      </c>
      <c r="E13" s="46">
        <v>177.28904740000002</v>
      </c>
      <c r="F13" s="46">
        <f>'Co. 1 B2B Sales'!U54/1000</f>
        <v>175</v>
      </c>
      <c r="G13" s="46">
        <f>F13</f>
        <v>175</v>
      </c>
      <c r="H13" s="46">
        <f>G13</f>
        <v>175</v>
      </c>
      <c r="L13" s="46">
        <f>'Co. 1 B2B Sales'!Y54/1000</f>
        <v>14</v>
      </c>
      <c r="M13" s="46">
        <f>'Co. 1 B2B Sales'!Z54/1000</f>
        <v>14</v>
      </c>
      <c r="N13" s="46">
        <f>'Co. 1 B2B Sales'!AA54/1000</f>
        <v>15.75</v>
      </c>
      <c r="O13" s="46">
        <f>'Co. 1 B2B Sales'!AB54/1000</f>
        <v>15.75</v>
      </c>
      <c r="P13" s="46">
        <f>'Co. 1 B2B Sales'!AC54/1000</f>
        <v>15.75</v>
      </c>
      <c r="Q13" s="46">
        <f>'Co. 1 B2B Sales'!AD54/1000</f>
        <v>13.125</v>
      </c>
      <c r="R13" s="46">
        <f>'Co. 1 B2B Sales'!AE54/1000</f>
        <v>12.250000000000002</v>
      </c>
      <c r="S13" s="46">
        <f>'Co. 1 B2B Sales'!AF54/1000</f>
        <v>10.5</v>
      </c>
      <c r="T13" s="46">
        <f>'Co. 1 B2B Sales'!AG54/1000</f>
        <v>16.625</v>
      </c>
      <c r="U13" s="46">
        <f>'Co. 1 B2B Sales'!AH54/1000</f>
        <v>18.375</v>
      </c>
      <c r="V13" s="46">
        <f>'Co. 1 B2B Sales'!AI54/1000</f>
        <v>15.75</v>
      </c>
      <c r="W13" s="46">
        <f>'Co. 1 B2B Sales'!AJ54/1000</f>
        <v>13.125</v>
      </c>
    </row>
    <row r="14" spans="2:23">
      <c r="B14" s="51" t="s">
        <v>236</v>
      </c>
      <c r="C14" s="48">
        <f t="shared" ref="C14:H14" si="2">SUM(C12:C13)</f>
        <v>293.58256257281602</v>
      </c>
      <c r="D14" s="48">
        <f t="shared" si="2"/>
        <v>375</v>
      </c>
      <c r="E14" s="48">
        <f t="shared" si="2"/>
        <v>378.59728180000002</v>
      </c>
      <c r="F14" s="48">
        <f t="shared" si="2"/>
        <v>496.7</v>
      </c>
      <c r="G14" s="48">
        <f t="shared" si="2"/>
        <v>657.55</v>
      </c>
      <c r="H14" s="48">
        <f t="shared" si="2"/>
        <v>850.56999999999994</v>
      </c>
      <c r="L14" s="48">
        <f t="shared" ref="L14:W14" si="3">SUM(L12:L13)</f>
        <v>33.335999999999999</v>
      </c>
      <c r="M14" s="48">
        <f t="shared" si="3"/>
        <v>37.335999999999999</v>
      </c>
      <c r="N14" s="48">
        <f t="shared" si="3"/>
        <v>41.503</v>
      </c>
      <c r="O14" s="48">
        <f t="shared" si="3"/>
        <v>41.503</v>
      </c>
      <c r="P14" s="48">
        <f t="shared" si="3"/>
        <v>41.503</v>
      </c>
      <c r="Q14" s="48">
        <f t="shared" si="3"/>
        <v>39.252499999999998</v>
      </c>
      <c r="R14" s="48">
        <f t="shared" si="3"/>
        <v>37.169000000000004</v>
      </c>
      <c r="S14" s="48">
        <f t="shared" si="3"/>
        <v>33.001999999999995</v>
      </c>
      <c r="T14" s="48">
        <f t="shared" si="3"/>
        <v>47.586500000000001</v>
      </c>
      <c r="U14" s="48">
        <f t="shared" si="3"/>
        <v>55.753500000000003</v>
      </c>
      <c r="V14" s="48">
        <f t="shared" si="3"/>
        <v>49.503</v>
      </c>
      <c r="W14" s="48">
        <f t="shared" si="3"/>
        <v>39.252499999999998</v>
      </c>
    </row>
    <row r="15" spans="2:23">
      <c r="B15" s="49"/>
      <c r="C15" s="50"/>
      <c r="D15" s="50"/>
      <c r="E15" s="50"/>
    </row>
    <row r="16" spans="2:23">
      <c r="B16" s="45" t="s">
        <v>237</v>
      </c>
      <c r="C16" s="46">
        <v>723.64898508591909</v>
      </c>
      <c r="D16" s="46">
        <v>1250</v>
      </c>
      <c r="E16" s="46">
        <v>754.68615419999992</v>
      </c>
      <c r="F16" s="46">
        <f>'Co. 1 B2B Sales'!U66/1000</f>
        <v>983.24199999999996</v>
      </c>
      <c r="G16" s="46">
        <f>F16*1.3</f>
        <v>1278.2146</v>
      </c>
      <c r="H16" s="46">
        <f>G16*1.2</f>
        <v>1533.85752</v>
      </c>
      <c r="L16" s="46">
        <f>'Co. 1 B2B Sales'!Y66/1000</f>
        <v>62.65936</v>
      </c>
      <c r="M16" s="46">
        <f>'Co. 1 B2B Sales'!Z66/1000</f>
        <v>72.659360000000007</v>
      </c>
      <c r="N16" s="46">
        <f>'Co. 1 B2B Sales'!AA66/1000</f>
        <v>80.491780000000006</v>
      </c>
      <c r="O16" s="46">
        <f>'Co. 1 B2B Sales'!AB66/1000</f>
        <v>80.491780000000006</v>
      </c>
      <c r="P16" s="46">
        <f>'Co. 1 B2B Sales'!AC66/1000</f>
        <v>80.491780000000006</v>
      </c>
      <c r="Q16" s="46">
        <f>'Co. 1 B2B Sales'!AD66/1000</f>
        <v>82.659360000000007</v>
      </c>
      <c r="R16" s="46">
        <f>'Co. 1 B2B Sales'!AE66/1000</f>
        <v>82.659360000000007</v>
      </c>
      <c r="S16" s="46">
        <f>'Co. 1 B2B Sales'!AF66/1000</f>
        <v>66.994520000000009</v>
      </c>
      <c r="T16" s="46">
        <f>'Co. 1 B2B Sales'!AG66/1000</f>
        <v>90.491780000000006</v>
      </c>
      <c r="U16" s="46">
        <f>'Co. 1 B2B Sales'!AH66/1000</f>
        <v>108.32419999999999</v>
      </c>
      <c r="V16" s="46">
        <f>'Co. 1 B2B Sales'!AI66/1000</f>
        <v>100.49178000000001</v>
      </c>
      <c r="W16" s="46">
        <f>'Co. 1 B2B Sales'!AJ66/1000</f>
        <v>74.826940000000022</v>
      </c>
    </row>
    <row r="17" spans="2:23">
      <c r="B17" s="45" t="s">
        <v>64</v>
      </c>
      <c r="C17" s="46">
        <v>35.717858636318098</v>
      </c>
      <c r="D17" s="46">
        <v>60</v>
      </c>
      <c r="E17" s="46">
        <v>5</v>
      </c>
      <c r="F17" s="46">
        <f>'Co. 1 B2B Sales'!U69/1000</f>
        <v>20</v>
      </c>
      <c r="G17" s="46">
        <f>F17</f>
        <v>20</v>
      </c>
      <c r="H17" s="46">
        <f>G17</f>
        <v>20</v>
      </c>
      <c r="L17" s="46">
        <f>'Co. 1 B2B Sales'!Y69/1000</f>
        <v>1.6</v>
      </c>
      <c r="M17" s="46">
        <f>'Co. 1 B2B Sales'!Z69/1000</f>
        <v>1.6</v>
      </c>
      <c r="N17" s="46">
        <f>'Co. 1 B2B Sales'!AA69/1000</f>
        <v>1.8</v>
      </c>
      <c r="O17" s="46">
        <f>'Co. 1 B2B Sales'!AB69/1000</f>
        <v>1.8</v>
      </c>
      <c r="P17" s="46">
        <f>'Co. 1 B2B Sales'!AC69/1000</f>
        <v>1.8</v>
      </c>
      <c r="Q17" s="46">
        <f>'Co. 1 B2B Sales'!AD69/1000</f>
        <v>1.6</v>
      </c>
      <c r="R17" s="46">
        <f>'Co. 1 B2B Sales'!AE69/1000</f>
        <v>1.6</v>
      </c>
      <c r="S17" s="46">
        <f>'Co. 1 B2B Sales'!AF69/1000</f>
        <v>1.2</v>
      </c>
      <c r="T17" s="46">
        <f>'Co. 1 B2B Sales'!AG69/1000</f>
        <v>1.8</v>
      </c>
      <c r="U17" s="46">
        <f>'Co. 1 B2B Sales'!AH69/1000</f>
        <v>2</v>
      </c>
      <c r="V17" s="46">
        <f>'Co. 1 B2B Sales'!AI69/1000</f>
        <v>1.8</v>
      </c>
      <c r="W17" s="46">
        <f>'Co. 1 B2B Sales'!AJ69/1000</f>
        <v>1.4000000000000001</v>
      </c>
    </row>
    <row r="18" spans="2:23">
      <c r="B18" s="47" t="s">
        <v>238</v>
      </c>
      <c r="C18" s="48">
        <f t="shared" ref="C18:H18" si="4">SUM(C16:C17)</f>
        <v>759.36684372223715</v>
      </c>
      <c r="D18" s="48">
        <f t="shared" si="4"/>
        <v>1310</v>
      </c>
      <c r="E18" s="48">
        <f t="shared" si="4"/>
        <v>759.68615419999992</v>
      </c>
      <c r="F18" s="48">
        <f t="shared" si="4"/>
        <v>1003.242</v>
      </c>
      <c r="G18" s="48">
        <f t="shared" si="4"/>
        <v>1298.2146</v>
      </c>
      <c r="H18" s="48">
        <f t="shared" si="4"/>
        <v>1553.85752</v>
      </c>
      <c r="L18" s="48">
        <f t="shared" ref="L18:W18" si="5">SUM(L16:L17)</f>
        <v>64.259360000000001</v>
      </c>
      <c r="M18" s="48">
        <f t="shared" si="5"/>
        <v>74.259360000000001</v>
      </c>
      <c r="N18" s="48">
        <f t="shared" si="5"/>
        <v>82.291780000000003</v>
      </c>
      <c r="O18" s="48">
        <f t="shared" si="5"/>
        <v>82.291780000000003</v>
      </c>
      <c r="P18" s="48">
        <f t="shared" si="5"/>
        <v>82.291780000000003</v>
      </c>
      <c r="Q18" s="48">
        <f t="shared" si="5"/>
        <v>84.259360000000001</v>
      </c>
      <c r="R18" s="48">
        <f t="shared" si="5"/>
        <v>84.259360000000001</v>
      </c>
      <c r="S18" s="48">
        <f t="shared" si="5"/>
        <v>68.194520000000011</v>
      </c>
      <c r="T18" s="48">
        <f t="shared" si="5"/>
        <v>92.291780000000003</v>
      </c>
      <c r="U18" s="48">
        <f t="shared" si="5"/>
        <v>110.32419999999999</v>
      </c>
      <c r="V18" s="48">
        <f t="shared" si="5"/>
        <v>102.29178</v>
      </c>
      <c r="W18" s="48">
        <f t="shared" si="5"/>
        <v>76.226940000000027</v>
      </c>
    </row>
    <row r="19" spans="2:23">
      <c r="B19" s="49"/>
      <c r="C19" s="50"/>
      <c r="D19" s="50"/>
      <c r="E19" s="50"/>
    </row>
    <row r="20" spans="2:23">
      <c r="B20" s="45" t="s">
        <v>239</v>
      </c>
      <c r="C20" s="46">
        <v>400.00112999999999</v>
      </c>
      <c r="D20" s="46">
        <v>420</v>
      </c>
      <c r="E20" s="46">
        <v>447.78187000000008</v>
      </c>
      <c r="F20" s="46">
        <v>430</v>
      </c>
      <c r="G20" s="46">
        <v>440</v>
      </c>
      <c r="H20" s="46">
        <v>450</v>
      </c>
      <c r="L20" s="46">
        <f>'Co. 1_2 Export Sales'!AE4/1000</f>
        <v>38.700000000000003</v>
      </c>
      <c r="M20" s="46">
        <f>'Co. 1_2 Export Sales'!AF4/1000</f>
        <v>38.700000000000003</v>
      </c>
      <c r="N20" s="46">
        <f>'Co. 1_2 Export Sales'!AG4/1000</f>
        <v>38.700000000000003</v>
      </c>
      <c r="O20" s="46">
        <f>'Co. 1_2 Export Sales'!AH4/1000</f>
        <v>38.700000000000003</v>
      </c>
      <c r="P20" s="46">
        <f>'Co. 1_2 Export Sales'!AI4/1000</f>
        <v>25.8</v>
      </c>
      <c r="Q20" s="46">
        <f>'Co. 1_2 Export Sales'!AJ4/1000</f>
        <v>43</v>
      </c>
      <c r="R20" s="46">
        <f>'Co. 1_2 Export Sales'!AK4/1000</f>
        <v>17.2</v>
      </c>
      <c r="S20" s="46">
        <f>'Co. 1_2 Export Sales'!AL4/1000</f>
        <v>17.2</v>
      </c>
      <c r="T20" s="46">
        <f>'Co. 1_2 Export Sales'!AM4/1000</f>
        <v>34.4</v>
      </c>
      <c r="U20" s="46">
        <f>'Co. 1_2 Export Sales'!AN4/1000</f>
        <v>51.6</v>
      </c>
      <c r="V20" s="46">
        <f>'Co. 1_2 Export Sales'!AO4/1000</f>
        <v>43</v>
      </c>
      <c r="W20" s="46">
        <f>'Co. 1_2 Export Sales'!AP4/1000</f>
        <v>43</v>
      </c>
    </row>
    <row r="21" spans="2:23">
      <c r="B21" s="45" t="s">
        <v>240</v>
      </c>
      <c r="C21" s="46">
        <v>487.42534000000006</v>
      </c>
      <c r="D21" s="46">
        <v>600</v>
      </c>
      <c r="E21" s="46">
        <v>567.51580000000001</v>
      </c>
      <c r="F21" s="46">
        <v>625</v>
      </c>
      <c r="G21" s="46">
        <v>650</v>
      </c>
      <c r="H21" s="46">
        <v>675</v>
      </c>
      <c r="L21" s="46">
        <f>'Co. 1_2 Export Sales'!AE3/1000</f>
        <v>0</v>
      </c>
      <c r="M21" s="46">
        <f>'Co. 1_2 Export Sales'!AF3/1000</f>
        <v>100</v>
      </c>
      <c r="N21" s="46">
        <f>'Co. 1_2 Export Sales'!AG3/1000</f>
        <v>75</v>
      </c>
      <c r="O21" s="46">
        <f>'Co. 1_2 Export Sales'!AH3/1000</f>
        <v>0</v>
      </c>
      <c r="P21" s="46">
        <f>'Co. 1_2 Export Sales'!AI3/1000</f>
        <v>75</v>
      </c>
      <c r="Q21" s="46">
        <f>'Co. 1_2 Export Sales'!AJ3/1000</f>
        <v>75</v>
      </c>
      <c r="R21" s="46">
        <f>'Co. 1_2 Export Sales'!AK3/1000</f>
        <v>0</v>
      </c>
      <c r="S21" s="46">
        <f>'Co. 1_2 Export Sales'!AL3/1000</f>
        <v>62.5</v>
      </c>
      <c r="T21" s="46">
        <f>'Co. 1_2 Export Sales'!AM3/1000</f>
        <v>0</v>
      </c>
      <c r="U21" s="46">
        <f>'Co. 1_2 Export Sales'!AN3/1000</f>
        <v>87.500000000000014</v>
      </c>
      <c r="V21" s="46">
        <f>'Co. 1_2 Export Sales'!AO3/1000</f>
        <v>75</v>
      </c>
      <c r="W21" s="46">
        <f>'Co. 1_2 Export Sales'!AP3/1000</f>
        <v>75</v>
      </c>
    </row>
    <row r="22" spans="2:23">
      <c r="B22" s="45" t="s">
        <v>241</v>
      </c>
      <c r="C22" s="46">
        <v>297.28224</v>
      </c>
      <c r="D22" s="46">
        <v>320</v>
      </c>
      <c r="E22" s="46">
        <v>277.16552000000001</v>
      </c>
      <c r="F22" s="46">
        <f>'Co. 1_2 Export Sales'!H5/1000</f>
        <v>350</v>
      </c>
      <c r="G22" s="46">
        <f>'Co. 1_2 Export Sales'!I5/1000</f>
        <v>380</v>
      </c>
      <c r="H22" s="46">
        <f>'Co. 1_2 Export Sales'!J5/1000</f>
        <v>420</v>
      </c>
      <c r="L22" s="46">
        <f>'Co. 1_2 Export Sales'!AE5/1000</f>
        <v>0</v>
      </c>
      <c r="M22" s="46">
        <f>'Co. 1_2 Export Sales'!AF5/1000</f>
        <v>70</v>
      </c>
      <c r="N22" s="46">
        <f>'Co. 1_2 Export Sales'!AG5/1000</f>
        <v>0</v>
      </c>
      <c r="O22" s="46">
        <f>'Co. 1_2 Export Sales'!AH5/1000</f>
        <v>0</v>
      </c>
      <c r="P22" s="46">
        <f>'Co. 1_2 Export Sales'!AI5/1000</f>
        <v>87.5</v>
      </c>
      <c r="Q22" s="46">
        <f>'Co. 1_2 Export Sales'!AJ5/1000</f>
        <v>0</v>
      </c>
      <c r="R22" s="46">
        <f>'Co. 1_2 Export Sales'!AK5/1000</f>
        <v>0</v>
      </c>
      <c r="S22" s="46">
        <f>'Co. 1_2 Export Sales'!AL5/1000</f>
        <v>105</v>
      </c>
      <c r="T22" s="46">
        <f>'Co. 1_2 Export Sales'!AM5/1000</f>
        <v>0</v>
      </c>
      <c r="U22" s="46">
        <f>'Co. 1_2 Export Sales'!AN5/1000</f>
        <v>0</v>
      </c>
      <c r="V22" s="46">
        <f>'Co. 1_2 Export Sales'!AO5/1000</f>
        <v>87.5</v>
      </c>
      <c r="W22" s="46">
        <f>'Co. 1_2 Export Sales'!AP5/1000</f>
        <v>0</v>
      </c>
    </row>
    <row r="23" spans="2:23">
      <c r="B23" s="45" t="s">
        <v>242</v>
      </c>
      <c r="C23" s="46">
        <v>245.10886000000005</v>
      </c>
      <c r="D23" s="46">
        <v>300</v>
      </c>
      <c r="E23" s="46">
        <v>443.66261000000003</v>
      </c>
      <c r="F23" s="46">
        <f>'Co. 1_2 Export Sales'!H6/1000</f>
        <v>457.5</v>
      </c>
      <c r="G23" s="46">
        <f>'Co. 1_2 Export Sales'!I6/1000</f>
        <v>520</v>
      </c>
      <c r="H23" s="46">
        <f>'Co. 1_2 Export Sales'!J6/1000</f>
        <v>625</v>
      </c>
      <c r="L23" s="46">
        <f>'Co. 1_2 Export Sales'!AE6/1000</f>
        <v>36.6</v>
      </c>
      <c r="M23" s="46">
        <f>'Co. 1_2 Export Sales'!AF6/1000</f>
        <v>32.025000000000006</v>
      </c>
      <c r="N23" s="46">
        <f>'Co. 1_2 Export Sales'!AG6/1000</f>
        <v>45.75</v>
      </c>
      <c r="O23" s="46">
        <f>'Co. 1_2 Export Sales'!AH6/1000</f>
        <v>41.174999999999997</v>
      </c>
      <c r="P23" s="46">
        <f>'Co. 1_2 Export Sales'!AI6/1000</f>
        <v>41.174999999999997</v>
      </c>
      <c r="Q23" s="46">
        <f>'Co. 1_2 Export Sales'!AJ6/1000</f>
        <v>36.6</v>
      </c>
      <c r="R23" s="46">
        <f>'Co. 1_2 Export Sales'!AK6/1000</f>
        <v>36.6</v>
      </c>
      <c r="S23" s="46">
        <f>'Co. 1_2 Export Sales'!AL6/1000</f>
        <v>27.45</v>
      </c>
      <c r="T23" s="46">
        <f>'Co. 1_2 Export Sales'!AM6/1000</f>
        <v>41.174999999999997</v>
      </c>
      <c r="U23" s="46">
        <f>'Co. 1_2 Export Sales'!AN6/1000</f>
        <v>45.75</v>
      </c>
      <c r="V23" s="46">
        <f>'Co. 1_2 Export Sales'!AO6/1000</f>
        <v>41.174999999999997</v>
      </c>
      <c r="W23" s="46">
        <f>'Co. 1_2 Export Sales'!AP6/1000</f>
        <v>32.025000000000006</v>
      </c>
    </row>
    <row r="24" spans="2:23">
      <c r="B24" s="45" t="s">
        <v>243</v>
      </c>
      <c r="C24" s="46">
        <v>28.565149999999996</v>
      </c>
      <c r="D24" s="46">
        <v>100</v>
      </c>
      <c r="E24" s="46">
        <v>34.968969999999999</v>
      </c>
      <c r="F24" s="46">
        <f>'Co. 1_2 Export Sales'!H7/1000</f>
        <v>30</v>
      </c>
      <c r="G24" s="46">
        <f>'Co. 1_2 Export Sales'!I7/1000</f>
        <v>40</v>
      </c>
      <c r="H24" s="46">
        <f>'Co. 1_2 Export Sales'!J7/1000</f>
        <v>50</v>
      </c>
      <c r="L24" s="46">
        <f>'Co. 1_2 Export Sales'!AE7/1000</f>
        <v>2.4</v>
      </c>
      <c r="M24" s="46">
        <f>'Co. 1_2 Export Sales'!AF7/1000</f>
        <v>2.1</v>
      </c>
      <c r="N24" s="46">
        <f>'Co. 1_2 Export Sales'!AG7/1000</f>
        <v>3</v>
      </c>
      <c r="O24" s="46">
        <f>'Co. 1_2 Export Sales'!AH7/1000</f>
        <v>2.7</v>
      </c>
      <c r="P24" s="46">
        <f>'Co. 1_2 Export Sales'!AI7/1000</f>
        <v>2.7</v>
      </c>
      <c r="Q24" s="46">
        <f>'Co. 1_2 Export Sales'!AJ7/1000</f>
        <v>2.4</v>
      </c>
      <c r="R24" s="46">
        <f>'Co. 1_2 Export Sales'!AK7/1000</f>
        <v>2.4</v>
      </c>
      <c r="S24" s="46">
        <f>'Co. 1_2 Export Sales'!AL7/1000</f>
        <v>1.8</v>
      </c>
      <c r="T24" s="46">
        <f>'Co. 1_2 Export Sales'!AM7/1000</f>
        <v>2.7</v>
      </c>
      <c r="U24" s="46">
        <f>'Co. 1_2 Export Sales'!AN7/1000</f>
        <v>3</v>
      </c>
      <c r="V24" s="46">
        <f>'Co. 1_2 Export Sales'!AO7/1000</f>
        <v>2.7</v>
      </c>
      <c r="W24" s="46">
        <f>'Co. 1_2 Export Sales'!AP7/1000</f>
        <v>2.1</v>
      </c>
    </row>
    <row r="25" spans="2:23">
      <c r="B25" s="45" t="s">
        <v>244</v>
      </c>
      <c r="C25" s="46">
        <v>15.133949999999999</v>
      </c>
      <c r="D25" s="46">
        <v>25</v>
      </c>
      <c r="E25" s="46">
        <v>14.61966</v>
      </c>
      <c r="F25" s="46">
        <f>'Co. 1_2 Export Sales'!H8/1000</f>
        <v>20</v>
      </c>
      <c r="G25" s="46">
        <f>'Co. 1_2 Export Sales'!I8/1000</f>
        <v>50</v>
      </c>
      <c r="H25" s="46">
        <f>'Co. 1_2 Export Sales'!J8/1000</f>
        <v>100</v>
      </c>
      <c r="L25" s="46">
        <f>'Co. 1_2 Export Sales'!AE8/1000</f>
        <v>0</v>
      </c>
      <c r="M25" s="46">
        <f>'Co. 1_2 Export Sales'!AF8/1000</f>
        <v>0</v>
      </c>
      <c r="N25" s="46">
        <f>'Co. 1_2 Export Sales'!AG8/1000</f>
        <v>0</v>
      </c>
      <c r="O25" s="46">
        <f>'Co. 1_2 Export Sales'!AH8/1000</f>
        <v>0</v>
      </c>
      <c r="P25" s="46">
        <f>'Co. 1_2 Export Sales'!AI8/1000</f>
        <v>0</v>
      </c>
      <c r="Q25" s="46">
        <f>'Co. 1_2 Export Sales'!AJ8/1000</f>
        <v>2</v>
      </c>
      <c r="R25" s="46">
        <f>'Co. 1_2 Export Sales'!AK8/1000</f>
        <v>2</v>
      </c>
      <c r="S25" s="46">
        <f>'Co. 1_2 Export Sales'!AL8/1000</f>
        <v>2</v>
      </c>
      <c r="T25" s="46">
        <f>'Co. 1_2 Export Sales'!AM8/1000</f>
        <v>3</v>
      </c>
      <c r="U25" s="46">
        <f>'Co. 1_2 Export Sales'!AN8/1000</f>
        <v>3</v>
      </c>
      <c r="V25" s="46">
        <f>'Co. 1_2 Export Sales'!AO8/1000</f>
        <v>4</v>
      </c>
      <c r="W25" s="46">
        <f>'Co. 1_2 Export Sales'!AP8/1000</f>
        <v>4</v>
      </c>
    </row>
    <row r="26" spans="2:23">
      <c r="B26" s="45" t="s">
        <v>245</v>
      </c>
      <c r="C26" s="46">
        <v>54.728430000000003</v>
      </c>
      <c r="D26" s="46">
        <v>60</v>
      </c>
      <c r="E26" s="46">
        <v>31.812060000000002</v>
      </c>
      <c r="F26" s="46">
        <f>'Co. 1_2 Export Sales'!H9/1000</f>
        <v>32</v>
      </c>
      <c r="G26" s="46">
        <f>'Co. 1_2 Export Sales'!I9/1000</f>
        <v>36</v>
      </c>
      <c r="H26" s="46">
        <f>'Co. 1_2 Export Sales'!J9/1000</f>
        <v>40</v>
      </c>
      <c r="L26" s="46">
        <f>'Co. 1_2 Export Sales'!AE9/1000</f>
        <v>2.56</v>
      </c>
      <c r="M26" s="46">
        <f>'Co. 1_2 Export Sales'!AF9/1000</f>
        <v>2.56</v>
      </c>
      <c r="N26" s="46">
        <f>'Co. 1_2 Export Sales'!AG9/1000</f>
        <v>2.88</v>
      </c>
      <c r="O26" s="46">
        <f>'Co. 1_2 Export Sales'!AH9/1000</f>
        <v>2.88</v>
      </c>
      <c r="P26" s="46">
        <f>'Co. 1_2 Export Sales'!AI9/1000</f>
        <v>2.88</v>
      </c>
      <c r="Q26" s="46">
        <f>'Co. 1_2 Export Sales'!AJ9/1000</f>
        <v>2.4</v>
      </c>
      <c r="R26" s="46">
        <f>'Co. 1_2 Export Sales'!AK9/1000</f>
        <v>2.2400000000000002</v>
      </c>
      <c r="S26" s="46">
        <f>'Co. 1_2 Export Sales'!AL9/1000</f>
        <v>1.92</v>
      </c>
      <c r="T26" s="46">
        <f>'Co. 1_2 Export Sales'!AM9/1000</f>
        <v>3.04</v>
      </c>
      <c r="U26" s="46">
        <f>'Co. 1_2 Export Sales'!AN9/1000</f>
        <v>3.36</v>
      </c>
      <c r="V26" s="46">
        <f>'Co. 1_2 Export Sales'!AO9/1000</f>
        <v>2.88</v>
      </c>
      <c r="W26" s="46">
        <f>'Co. 1_2 Export Sales'!AP9/1000</f>
        <v>2.4</v>
      </c>
    </row>
    <row r="27" spans="2:23">
      <c r="B27" s="47" t="s">
        <v>100</v>
      </c>
      <c r="C27" s="48">
        <f t="shared" ref="C27:H27" si="6">SUM(C20:C26)</f>
        <v>1528.2451000000001</v>
      </c>
      <c r="D27" s="48">
        <f t="shared" si="6"/>
        <v>1825</v>
      </c>
      <c r="E27" s="48">
        <f t="shared" si="6"/>
        <v>1817.5264900000002</v>
      </c>
      <c r="F27" s="48">
        <f t="shared" si="6"/>
        <v>1944.5</v>
      </c>
      <c r="G27" s="48">
        <f t="shared" si="6"/>
        <v>2116</v>
      </c>
      <c r="H27" s="48">
        <f t="shared" si="6"/>
        <v>2360</v>
      </c>
      <c r="L27" s="48">
        <f t="shared" ref="L27:W27" si="7">SUM(L20:L26)</f>
        <v>80.260000000000019</v>
      </c>
      <c r="M27" s="48">
        <f t="shared" si="7"/>
        <v>245.38499999999999</v>
      </c>
      <c r="N27" s="48">
        <f t="shared" si="7"/>
        <v>165.32999999999998</v>
      </c>
      <c r="O27" s="48">
        <f t="shared" si="7"/>
        <v>85.454999999999998</v>
      </c>
      <c r="P27" s="48">
        <f t="shared" si="7"/>
        <v>235.05500000000001</v>
      </c>
      <c r="Q27" s="48">
        <f t="shared" si="7"/>
        <v>161.4</v>
      </c>
      <c r="R27" s="48">
        <f t="shared" si="7"/>
        <v>60.44</v>
      </c>
      <c r="S27" s="48">
        <f t="shared" si="7"/>
        <v>217.86999999999998</v>
      </c>
      <c r="T27" s="48">
        <f t="shared" si="7"/>
        <v>84.314999999999998</v>
      </c>
      <c r="U27" s="48">
        <f t="shared" si="7"/>
        <v>194.21000000000004</v>
      </c>
      <c r="V27" s="48">
        <f t="shared" si="7"/>
        <v>256.255</v>
      </c>
      <c r="W27" s="48">
        <f t="shared" si="7"/>
        <v>158.52500000000001</v>
      </c>
    </row>
    <row r="28" spans="2:23">
      <c r="B28" s="49"/>
      <c r="C28" s="50"/>
      <c r="D28" s="50"/>
      <c r="E28" s="50"/>
    </row>
    <row r="29" spans="2:23" ht="15.75" thickBot="1">
      <c r="B29" s="52" t="s">
        <v>246</v>
      </c>
      <c r="C29" s="53">
        <f t="shared" ref="C29:H29" si="8">SUM(C10,C14,C18,C27)</f>
        <v>9567.1810932792014</v>
      </c>
      <c r="D29" s="53">
        <f t="shared" si="8"/>
        <v>11030</v>
      </c>
      <c r="E29" s="53">
        <f t="shared" si="8"/>
        <v>10231.146836</v>
      </c>
      <c r="F29" s="53">
        <f t="shared" si="8"/>
        <v>11282.017000000002</v>
      </c>
      <c r="G29" s="53">
        <f t="shared" si="8"/>
        <v>12587.352099999998</v>
      </c>
      <c r="H29" s="53">
        <f t="shared" si="8"/>
        <v>13991.300020000001</v>
      </c>
      <c r="L29" s="53">
        <f t="shared" ref="L29:W29" si="9">SUM(L10,L14,L18,L27)</f>
        <v>677.90561000000002</v>
      </c>
      <c r="M29" s="53">
        <f t="shared" si="9"/>
        <v>963.16636000000005</v>
      </c>
      <c r="N29" s="53">
        <f t="shared" si="9"/>
        <v>1038.18228</v>
      </c>
      <c r="O29" s="53">
        <f t="shared" si="9"/>
        <v>851.15365500000007</v>
      </c>
      <c r="P29" s="53">
        <f t="shared" si="9"/>
        <v>1036.47153</v>
      </c>
      <c r="Q29" s="53">
        <f t="shared" si="9"/>
        <v>925.79786000000001</v>
      </c>
      <c r="R29" s="53">
        <f t="shared" si="9"/>
        <v>822.75435999999991</v>
      </c>
      <c r="S29" s="53">
        <f t="shared" si="9"/>
        <v>852.79889500000002</v>
      </c>
      <c r="T29" s="53">
        <f t="shared" si="9"/>
        <v>972.23290500000007</v>
      </c>
      <c r="U29" s="53">
        <f t="shared" si="9"/>
        <v>1178.7452000000001</v>
      </c>
      <c r="V29" s="53">
        <f t="shared" si="9"/>
        <v>1119.3536549999999</v>
      </c>
      <c r="W29" s="53">
        <f t="shared" si="9"/>
        <v>843.45468999999991</v>
      </c>
    </row>
    <row r="30" spans="2:23">
      <c r="B30" s="49"/>
      <c r="C30" s="50"/>
      <c r="D30" s="50"/>
      <c r="E30" s="50"/>
    </row>
    <row r="31" spans="2:23">
      <c r="B31" t="s">
        <v>247</v>
      </c>
      <c r="C31" s="46">
        <v>227.20375000000004</v>
      </c>
      <c r="D31" s="46">
        <v>1000</v>
      </c>
      <c r="E31" s="46">
        <v>500.90406999999993</v>
      </c>
      <c r="F31" s="46">
        <f>'Co. 1_2 Export Sales'!H12/1000</f>
        <v>800</v>
      </c>
      <c r="G31" s="46">
        <f>'Co. 1_2 Export Sales'!I12/1000</f>
        <v>1200</v>
      </c>
      <c r="H31" s="46">
        <f>'Co. 1_2 Export Sales'!J12/1000</f>
        <v>1600</v>
      </c>
      <c r="L31" s="46">
        <f>'Co. 1_2 Export Sales'!AE12/1000</f>
        <v>24</v>
      </c>
      <c r="M31" s="46">
        <f>'Co. 1_2 Export Sales'!AF12/1000</f>
        <v>24</v>
      </c>
      <c r="N31" s="46">
        <f>'Co. 1_2 Export Sales'!AG12/1000</f>
        <v>26.4</v>
      </c>
      <c r="O31" s="46">
        <f>'Co. 1_2 Export Sales'!AH12/1000</f>
        <v>34.4</v>
      </c>
      <c r="P31" s="46">
        <f>'Co. 1_2 Export Sales'!AI12/1000</f>
        <v>64</v>
      </c>
      <c r="Q31" s="46">
        <f>'Co. 1_2 Export Sales'!AJ12/1000</f>
        <v>48</v>
      </c>
      <c r="R31" s="46">
        <f>'Co. 1_2 Export Sales'!AK12/1000</f>
        <v>48</v>
      </c>
      <c r="S31" s="46">
        <f>'Co. 1_2 Export Sales'!AL12/1000</f>
        <v>48</v>
      </c>
      <c r="T31" s="46">
        <f>'Co. 1_2 Export Sales'!AM12/1000</f>
        <v>200</v>
      </c>
      <c r="U31" s="46">
        <f>'Co. 1_2 Export Sales'!AN12/1000</f>
        <v>120</v>
      </c>
      <c r="V31" s="46">
        <f>'Co. 1_2 Export Sales'!AO12/1000</f>
        <v>80</v>
      </c>
      <c r="W31" s="46">
        <f>'Co. 1_2 Export Sales'!AP12/1000</f>
        <v>80</v>
      </c>
    </row>
    <row r="32" spans="2:23">
      <c r="B32" t="s">
        <v>248</v>
      </c>
      <c r="C32" s="46">
        <v>0</v>
      </c>
      <c r="D32" s="46">
        <v>600</v>
      </c>
      <c r="E32" s="46">
        <v>105.64609</v>
      </c>
      <c r="F32" s="46">
        <f>'Co. 1_2 Export Sales'!H13/1000</f>
        <v>200</v>
      </c>
      <c r="G32" s="46">
        <f>'Co. 1_2 Export Sales'!I13/1000</f>
        <v>300</v>
      </c>
      <c r="H32" s="46">
        <f>'Co. 1_2 Export Sales'!J13/1000</f>
        <v>500</v>
      </c>
      <c r="L32" s="46">
        <f>'Co. 1_2 Export Sales'!AE13/1000</f>
        <v>18</v>
      </c>
      <c r="M32" s="46">
        <f>'Co. 1_2 Export Sales'!AF13/1000</f>
        <v>18</v>
      </c>
      <c r="N32" s="46">
        <f>'Co. 1_2 Export Sales'!AG13/1000</f>
        <v>18</v>
      </c>
      <c r="O32" s="46">
        <f>'Co. 1_2 Export Sales'!AH13/1000</f>
        <v>18</v>
      </c>
      <c r="P32" s="46">
        <f>'Co. 1_2 Export Sales'!AI13/1000</f>
        <v>12</v>
      </c>
      <c r="Q32" s="46">
        <f>'Co. 1_2 Export Sales'!AJ13/1000</f>
        <v>20</v>
      </c>
      <c r="R32" s="46">
        <f>'Co. 1_2 Export Sales'!AK13/1000</f>
        <v>8</v>
      </c>
      <c r="S32" s="46">
        <f>'Co. 1_2 Export Sales'!AL13/1000</f>
        <v>8</v>
      </c>
      <c r="T32" s="46">
        <f>'Co. 1_2 Export Sales'!AM13/1000</f>
        <v>16</v>
      </c>
      <c r="U32" s="46">
        <f>'Co. 1_2 Export Sales'!AN13/1000</f>
        <v>24</v>
      </c>
      <c r="V32" s="46">
        <f>'Co. 1_2 Export Sales'!AO13/1000</f>
        <v>20</v>
      </c>
      <c r="W32" s="46">
        <f>'Co. 1_2 Export Sales'!AP13/1000</f>
        <v>20</v>
      </c>
    </row>
    <row r="33" spans="2:23">
      <c r="B33" t="s">
        <v>249</v>
      </c>
      <c r="C33" s="46">
        <v>0</v>
      </c>
      <c r="D33" s="46">
        <v>200</v>
      </c>
      <c r="E33" s="46">
        <v>0</v>
      </c>
      <c r="F33" s="46">
        <f>'Co. 1_2 Export Sales'!H14/1000</f>
        <v>145</v>
      </c>
      <c r="G33" s="46">
        <f>'Co. 1_2 Export Sales'!I14/1000</f>
        <v>225</v>
      </c>
      <c r="H33" s="46">
        <f>'Co. 1_2 Export Sales'!J14/1000</f>
        <v>375</v>
      </c>
      <c r="L33" s="46">
        <f>'Co. 1_2 Export Sales'!AE14/1000</f>
        <v>0</v>
      </c>
      <c r="M33" s="46">
        <f>'Co. 1_2 Export Sales'!AF14/1000</f>
        <v>0</v>
      </c>
      <c r="N33" s="46">
        <f>'Co. 1_2 Export Sales'!AG14/1000</f>
        <v>0</v>
      </c>
      <c r="O33" s="46">
        <f>'Co. 1_2 Export Sales'!AH14/1000</f>
        <v>0</v>
      </c>
      <c r="P33" s="46">
        <f>'Co. 1_2 Export Sales'!AI14/1000</f>
        <v>0</v>
      </c>
      <c r="Q33" s="46">
        <f>'Co. 1_2 Export Sales'!AJ14/1000</f>
        <v>14.5</v>
      </c>
      <c r="R33" s="46">
        <f>'Co. 1_2 Export Sales'!AK14/1000</f>
        <v>14.5</v>
      </c>
      <c r="S33" s="46">
        <f>'Co. 1_2 Export Sales'!AL14/1000</f>
        <v>14.5</v>
      </c>
      <c r="T33" s="46">
        <f>'Co. 1_2 Export Sales'!AM14/1000</f>
        <v>21.75</v>
      </c>
      <c r="U33" s="46">
        <f>'Co. 1_2 Export Sales'!AN14/1000</f>
        <v>21.75</v>
      </c>
      <c r="V33" s="46">
        <f>'Co. 1_2 Export Sales'!AO14/1000</f>
        <v>29</v>
      </c>
      <c r="W33" s="46">
        <f>'Co. 1_2 Export Sales'!AP14/1000</f>
        <v>29</v>
      </c>
    </row>
    <row r="34" spans="2:23">
      <c r="B34" s="49"/>
      <c r="C34" s="50"/>
      <c r="D34" s="50"/>
      <c r="E34" s="50"/>
      <c r="F34" s="50"/>
      <c r="G34" s="50"/>
      <c r="H34" s="50"/>
    </row>
    <row r="35" spans="2:23" ht="15.75" thickBot="1">
      <c r="B35" s="52" t="s">
        <v>250</v>
      </c>
      <c r="C35" s="53">
        <f t="shared" ref="C35:H35" si="10">SUM(C31:C33)</f>
        <v>227.20375000000004</v>
      </c>
      <c r="D35" s="53">
        <f t="shared" si="10"/>
        <v>1800</v>
      </c>
      <c r="E35" s="53">
        <f t="shared" si="10"/>
        <v>606.55015999999989</v>
      </c>
      <c r="F35" s="53">
        <f t="shared" si="10"/>
        <v>1145</v>
      </c>
      <c r="G35" s="53">
        <f t="shared" si="10"/>
        <v>1725</v>
      </c>
      <c r="H35" s="53">
        <f t="shared" si="10"/>
        <v>2475</v>
      </c>
      <c r="L35" s="53">
        <f t="shared" ref="L35:W35" si="11">SUM(L31:L33)</f>
        <v>42</v>
      </c>
      <c r="M35" s="53">
        <f t="shared" si="11"/>
        <v>42</v>
      </c>
      <c r="N35" s="53">
        <f t="shared" si="11"/>
        <v>44.4</v>
      </c>
      <c r="O35" s="53">
        <f t="shared" si="11"/>
        <v>52.4</v>
      </c>
      <c r="P35" s="53">
        <f t="shared" si="11"/>
        <v>76</v>
      </c>
      <c r="Q35" s="53">
        <f t="shared" si="11"/>
        <v>82.5</v>
      </c>
      <c r="R35" s="53">
        <f t="shared" si="11"/>
        <v>70.5</v>
      </c>
      <c r="S35" s="53">
        <f t="shared" si="11"/>
        <v>70.5</v>
      </c>
      <c r="T35" s="53">
        <f t="shared" si="11"/>
        <v>237.75</v>
      </c>
      <c r="U35" s="53">
        <f t="shared" si="11"/>
        <v>165.75</v>
      </c>
      <c r="V35" s="53">
        <f t="shared" si="11"/>
        <v>129</v>
      </c>
      <c r="W35" s="53">
        <f t="shared" si="11"/>
        <v>129</v>
      </c>
    </row>
    <row r="36" spans="2:23">
      <c r="B36" s="49"/>
      <c r="C36" s="50"/>
      <c r="D36" s="50"/>
      <c r="E36" s="50"/>
    </row>
    <row r="37" spans="2:23">
      <c r="B37" t="s">
        <v>251</v>
      </c>
      <c r="C37" s="46">
        <v>394.85068254782402</v>
      </c>
      <c r="D37" s="46">
        <v>800</v>
      </c>
      <c r="E37" s="46">
        <v>660.48169199999995</v>
      </c>
      <c r="F37" s="46">
        <f>'Co. 3 eComm Sales'!T60</f>
        <v>748</v>
      </c>
      <c r="G37" s="46">
        <f>F37*1.1</f>
        <v>822.80000000000007</v>
      </c>
      <c r="H37" s="46">
        <f>G37*1.08</f>
        <v>888.62400000000014</v>
      </c>
      <c r="L37" s="46">
        <f>'Co. 3 eComm Sales'!G60</f>
        <v>68</v>
      </c>
      <c r="M37" s="46">
        <f>'Co. 3 eComm Sales'!H60</f>
        <v>64</v>
      </c>
      <c r="N37" s="46">
        <f>'Co. 3 eComm Sales'!I60</f>
        <v>61</v>
      </c>
      <c r="O37" s="46">
        <f>'Co. 3 eComm Sales'!J60</f>
        <v>48</v>
      </c>
      <c r="P37" s="46">
        <f>'Co. 3 eComm Sales'!K60</f>
        <v>56</v>
      </c>
      <c r="Q37" s="46">
        <f>'Co. 3 eComm Sales'!L60</f>
        <v>50</v>
      </c>
      <c r="R37" s="46">
        <f>'Co. 3 eComm Sales'!M60</f>
        <v>53</v>
      </c>
      <c r="S37" s="46">
        <f>'Co. 3 eComm Sales'!N60</f>
        <v>54</v>
      </c>
      <c r="T37" s="46">
        <f>'Co. 3 eComm Sales'!O60</f>
        <v>58</v>
      </c>
      <c r="U37" s="46">
        <f>'Co. 3 eComm Sales'!P60</f>
        <v>66</v>
      </c>
      <c r="V37" s="46">
        <f>'Co. 3 eComm Sales'!Q60</f>
        <v>90</v>
      </c>
      <c r="W37" s="46">
        <f>'Co. 3 eComm Sales'!R60</f>
        <v>80</v>
      </c>
    </row>
    <row r="38" spans="2:23">
      <c r="B38" t="s">
        <v>252</v>
      </c>
      <c r="C38" s="46">
        <v>306.28693608745948</v>
      </c>
      <c r="D38" s="46">
        <v>338.14843261491563</v>
      </c>
      <c r="E38" s="46">
        <v>396.49359879999997</v>
      </c>
      <c r="F38" s="46">
        <f>'Co. 3 eComm Sales'!T28</f>
        <v>406</v>
      </c>
      <c r="G38" s="46">
        <f>F38*1.1</f>
        <v>446.6</v>
      </c>
      <c r="H38" s="46">
        <f t="shared" ref="H38:H39" si="12">G38*1.08</f>
        <v>482.32800000000003</v>
      </c>
      <c r="L38" s="46">
        <f>'Co. 3 eComm Sales'!G28</f>
        <v>31</v>
      </c>
      <c r="M38" s="46">
        <f>'Co. 3 eComm Sales'!H28</f>
        <v>31</v>
      </c>
      <c r="N38" s="46">
        <f>'Co. 3 eComm Sales'!I28</f>
        <v>34</v>
      </c>
      <c r="O38" s="46">
        <f>'Co. 3 eComm Sales'!J28</f>
        <v>32</v>
      </c>
      <c r="P38" s="46">
        <f>'Co. 3 eComm Sales'!K28</f>
        <v>34</v>
      </c>
      <c r="Q38" s="46">
        <f>'Co. 3 eComm Sales'!L28</f>
        <v>33</v>
      </c>
      <c r="R38" s="46">
        <f>'Co. 3 eComm Sales'!M28</f>
        <v>34</v>
      </c>
      <c r="S38" s="46">
        <f>'Co. 3 eComm Sales'!N28</f>
        <v>31</v>
      </c>
      <c r="T38" s="46">
        <f>'Co. 3 eComm Sales'!O28</f>
        <v>35</v>
      </c>
      <c r="U38" s="46">
        <f>'Co. 3 eComm Sales'!P28</f>
        <v>35</v>
      </c>
      <c r="V38" s="46">
        <f>'Co. 3 eComm Sales'!Q28</f>
        <v>36</v>
      </c>
      <c r="W38" s="46">
        <f>'Co. 3 eComm Sales'!R28</f>
        <v>40</v>
      </c>
    </row>
    <row r="39" spans="2:23">
      <c r="B39" t="s">
        <v>137</v>
      </c>
      <c r="C39" s="46">
        <v>20.505599999999998</v>
      </c>
      <c r="D39" s="46">
        <v>57.713886811179577</v>
      </c>
      <c r="E39" s="46">
        <v>105.87025999999999</v>
      </c>
      <c r="F39" s="46">
        <f>'Co. 3 eComm Sales'!T42</f>
        <v>110</v>
      </c>
      <c r="G39" s="46">
        <f>F39*1.1</f>
        <v>121.00000000000001</v>
      </c>
      <c r="H39" s="46">
        <f t="shared" si="12"/>
        <v>130.68000000000004</v>
      </c>
      <c r="L39" s="46">
        <f>'Co. 3 eComm Sales'!G42</f>
        <v>6</v>
      </c>
      <c r="M39" s="46">
        <f>'Co. 3 eComm Sales'!H42</f>
        <v>11</v>
      </c>
      <c r="N39" s="46">
        <f>'Co. 3 eComm Sales'!I42</f>
        <v>9</v>
      </c>
      <c r="O39" s="46">
        <f>'Co. 3 eComm Sales'!J42</f>
        <v>4</v>
      </c>
      <c r="P39" s="46">
        <f>'Co. 3 eComm Sales'!K42</f>
        <v>10</v>
      </c>
      <c r="Q39" s="46">
        <f>'Co. 3 eComm Sales'!L42</f>
        <v>8</v>
      </c>
      <c r="R39" s="46">
        <f>'Co. 3 eComm Sales'!M42</f>
        <v>10</v>
      </c>
      <c r="S39" s="46">
        <f>'Co. 3 eComm Sales'!N42</f>
        <v>12</v>
      </c>
      <c r="T39" s="46">
        <f>'Co. 3 eComm Sales'!O42</f>
        <v>10</v>
      </c>
      <c r="U39" s="46">
        <f>'Co. 3 eComm Sales'!P42</f>
        <v>10</v>
      </c>
      <c r="V39" s="46">
        <f>'Co. 3 eComm Sales'!Q42</f>
        <v>11</v>
      </c>
      <c r="W39" s="46">
        <f>'Co. 3 eComm Sales'!R42</f>
        <v>11</v>
      </c>
    </row>
    <row r="40" spans="2:23">
      <c r="B40" t="s">
        <v>253</v>
      </c>
      <c r="C40" s="46">
        <v>16.666325470512</v>
      </c>
      <c r="D40" s="46">
        <v>30</v>
      </c>
      <c r="E40" s="46">
        <v>34.981104799999997</v>
      </c>
      <c r="F40" s="46">
        <f>E40</f>
        <v>34.981104799999997</v>
      </c>
      <c r="G40" s="46">
        <f>F40</f>
        <v>34.981104799999997</v>
      </c>
      <c r="H40" s="46">
        <f>G40</f>
        <v>34.981104799999997</v>
      </c>
      <c r="L40" s="46">
        <f>$F40/12</f>
        <v>2.9150920666666664</v>
      </c>
      <c r="M40" s="46">
        <f t="shared" ref="M40:W40" si="13">$F40/12</f>
        <v>2.9150920666666664</v>
      </c>
      <c r="N40" s="46">
        <f t="shared" si="13"/>
        <v>2.9150920666666664</v>
      </c>
      <c r="O40" s="46">
        <f t="shared" si="13"/>
        <v>2.9150920666666664</v>
      </c>
      <c r="P40" s="46">
        <f t="shared" si="13"/>
        <v>2.9150920666666664</v>
      </c>
      <c r="Q40" s="46">
        <f t="shared" si="13"/>
        <v>2.9150920666666664</v>
      </c>
      <c r="R40" s="46">
        <f t="shared" si="13"/>
        <v>2.9150920666666664</v>
      </c>
      <c r="S40" s="46">
        <f t="shared" si="13"/>
        <v>2.9150920666666664</v>
      </c>
      <c r="T40" s="46">
        <f t="shared" si="13"/>
        <v>2.9150920666666664</v>
      </c>
      <c r="U40" s="46">
        <f t="shared" si="13"/>
        <v>2.9150920666666664</v>
      </c>
      <c r="V40" s="46">
        <f t="shared" si="13"/>
        <v>2.9150920666666664</v>
      </c>
      <c r="W40" s="46">
        <f t="shared" si="13"/>
        <v>2.9150920666666664</v>
      </c>
    </row>
    <row r="41" spans="2:23">
      <c r="B41" s="49"/>
      <c r="C41" s="50"/>
      <c r="D41" s="50"/>
      <c r="E41" s="50"/>
    </row>
    <row r="42" spans="2:23" ht="15.75" thickBot="1">
      <c r="B42" s="52" t="s">
        <v>254</v>
      </c>
      <c r="C42" s="53">
        <f t="shared" ref="C42:H42" si="14">SUM(C37:C40)</f>
        <v>738.30954410579545</v>
      </c>
      <c r="D42" s="53">
        <f t="shared" si="14"/>
        <v>1225.8623194260954</v>
      </c>
      <c r="E42" s="53">
        <f t="shared" si="14"/>
        <v>1197.8266555999999</v>
      </c>
      <c r="F42" s="53">
        <f t="shared" si="14"/>
        <v>1298.9811047999999</v>
      </c>
      <c r="G42" s="53">
        <f t="shared" si="14"/>
        <v>1425.3811048</v>
      </c>
      <c r="H42" s="53">
        <f t="shared" si="14"/>
        <v>1536.6131048000002</v>
      </c>
      <c r="L42" s="53">
        <f t="shared" ref="L42:W42" si="15">SUM(L37:L40)</f>
        <v>107.91509206666666</v>
      </c>
      <c r="M42" s="53">
        <f t="shared" si="15"/>
        <v>108.91509206666666</v>
      </c>
      <c r="N42" s="53">
        <f t="shared" si="15"/>
        <v>106.91509206666666</v>
      </c>
      <c r="O42" s="53">
        <f t="shared" si="15"/>
        <v>86.915092066666659</v>
      </c>
      <c r="P42" s="53">
        <f t="shared" si="15"/>
        <v>102.91509206666666</v>
      </c>
      <c r="Q42" s="53">
        <f t="shared" si="15"/>
        <v>93.915092066666659</v>
      </c>
      <c r="R42" s="53">
        <f t="shared" si="15"/>
        <v>99.915092066666659</v>
      </c>
      <c r="S42" s="53">
        <f t="shared" si="15"/>
        <v>99.915092066666659</v>
      </c>
      <c r="T42" s="53">
        <f t="shared" si="15"/>
        <v>105.91509206666666</v>
      </c>
      <c r="U42" s="53">
        <f t="shared" si="15"/>
        <v>113.91509206666666</v>
      </c>
      <c r="V42" s="53">
        <f t="shared" si="15"/>
        <v>139.91509206666666</v>
      </c>
      <c r="W42" s="53">
        <f t="shared" si="15"/>
        <v>133.91509206666666</v>
      </c>
    </row>
    <row r="43" spans="2:23">
      <c r="B43" s="49"/>
      <c r="C43" s="50"/>
      <c r="D43" s="50"/>
      <c r="E43" s="50"/>
      <c r="F43" s="50"/>
      <c r="G43" s="50"/>
      <c r="H43" s="50"/>
    </row>
    <row r="44" spans="2:23" ht="16.5" thickBot="1">
      <c r="B44" s="54" t="s">
        <v>255</v>
      </c>
      <c r="C44" s="55">
        <f t="shared" ref="C44:H44" si="16">SUM(C29,C35,C42)</f>
        <v>10532.694387384998</v>
      </c>
      <c r="D44" s="55">
        <f t="shared" si="16"/>
        <v>14055.862319426094</v>
      </c>
      <c r="E44" s="55">
        <f t="shared" si="16"/>
        <v>12035.5236516</v>
      </c>
      <c r="F44" s="55">
        <f t="shared" si="16"/>
        <v>13725.998104800001</v>
      </c>
      <c r="G44" s="55">
        <f t="shared" si="16"/>
        <v>15737.733204799999</v>
      </c>
      <c r="H44" s="55">
        <f t="shared" si="16"/>
        <v>18002.913124800001</v>
      </c>
      <c r="L44" s="55">
        <f t="shared" ref="L44:W44" si="17">SUM(L29,L35,L42)</f>
        <v>827.82070206666663</v>
      </c>
      <c r="M44" s="55">
        <f t="shared" si="17"/>
        <v>1114.0814520666668</v>
      </c>
      <c r="N44" s="55">
        <f t="shared" si="17"/>
        <v>1189.4973720666667</v>
      </c>
      <c r="O44" s="55">
        <f t="shared" si="17"/>
        <v>990.46874706666677</v>
      </c>
      <c r="P44" s="55">
        <f t="shared" si="17"/>
        <v>1215.3866220666666</v>
      </c>
      <c r="Q44" s="55">
        <f t="shared" si="17"/>
        <v>1102.2129520666667</v>
      </c>
      <c r="R44" s="55">
        <f t="shared" si="17"/>
        <v>993.16945206666651</v>
      </c>
      <c r="S44" s="55">
        <f t="shared" si="17"/>
        <v>1023.2139870666667</v>
      </c>
      <c r="T44" s="55">
        <f t="shared" si="17"/>
        <v>1315.8979970666667</v>
      </c>
      <c r="U44" s="55">
        <f t="shared" si="17"/>
        <v>1458.4102920666667</v>
      </c>
      <c r="V44" s="55">
        <f t="shared" si="17"/>
        <v>1388.2687470666665</v>
      </c>
      <c r="W44" s="55">
        <f t="shared" si="17"/>
        <v>1106.3697820666666</v>
      </c>
    </row>
    <row r="46" spans="2:23">
      <c r="L46" s="10">
        <f>(L44-L31) /($F$44-$F$31)</f>
        <v>6.2186354628055537E-2</v>
      </c>
      <c r="M46" s="10">
        <f t="shared" ref="M46:W46" si="18">(M44-M31) /($F$44-$F$31)</f>
        <v>8.4332478097909572E-2</v>
      </c>
      <c r="N46" s="10">
        <f t="shared" si="18"/>
        <v>8.9981242658140004E-2</v>
      </c>
      <c r="O46" s="10">
        <f t="shared" si="18"/>
        <v>7.3964790905518982E-2</v>
      </c>
      <c r="P46" s="10">
        <f t="shared" si="18"/>
        <v>8.9075258462176732E-2</v>
      </c>
      <c r="Q46" s="10">
        <f t="shared" si="18"/>
        <v>8.1557566659025763E-2</v>
      </c>
      <c r="R46" s="10">
        <f t="shared" si="18"/>
        <v>7.3121583679923552E-2</v>
      </c>
      <c r="S46" s="10">
        <f t="shared" si="18"/>
        <v>7.5445933007256605E-2</v>
      </c>
      <c r="T46" s="10">
        <f t="shared" si="18"/>
        <v>8.6329735469501873E-2</v>
      </c>
      <c r="U46" s="10">
        <f t="shared" si="18"/>
        <v>0.10354405758187873</v>
      </c>
      <c r="V46" s="10">
        <f t="shared" si="18"/>
        <v>0.10121220322482083</v>
      </c>
      <c r="W46" s="10">
        <f t="shared" si="18"/>
        <v>7.9403522555486813E-2</v>
      </c>
    </row>
  </sheetData>
  <pageMargins left="0.7" right="0.7" top="0.75" bottom="0.75" header="0.3" footer="0.3"/>
  <pageSetup paperSize="9" scale="97" orientation="portrait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5568-B6F7-4022-9F58-24828A3A2139}">
  <sheetPr>
    <tabColor rgb="FF92D050"/>
  </sheetPr>
  <dimension ref="B2:AJ69"/>
  <sheetViews>
    <sheetView showGridLines="0" topLeftCell="S38" zoomScaleNormal="100" workbookViewId="0">
      <selection activeCell="Y38" sqref="Y38:AJ38"/>
    </sheetView>
  </sheetViews>
  <sheetFormatPr defaultColWidth="8.85546875" defaultRowHeight="15"/>
  <cols>
    <col min="1" max="1" width="3.28515625" customWidth="1"/>
    <col min="2" max="2" width="18.85546875" bestFit="1" customWidth="1"/>
    <col min="3" max="7" width="15.140625" customWidth="1"/>
    <col min="8" max="8" width="13.42578125" customWidth="1"/>
    <col min="9" max="9" width="1.7109375" customWidth="1"/>
    <col min="10" max="14" width="15.140625" customWidth="1"/>
    <col min="15" max="15" width="13.42578125" customWidth="1"/>
    <col min="16" max="18" width="15.140625" customWidth="1"/>
    <col min="21" max="21" width="10.42578125" bestFit="1" customWidth="1"/>
    <col min="24" max="24" width="13.42578125" bestFit="1" customWidth="1"/>
    <col min="25" max="25" width="9.5703125" bestFit="1" customWidth="1"/>
  </cols>
  <sheetData>
    <row r="2" spans="2:36">
      <c r="B2" s="12" t="s">
        <v>228</v>
      </c>
      <c r="X2" t="s">
        <v>325</v>
      </c>
      <c r="Y2" s="141">
        <v>7.0000000000000007E-2</v>
      </c>
      <c r="Z2" s="141">
        <v>0.08</v>
      </c>
      <c r="AA2" s="141">
        <v>0.1</v>
      </c>
      <c r="AB2" s="141">
        <v>8.5000000000000006E-2</v>
      </c>
      <c r="AC2" s="141">
        <v>0.09</v>
      </c>
      <c r="AD2" s="141">
        <v>0.08</v>
      </c>
      <c r="AE2" s="141">
        <v>0.08</v>
      </c>
      <c r="AF2" s="141">
        <v>6.5000000000000002E-2</v>
      </c>
      <c r="AG2" s="141">
        <v>9.5000000000000001E-2</v>
      </c>
      <c r="AH2" s="141">
        <v>0.1</v>
      </c>
      <c r="AI2" s="141">
        <v>8.5000000000000006E-2</v>
      </c>
      <c r="AJ2" s="141">
        <v>7.0000000000000007E-2</v>
      </c>
    </row>
    <row r="3" spans="2:36">
      <c r="C3" s="236">
        <v>2025</v>
      </c>
      <c r="D3" s="236"/>
      <c r="E3" s="236"/>
      <c r="F3" s="236"/>
      <c r="G3" s="236"/>
      <c r="H3" s="236"/>
      <c r="J3" s="236">
        <v>2026</v>
      </c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X3" t="s">
        <v>326</v>
      </c>
      <c r="Y3" s="141">
        <v>0</v>
      </c>
      <c r="Z3" s="141">
        <v>0.05</v>
      </c>
      <c r="AA3" s="141">
        <v>0.05</v>
      </c>
      <c r="AB3" s="141">
        <v>0.05</v>
      </c>
      <c r="AC3" s="141">
        <v>0.05</v>
      </c>
      <c r="AD3" s="141">
        <v>0.1</v>
      </c>
      <c r="AE3" s="141">
        <v>0.1</v>
      </c>
      <c r="AF3" s="141">
        <v>0.1</v>
      </c>
      <c r="AG3" s="141">
        <v>0.1</v>
      </c>
      <c r="AH3" s="141">
        <v>0.15</v>
      </c>
      <c r="AI3" s="141">
        <v>0.15</v>
      </c>
      <c r="AJ3" s="141">
        <v>0.1</v>
      </c>
    </row>
    <row r="4" spans="2:36" ht="45">
      <c r="C4" s="2" t="s">
        <v>327</v>
      </c>
      <c r="D4" s="2" t="s">
        <v>182</v>
      </c>
      <c r="E4" s="2" t="s">
        <v>328</v>
      </c>
      <c r="F4" s="2" t="s">
        <v>329</v>
      </c>
      <c r="G4" s="2" t="s">
        <v>330</v>
      </c>
      <c r="H4" s="2" t="s">
        <v>331</v>
      </c>
      <c r="J4" s="2" t="s">
        <v>327</v>
      </c>
      <c r="K4" s="2" t="s">
        <v>332</v>
      </c>
      <c r="L4" s="2" t="s">
        <v>333</v>
      </c>
      <c r="M4" s="2" t="s">
        <v>334</v>
      </c>
      <c r="N4" s="2" t="s">
        <v>335</v>
      </c>
      <c r="O4" s="2" t="s">
        <v>336</v>
      </c>
      <c r="P4" s="2" t="s">
        <v>337</v>
      </c>
      <c r="Q4" s="2" t="s">
        <v>338</v>
      </c>
      <c r="R4" s="2" t="s">
        <v>339</v>
      </c>
      <c r="S4" s="2" t="s">
        <v>340</v>
      </c>
      <c r="T4" s="2" t="s">
        <v>341</v>
      </c>
      <c r="U4" s="2" t="s">
        <v>255</v>
      </c>
      <c r="V4" s="2" t="s">
        <v>319</v>
      </c>
      <c r="Y4" s="183">
        <v>46023</v>
      </c>
      <c r="Z4" s="183">
        <v>46054</v>
      </c>
      <c r="AA4" s="183">
        <v>46082</v>
      </c>
      <c r="AB4" s="183">
        <v>46113</v>
      </c>
      <c r="AC4" s="183">
        <v>46143</v>
      </c>
      <c r="AD4" s="183">
        <v>46174</v>
      </c>
      <c r="AE4" s="183">
        <v>46204</v>
      </c>
      <c r="AF4" s="183">
        <v>46235</v>
      </c>
      <c r="AG4" s="183">
        <v>46266</v>
      </c>
      <c r="AH4" s="183">
        <v>46296</v>
      </c>
      <c r="AI4" s="183">
        <v>46327</v>
      </c>
      <c r="AJ4" s="183">
        <v>46357</v>
      </c>
    </row>
    <row r="5" spans="2:36">
      <c r="B5" t="s">
        <v>342</v>
      </c>
      <c r="C5">
        <v>19</v>
      </c>
      <c r="D5">
        <v>1</v>
      </c>
      <c r="E5" s="3">
        <v>600000</v>
      </c>
      <c r="F5" s="3">
        <v>50000</v>
      </c>
      <c r="G5" s="3">
        <f>SUM(E5:F5)</f>
        <v>650000</v>
      </c>
      <c r="H5" s="5">
        <f>E5/C5</f>
        <v>31578.947368421053</v>
      </c>
      <c r="J5">
        <f>C5</f>
        <v>19</v>
      </c>
      <c r="K5">
        <f>D5</f>
        <v>1</v>
      </c>
      <c r="L5">
        <v>3</v>
      </c>
      <c r="M5" s="9">
        <v>-0.03</v>
      </c>
      <c r="N5" s="9">
        <v>0.5</v>
      </c>
      <c r="O5" s="5">
        <f>H5*(1+M5)</f>
        <v>30631.57894736842</v>
      </c>
      <c r="P5" s="4">
        <f>(F5/D5)*(1+N5)</f>
        <v>75000</v>
      </c>
      <c r="Q5" s="3">
        <v>12000</v>
      </c>
      <c r="R5" s="4">
        <f>O5*J5</f>
        <v>582000</v>
      </c>
      <c r="S5" s="4">
        <f>P5*K5</f>
        <v>75000</v>
      </c>
      <c r="T5" s="4">
        <f>Q5*L5</f>
        <v>36000</v>
      </c>
      <c r="U5" s="4">
        <f>SUM(R5:T5)</f>
        <v>693000</v>
      </c>
      <c r="V5" s="10">
        <f>U5/G5-1</f>
        <v>6.615384615384623E-2</v>
      </c>
      <c r="Y5" s="186">
        <f>SUM($R5,$S5)*Y$2+$T5*Y$3</f>
        <v>45990.000000000007</v>
      </c>
      <c r="Z5" s="186">
        <f t="shared" ref="Z5:AJ11" si="0">SUM($R5,$S5)*Z$2+$T5*Z$3</f>
        <v>54360</v>
      </c>
      <c r="AA5" s="186">
        <f t="shared" si="0"/>
        <v>67500</v>
      </c>
      <c r="AB5" s="186">
        <f t="shared" si="0"/>
        <v>57645.000000000007</v>
      </c>
      <c r="AC5" s="186">
        <f t="shared" si="0"/>
        <v>60930</v>
      </c>
      <c r="AD5" s="186">
        <f t="shared" si="0"/>
        <v>56160</v>
      </c>
      <c r="AE5" s="186">
        <f t="shared" si="0"/>
        <v>56160</v>
      </c>
      <c r="AF5" s="186">
        <f t="shared" si="0"/>
        <v>46305</v>
      </c>
      <c r="AG5" s="186">
        <f t="shared" si="0"/>
        <v>66015</v>
      </c>
      <c r="AH5" s="186">
        <f t="shared" si="0"/>
        <v>71100</v>
      </c>
      <c r="AI5" s="186">
        <f t="shared" si="0"/>
        <v>61245.000000000007</v>
      </c>
      <c r="AJ5" s="186">
        <f t="shared" si="0"/>
        <v>49590.000000000007</v>
      </c>
    </row>
    <row r="6" spans="2:36">
      <c r="B6" t="s">
        <v>343</v>
      </c>
      <c r="C6">
        <v>13</v>
      </c>
      <c r="D6">
        <v>0</v>
      </c>
      <c r="E6" s="3">
        <v>260000</v>
      </c>
      <c r="F6" s="3">
        <v>0</v>
      </c>
      <c r="G6" s="3">
        <f t="shared" ref="G6:G11" si="1">SUM(E6:F6)</f>
        <v>260000</v>
      </c>
      <c r="H6" s="5">
        <f t="shared" ref="H6:H12" si="2">E6/C6</f>
        <v>20000</v>
      </c>
      <c r="J6">
        <f t="shared" ref="J6:K11" si="3">C6</f>
        <v>13</v>
      </c>
      <c r="K6">
        <f t="shared" si="3"/>
        <v>0</v>
      </c>
      <c r="L6">
        <v>6</v>
      </c>
      <c r="M6" s="9">
        <v>-0.03</v>
      </c>
      <c r="N6" s="9">
        <v>0.5</v>
      </c>
      <c r="O6" s="5">
        <f t="shared" ref="O6:O11" si="4">H6*(1+M6)</f>
        <v>19400</v>
      </c>
      <c r="P6" s="4">
        <v>0</v>
      </c>
      <c r="Q6" s="3">
        <v>12000</v>
      </c>
      <c r="R6" s="4">
        <f t="shared" ref="R6:R11" si="5">O6*J6</f>
        <v>252200</v>
      </c>
      <c r="S6" s="4">
        <f t="shared" ref="S6:S11" si="6">P6*K6</f>
        <v>0</v>
      </c>
      <c r="T6" s="4">
        <f t="shared" ref="T6:T11" si="7">Q6*L6</f>
        <v>72000</v>
      </c>
      <c r="U6" s="4">
        <f t="shared" ref="U6:U11" si="8">SUM(R6:T6)</f>
        <v>324200</v>
      </c>
      <c r="V6" s="10">
        <f t="shared" ref="V6:V12" si="9">U6/G6-1</f>
        <v>0.24692307692307702</v>
      </c>
      <c r="Y6" s="186">
        <f t="shared" ref="Y6:Y11" si="10">SUM($R6,$S6)*Y$2+$T6*Y$3</f>
        <v>17654</v>
      </c>
      <c r="Z6" s="186">
        <f t="shared" si="0"/>
        <v>23776</v>
      </c>
      <c r="AA6" s="186">
        <f t="shared" si="0"/>
        <v>28820</v>
      </c>
      <c r="AB6" s="186">
        <f t="shared" si="0"/>
        <v>25037</v>
      </c>
      <c r="AC6" s="186">
        <f t="shared" si="0"/>
        <v>26298</v>
      </c>
      <c r="AD6" s="186">
        <f t="shared" si="0"/>
        <v>27376</v>
      </c>
      <c r="AE6" s="186">
        <f t="shared" si="0"/>
        <v>27376</v>
      </c>
      <c r="AF6" s="186">
        <f t="shared" si="0"/>
        <v>23593</v>
      </c>
      <c r="AG6" s="186">
        <f t="shared" si="0"/>
        <v>31159</v>
      </c>
      <c r="AH6" s="186">
        <f t="shared" si="0"/>
        <v>36020</v>
      </c>
      <c r="AI6" s="186">
        <f t="shared" si="0"/>
        <v>32237</v>
      </c>
      <c r="AJ6" s="186">
        <f t="shared" si="0"/>
        <v>24854</v>
      </c>
    </row>
    <row r="7" spans="2:36">
      <c r="B7" t="s">
        <v>344</v>
      </c>
      <c r="C7">
        <v>38</v>
      </c>
      <c r="D7">
        <v>10</v>
      </c>
      <c r="E7" s="3">
        <v>680000</v>
      </c>
      <c r="F7" s="3">
        <v>90000</v>
      </c>
      <c r="G7" s="3">
        <f t="shared" si="1"/>
        <v>770000</v>
      </c>
      <c r="H7" s="5">
        <f t="shared" si="2"/>
        <v>17894.736842105263</v>
      </c>
      <c r="J7">
        <f t="shared" si="3"/>
        <v>38</v>
      </c>
      <c r="K7">
        <f t="shared" si="3"/>
        <v>10</v>
      </c>
      <c r="L7">
        <v>5</v>
      </c>
      <c r="M7" s="9">
        <v>-0.03</v>
      </c>
      <c r="N7" s="9">
        <v>0.5</v>
      </c>
      <c r="O7" s="5">
        <f t="shared" si="4"/>
        <v>17357.894736842103</v>
      </c>
      <c r="P7" s="4">
        <f t="shared" ref="P7:P9" si="11">(F7/D7)*(1+N7)</f>
        <v>13500</v>
      </c>
      <c r="Q7" s="3">
        <v>12000</v>
      </c>
      <c r="R7" s="4">
        <f t="shared" si="5"/>
        <v>659599.99999999988</v>
      </c>
      <c r="S7" s="4">
        <f t="shared" si="6"/>
        <v>135000</v>
      </c>
      <c r="T7" s="4">
        <f t="shared" si="7"/>
        <v>60000</v>
      </c>
      <c r="U7" s="4">
        <f t="shared" si="8"/>
        <v>854599.99999999988</v>
      </c>
      <c r="V7" s="10">
        <f t="shared" si="9"/>
        <v>0.10987012987012967</v>
      </c>
      <c r="Y7" s="186">
        <f t="shared" si="10"/>
        <v>55622</v>
      </c>
      <c r="Z7" s="186">
        <f t="shared" si="0"/>
        <v>66568</v>
      </c>
      <c r="AA7" s="186">
        <f t="shared" si="0"/>
        <v>82460</v>
      </c>
      <c r="AB7" s="186">
        <f t="shared" si="0"/>
        <v>70541</v>
      </c>
      <c r="AC7" s="186">
        <f t="shared" si="0"/>
        <v>74513.999999999985</v>
      </c>
      <c r="AD7" s="186">
        <f t="shared" si="0"/>
        <v>69568</v>
      </c>
      <c r="AE7" s="186">
        <f t="shared" si="0"/>
        <v>69568</v>
      </c>
      <c r="AF7" s="186">
        <f t="shared" si="0"/>
        <v>57648.999999999993</v>
      </c>
      <c r="AG7" s="186">
        <f t="shared" si="0"/>
        <v>81486.999999999985</v>
      </c>
      <c r="AH7" s="186">
        <f t="shared" si="0"/>
        <v>88460</v>
      </c>
      <c r="AI7" s="186">
        <f t="shared" si="0"/>
        <v>76541</v>
      </c>
      <c r="AJ7" s="186">
        <f t="shared" si="0"/>
        <v>61622</v>
      </c>
    </row>
    <row r="8" spans="2:36">
      <c r="B8" t="s">
        <v>345</v>
      </c>
      <c r="C8">
        <v>53</v>
      </c>
      <c r="D8">
        <v>3</v>
      </c>
      <c r="E8" s="3">
        <v>1750000</v>
      </c>
      <c r="F8" s="3">
        <v>30000</v>
      </c>
      <c r="G8" s="3">
        <f t="shared" si="1"/>
        <v>1780000</v>
      </c>
      <c r="H8" s="5">
        <f t="shared" si="2"/>
        <v>33018.867924528298</v>
      </c>
      <c r="J8">
        <f t="shared" si="3"/>
        <v>53</v>
      </c>
      <c r="K8">
        <f t="shared" si="3"/>
        <v>3</v>
      </c>
      <c r="L8">
        <v>3</v>
      </c>
      <c r="M8" s="9">
        <v>-0.03</v>
      </c>
      <c r="N8" s="9">
        <v>0.5</v>
      </c>
      <c r="O8" s="5">
        <f t="shared" si="4"/>
        <v>32028.301886792447</v>
      </c>
      <c r="P8" s="4">
        <f t="shared" si="11"/>
        <v>15000</v>
      </c>
      <c r="Q8" s="3">
        <v>12000</v>
      </c>
      <c r="R8" s="4">
        <f t="shared" si="5"/>
        <v>1697499.9999999998</v>
      </c>
      <c r="S8" s="4">
        <f t="shared" si="6"/>
        <v>45000</v>
      </c>
      <c r="T8" s="4">
        <f t="shared" si="7"/>
        <v>36000</v>
      </c>
      <c r="U8" s="4">
        <f t="shared" si="8"/>
        <v>1778499.9999999998</v>
      </c>
      <c r="V8" s="10">
        <f t="shared" si="9"/>
        <v>-8.4269662921365729E-4</v>
      </c>
      <c r="Y8" s="186">
        <f t="shared" si="10"/>
        <v>121975</v>
      </c>
      <c r="Z8" s="186">
        <f t="shared" si="0"/>
        <v>141199.99999999997</v>
      </c>
      <c r="AA8" s="186">
        <f t="shared" si="0"/>
        <v>176050</v>
      </c>
      <c r="AB8" s="186">
        <f t="shared" si="0"/>
        <v>149912.5</v>
      </c>
      <c r="AC8" s="186">
        <f t="shared" si="0"/>
        <v>158624.99999999997</v>
      </c>
      <c r="AD8" s="186">
        <f t="shared" si="0"/>
        <v>142999.99999999997</v>
      </c>
      <c r="AE8" s="186">
        <f t="shared" si="0"/>
        <v>142999.99999999997</v>
      </c>
      <c r="AF8" s="186">
        <f t="shared" si="0"/>
        <v>116862.49999999999</v>
      </c>
      <c r="AG8" s="186">
        <f t="shared" si="0"/>
        <v>169137.49999999997</v>
      </c>
      <c r="AH8" s="186">
        <f t="shared" si="0"/>
        <v>179650</v>
      </c>
      <c r="AI8" s="186">
        <f t="shared" si="0"/>
        <v>153512.5</v>
      </c>
      <c r="AJ8" s="186">
        <f t="shared" si="0"/>
        <v>125575</v>
      </c>
    </row>
    <row r="9" spans="2:36">
      <c r="B9" t="s">
        <v>346</v>
      </c>
      <c r="C9">
        <v>27</v>
      </c>
      <c r="D9">
        <v>4</v>
      </c>
      <c r="E9" s="3">
        <v>620000</v>
      </c>
      <c r="F9" s="3">
        <v>40000</v>
      </c>
      <c r="G9" s="3">
        <f t="shared" si="1"/>
        <v>660000</v>
      </c>
      <c r="H9" s="5">
        <f t="shared" si="2"/>
        <v>22962.962962962964</v>
      </c>
      <c r="J9">
        <f t="shared" si="3"/>
        <v>27</v>
      </c>
      <c r="K9">
        <f t="shared" si="3"/>
        <v>4</v>
      </c>
      <c r="L9">
        <v>6</v>
      </c>
      <c r="M9" s="9">
        <v>-0.03</v>
      </c>
      <c r="N9" s="9">
        <v>0.5</v>
      </c>
      <c r="O9" s="5">
        <f t="shared" si="4"/>
        <v>22274.074074074073</v>
      </c>
      <c r="P9" s="4">
        <f t="shared" si="11"/>
        <v>15000</v>
      </c>
      <c r="Q9" s="3">
        <v>12000</v>
      </c>
      <c r="R9" s="4">
        <f t="shared" si="5"/>
        <v>601400</v>
      </c>
      <c r="S9" s="4">
        <f t="shared" si="6"/>
        <v>60000</v>
      </c>
      <c r="T9" s="4">
        <f t="shared" si="7"/>
        <v>72000</v>
      </c>
      <c r="U9" s="4">
        <f t="shared" si="8"/>
        <v>733400</v>
      </c>
      <c r="V9" s="10">
        <f t="shared" si="9"/>
        <v>0.11121212121212132</v>
      </c>
      <c r="Y9" s="186">
        <f t="shared" si="10"/>
        <v>46298.000000000007</v>
      </c>
      <c r="Z9" s="186">
        <f t="shared" si="0"/>
        <v>56512</v>
      </c>
      <c r="AA9" s="186">
        <f t="shared" si="0"/>
        <v>69740</v>
      </c>
      <c r="AB9" s="186">
        <f t="shared" si="0"/>
        <v>59819.000000000007</v>
      </c>
      <c r="AC9" s="186">
        <f t="shared" si="0"/>
        <v>63126</v>
      </c>
      <c r="AD9" s="186">
        <f t="shared" si="0"/>
        <v>60112</v>
      </c>
      <c r="AE9" s="186">
        <f t="shared" si="0"/>
        <v>60112</v>
      </c>
      <c r="AF9" s="186">
        <f t="shared" si="0"/>
        <v>50191</v>
      </c>
      <c r="AG9" s="186">
        <f t="shared" si="0"/>
        <v>70033</v>
      </c>
      <c r="AH9" s="186">
        <f t="shared" si="0"/>
        <v>76940</v>
      </c>
      <c r="AI9" s="186">
        <f t="shared" si="0"/>
        <v>67019</v>
      </c>
      <c r="AJ9" s="186">
        <f t="shared" si="0"/>
        <v>53498.000000000007</v>
      </c>
    </row>
    <row r="10" spans="2:36">
      <c r="B10" t="s">
        <v>64</v>
      </c>
      <c r="C10">
        <v>3</v>
      </c>
      <c r="D10">
        <v>0</v>
      </c>
      <c r="E10" s="3">
        <v>175000</v>
      </c>
      <c r="F10" s="3">
        <v>0</v>
      </c>
      <c r="G10" s="3">
        <f t="shared" si="1"/>
        <v>175000</v>
      </c>
      <c r="H10" s="5">
        <f t="shared" si="2"/>
        <v>58333.333333333336</v>
      </c>
      <c r="J10">
        <f t="shared" si="3"/>
        <v>3</v>
      </c>
      <c r="K10">
        <f t="shared" si="3"/>
        <v>0</v>
      </c>
      <c r="L10">
        <v>0</v>
      </c>
      <c r="M10" s="9">
        <v>0.03</v>
      </c>
      <c r="N10" s="9">
        <v>0.5</v>
      </c>
      <c r="O10" s="5">
        <f t="shared" si="4"/>
        <v>60083.333333333336</v>
      </c>
      <c r="P10" s="4">
        <v>0</v>
      </c>
      <c r="Q10" s="3">
        <v>0</v>
      </c>
      <c r="R10" s="4">
        <f t="shared" si="5"/>
        <v>180250</v>
      </c>
      <c r="S10" s="4">
        <f t="shared" si="6"/>
        <v>0</v>
      </c>
      <c r="T10" s="4">
        <f t="shared" si="7"/>
        <v>0</v>
      </c>
      <c r="U10" s="4">
        <f t="shared" si="8"/>
        <v>180250</v>
      </c>
      <c r="V10" s="10">
        <f t="shared" si="9"/>
        <v>3.0000000000000027E-2</v>
      </c>
      <c r="Y10" s="186">
        <f t="shared" si="10"/>
        <v>12617.500000000002</v>
      </c>
      <c r="Z10" s="186">
        <f t="shared" si="0"/>
        <v>14420</v>
      </c>
      <c r="AA10" s="186">
        <f t="shared" si="0"/>
        <v>18025</v>
      </c>
      <c r="AB10" s="186">
        <f t="shared" si="0"/>
        <v>15321.250000000002</v>
      </c>
      <c r="AC10" s="186">
        <f t="shared" si="0"/>
        <v>16222.5</v>
      </c>
      <c r="AD10" s="186">
        <f t="shared" si="0"/>
        <v>14420</v>
      </c>
      <c r="AE10" s="186">
        <f t="shared" si="0"/>
        <v>14420</v>
      </c>
      <c r="AF10" s="186">
        <f t="shared" si="0"/>
        <v>11716.25</v>
      </c>
      <c r="AG10" s="186">
        <f t="shared" si="0"/>
        <v>17123.75</v>
      </c>
      <c r="AH10" s="186">
        <f t="shared" si="0"/>
        <v>18025</v>
      </c>
      <c r="AI10" s="186">
        <f t="shared" si="0"/>
        <v>15321.250000000002</v>
      </c>
      <c r="AJ10" s="186">
        <f t="shared" si="0"/>
        <v>12617.500000000002</v>
      </c>
    </row>
    <row r="11" spans="2:36">
      <c r="B11" t="s">
        <v>197</v>
      </c>
      <c r="C11">
        <v>74</v>
      </c>
      <c r="D11">
        <v>0</v>
      </c>
      <c r="E11" s="3">
        <v>150000</v>
      </c>
      <c r="F11" s="3">
        <v>0</v>
      </c>
      <c r="G11" s="3">
        <f t="shared" si="1"/>
        <v>150000</v>
      </c>
      <c r="H11" s="5">
        <f t="shared" si="2"/>
        <v>2027.0270270270271</v>
      </c>
      <c r="J11">
        <f t="shared" si="3"/>
        <v>74</v>
      </c>
      <c r="K11">
        <f t="shared" si="3"/>
        <v>0</v>
      </c>
      <c r="L11">
        <v>0</v>
      </c>
      <c r="M11" s="9">
        <v>-0.1</v>
      </c>
      <c r="N11" s="9">
        <v>0.5</v>
      </c>
      <c r="O11" s="5">
        <f t="shared" si="4"/>
        <v>1824.3243243243244</v>
      </c>
      <c r="P11" s="4">
        <v>0</v>
      </c>
      <c r="Q11" s="3">
        <v>0</v>
      </c>
      <c r="R11" s="4">
        <f t="shared" si="5"/>
        <v>135000</v>
      </c>
      <c r="S11" s="4">
        <f t="shared" si="6"/>
        <v>0</v>
      </c>
      <c r="T11" s="4">
        <f t="shared" si="7"/>
        <v>0</v>
      </c>
      <c r="U11" s="4">
        <f t="shared" si="8"/>
        <v>135000</v>
      </c>
      <c r="V11" s="10">
        <f t="shared" si="9"/>
        <v>-9.9999999999999978E-2</v>
      </c>
      <c r="Y11" s="186">
        <f t="shared" si="10"/>
        <v>9450</v>
      </c>
      <c r="Z11" s="186">
        <f t="shared" si="0"/>
        <v>10800</v>
      </c>
      <c r="AA11" s="186">
        <f t="shared" si="0"/>
        <v>13500</v>
      </c>
      <c r="AB11" s="186">
        <f t="shared" si="0"/>
        <v>11475</v>
      </c>
      <c r="AC11" s="186">
        <f t="shared" si="0"/>
        <v>12150</v>
      </c>
      <c r="AD11" s="186">
        <f t="shared" si="0"/>
        <v>10800</v>
      </c>
      <c r="AE11" s="186">
        <f t="shared" si="0"/>
        <v>10800</v>
      </c>
      <c r="AF11" s="186">
        <f t="shared" si="0"/>
        <v>8775</v>
      </c>
      <c r="AG11" s="186">
        <f t="shared" si="0"/>
        <v>12825</v>
      </c>
      <c r="AH11" s="186">
        <f t="shared" si="0"/>
        <v>13500</v>
      </c>
      <c r="AI11" s="186">
        <f t="shared" si="0"/>
        <v>11475</v>
      </c>
      <c r="AJ11" s="186">
        <f t="shared" si="0"/>
        <v>9450</v>
      </c>
    </row>
    <row r="12" spans="2:36">
      <c r="B12" s="6" t="s">
        <v>347</v>
      </c>
      <c r="C12" s="7">
        <f t="shared" ref="C12:D12" si="12">SUM(C5:C11)</f>
        <v>227</v>
      </c>
      <c r="D12" s="7">
        <f t="shared" si="12"/>
        <v>18</v>
      </c>
      <c r="E12" s="7">
        <f>SUM(E5:E11)</f>
        <v>4235000</v>
      </c>
      <c r="F12" s="7">
        <f>SUM(F5:F11)</f>
        <v>210000</v>
      </c>
      <c r="G12" s="7">
        <f>SUM(G5:G11)</f>
        <v>4445000</v>
      </c>
      <c r="H12" s="8">
        <f t="shared" si="2"/>
        <v>18656.387665198239</v>
      </c>
      <c r="J12" s="7">
        <f t="shared" ref="J12:U12" si="13">SUM(J5:J11)</f>
        <v>227</v>
      </c>
      <c r="K12" s="7">
        <f t="shared" si="13"/>
        <v>18</v>
      </c>
      <c r="L12" s="7">
        <f t="shared" si="13"/>
        <v>23</v>
      </c>
      <c r="M12" s="7"/>
      <c r="N12" s="7"/>
      <c r="O12" s="7">
        <f t="shared" si="13"/>
        <v>183599.50730273471</v>
      </c>
      <c r="P12" s="7">
        <f t="shared" si="13"/>
        <v>118500</v>
      </c>
      <c r="Q12" s="7">
        <f t="shared" si="13"/>
        <v>60000</v>
      </c>
      <c r="R12" s="7">
        <f t="shared" si="13"/>
        <v>4107950</v>
      </c>
      <c r="S12" s="7">
        <f t="shared" si="13"/>
        <v>315000</v>
      </c>
      <c r="T12" s="7">
        <f t="shared" si="13"/>
        <v>276000</v>
      </c>
      <c r="U12" s="7">
        <f t="shared" si="13"/>
        <v>4698950</v>
      </c>
      <c r="V12" s="11">
        <f t="shared" si="9"/>
        <v>5.713160854893129E-2</v>
      </c>
      <c r="Y12" s="7">
        <f t="shared" ref="Y12:AJ12" si="14">SUM(Y5:Y11)</f>
        <v>309606.5</v>
      </c>
      <c r="Z12" s="7">
        <f t="shared" si="14"/>
        <v>367636</v>
      </c>
      <c r="AA12" s="7">
        <f t="shared" si="14"/>
        <v>456095</v>
      </c>
      <c r="AB12" s="7">
        <f t="shared" si="14"/>
        <v>389750.75</v>
      </c>
      <c r="AC12" s="7">
        <f t="shared" si="14"/>
        <v>411865.5</v>
      </c>
      <c r="AD12" s="7">
        <f t="shared" si="14"/>
        <v>381436</v>
      </c>
      <c r="AE12" s="7">
        <f t="shared" si="14"/>
        <v>381436</v>
      </c>
      <c r="AF12" s="7">
        <f t="shared" si="14"/>
        <v>315091.75</v>
      </c>
      <c r="AG12" s="7">
        <f t="shared" si="14"/>
        <v>447780.25</v>
      </c>
      <c r="AH12" s="7">
        <f t="shared" si="14"/>
        <v>483695</v>
      </c>
      <c r="AI12" s="7">
        <f t="shared" si="14"/>
        <v>417350.75</v>
      </c>
      <c r="AJ12" s="7">
        <f t="shared" si="14"/>
        <v>337206.5</v>
      </c>
    </row>
    <row r="16" spans="2:36">
      <c r="B16" s="12" t="s">
        <v>229</v>
      </c>
      <c r="X16" t="s">
        <v>325</v>
      </c>
      <c r="Y16" s="141">
        <f>Y2</f>
        <v>7.0000000000000007E-2</v>
      </c>
      <c r="Z16" s="141">
        <f t="shared" ref="Z16:AJ16" si="15">Z2</f>
        <v>0.08</v>
      </c>
      <c r="AA16" s="141">
        <f t="shared" si="15"/>
        <v>0.1</v>
      </c>
      <c r="AB16" s="141">
        <f t="shared" si="15"/>
        <v>8.5000000000000006E-2</v>
      </c>
      <c r="AC16" s="141">
        <f t="shared" si="15"/>
        <v>0.09</v>
      </c>
      <c r="AD16" s="141">
        <f t="shared" si="15"/>
        <v>0.08</v>
      </c>
      <c r="AE16" s="141">
        <f t="shared" si="15"/>
        <v>0.08</v>
      </c>
      <c r="AF16" s="141">
        <f t="shared" si="15"/>
        <v>6.5000000000000002E-2</v>
      </c>
      <c r="AG16" s="141">
        <f t="shared" si="15"/>
        <v>9.5000000000000001E-2</v>
      </c>
      <c r="AH16" s="141">
        <f t="shared" si="15"/>
        <v>0.1</v>
      </c>
      <c r="AI16" s="141">
        <f t="shared" si="15"/>
        <v>8.5000000000000006E-2</v>
      </c>
      <c r="AJ16" s="141">
        <f t="shared" si="15"/>
        <v>7.0000000000000007E-2</v>
      </c>
    </row>
    <row r="17" spans="2:36">
      <c r="C17" s="236">
        <v>2025</v>
      </c>
      <c r="D17" s="236"/>
      <c r="E17" s="236"/>
      <c r="F17" s="236"/>
      <c r="G17" s="236"/>
      <c r="H17" s="236"/>
      <c r="J17" s="236">
        <v>2026</v>
      </c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X17" t="s">
        <v>326</v>
      </c>
      <c r="Y17" s="141">
        <f>Y3</f>
        <v>0</v>
      </c>
      <c r="Z17" s="141">
        <f t="shared" ref="Z17:AJ17" si="16">Z3</f>
        <v>0.05</v>
      </c>
      <c r="AA17" s="141">
        <f t="shared" si="16"/>
        <v>0.05</v>
      </c>
      <c r="AB17" s="141">
        <f t="shared" si="16"/>
        <v>0.05</v>
      </c>
      <c r="AC17" s="141">
        <f t="shared" si="16"/>
        <v>0.05</v>
      </c>
      <c r="AD17" s="141">
        <f t="shared" si="16"/>
        <v>0.1</v>
      </c>
      <c r="AE17" s="141">
        <f t="shared" si="16"/>
        <v>0.1</v>
      </c>
      <c r="AF17" s="141">
        <f t="shared" si="16"/>
        <v>0.1</v>
      </c>
      <c r="AG17" s="141">
        <f t="shared" si="16"/>
        <v>0.1</v>
      </c>
      <c r="AH17" s="141">
        <f t="shared" si="16"/>
        <v>0.15</v>
      </c>
      <c r="AI17" s="141">
        <f t="shared" si="16"/>
        <v>0.15</v>
      </c>
      <c r="AJ17" s="141">
        <f t="shared" si="16"/>
        <v>0.1</v>
      </c>
    </row>
    <row r="18" spans="2:36" ht="45">
      <c r="C18" s="2" t="s">
        <v>327</v>
      </c>
      <c r="D18" s="2" t="s">
        <v>182</v>
      </c>
      <c r="E18" s="2" t="s">
        <v>328</v>
      </c>
      <c r="F18" s="2" t="s">
        <v>329</v>
      </c>
      <c r="G18" s="2" t="s">
        <v>330</v>
      </c>
      <c r="H18" s="2" t="s">
        <v>331</v>
      </c>
      <c r="J18" s="2" t="s">
        <v>327</v>
      </c>
      <c r="K18" s="2" t="s">
        <v>332</v>
      </c>
      <c r="L18" s="2" t="s">
        <v>333</v>
      </c>
      <c r="M18" s="2" t="s">
        <v>334</v>
      </c>
      <c r="N18" s="2" t="s">
        <v>335</v>
      </c>
      <c r="O18" s="2" t="s">
        <v>336</v>
      </c>
      <c r="P18" s="2" t="s">
        <v>337</v>
      </c>
      <c r="Q18" s="2" t="s">
        <v>338</v>
      </c>
      <c r="R18" s="2" t="s">
        <v>339</v>
      </c>
      <c r="S18" s="2" t="s">
        <v>340</v>
      </c>
      <c r="T18" s="2" t="s">
        <v>341</v>
      </c>
      <c r="U18" s="2" t="s">
        <v>255</v>
      </c>
      <c r="V18" s="2" t="s">
        <v>319</v>
      </c>
      <c r="Y18" s="183">
        <v>46023</v>
      </c>
      <c r="Z18" s="183">
        <v>46054</v>
      </c>
      <c r="AA18" s="183">
        <v>46082</v>
      </c>
      <c r="AB18" s="183">
        <v>46113</v>
      </c>
      <c r="AC18" s="183">
        <v>46143</v>
      </c>
      <c r="AD18" s="183">
        <v>46174</v>
      </c>
      <c r="AE18" s="183">
        <v>46204</v>
      </c>
      <c r="AF18" s="183">
        <v>46235</v>
      </c>
      <c r="AG18" s="183">
        <v>46266</v>
      </c>
      <c r="AH18" s="183">
        <v>46296</v>
      </c>
      <c r="AI18" s="183">
        <v>46327</v>
      </c>
      <c r="AJ18" s="183">
        <v>46357</v>
      </c>
    </row>
    <row r="19" spans="2:36">
      <c r="B19" t="s">
        <v>348</v>
      </c>
      <c r="C19">
        <v>32</v>
      </c>
      <c r="D19">
        <v>2</v>
      </c>
      <c r="E19" s="3">
        <v>870000</v>
      </c>
      <c r="F19" s="3">
        <v>20000</v>
      </c>
      <c r="G19" s="3">
        <f>SUM(E19:F19)</f>
        <v>890000</v>
      </c>
      <c r="H19" s="5">
        <f>E19/C19</f>
        <v>27187.5</v>
      </c>
      <c r="J19">
        <f>C19</f>
        <v>32</v>
      </c>
      <c r="K19">
        <f>D19</f>
        <v>2</v>
      </c>
      <c r="L19">
        <v>4</v>
      </c>
      <c r="M19" s="9">
        <v>-0.03</v>
      </c>
      <c r="N19" s="9">
        <v>0.5</v>
      </c>
      <c r="O19" s="5">
        <f>H19*(1+M19)</f>
        <v>26371.875</v>
      </c>
      <c r="P19" s="4">
        <f>(F19/D19)*(1+N19)</f>
        <v>15000</v>
      </c>
      <c r="Q19" s="3">
        <v>12000</v>
      </c>
      <c r="R19" s="4">
        <f>O19*J19</f>
        <v>843900</v>
      </c>
      <c r="S19" s="4">
        <f>P19*K19</f>
        <v>30000</v>
      </c>
      <c r="T19" s="4">
        <f>Q19*L19</f>
        <v>48000</v>
      </c>
      <c r="U19" s="4">
        <f>SUM(R19:T19)</f>
        <v>921900</v>
      </c>
      <c r="V19" s="10">
        <f>U19/G19-1</f>
        <v>3.5842696629213577E-2</v>
      </c>
      <c r="Y19" s="186">
        <f>SUM($R19,$S19)*Y$16+$T19*Y$17</f>
        <v>61173.000000000007</v>
      </c>
      <c r="Z19" s="186">
        <f t="shared" ref="Z19:AJ21" si="17">SUM($R19,$S19)*Z$16+$T19*Z$17</f>
        <v>72312</v>
      </c>
      <c r="AA19" s="186">
        <f t="shared" si="17"/>
        <v>89790</v>
      </c>
      <c r="AB19" s="186">
        <f t="shared" si="17"/>
        <v>76681.5</v>
      </c>
      <c r="AC19" s="186">
        <f t="shared" si="17"/>
        <v>81051</v>
      </c>
      <c r="AD19" s="186">
        <f t="shared" si="17"/>
        <v>74712</v>
      </c>
      <c r="AE19" s="186">
        <f t="shared" si="17"/>
        <v>74712</v>
      </c>
      <c r="AF19" s="186">
        <f t="shared" si="17"/>
        <v>61603.5</v>
      </c>
      <c r="AG19" s="186">
        <f t="shared" si="17"/>
        <v>87820.5</v>
      </c>
      <c r="AH19" s="186">
        <f t="shared" si="17"/>
        <v>94590</v>
      </c>
      <c r="AI19" s="186">
        <f t="shared" si="17"/>
        <v>81481.5</v>
      </c>
      <c r="AJ19" s="186">
        <f t="shared" si="17"/>
        <v>65973</v>
      </c>
    </row>
    <row r="20" spans="2:36">
      <c r="B20" t="s">
        <v>349</v>
      </c>
      <c r="C20">
        <v>29</v>
      </c>
      <c r="D20">
        <v>4</v>
      </c>
      <c r="E20" s="3">
        <v>860000</v>
      </c>
      <c r="F20" s="3">
        <v>50000</v>
      </c>
      <c r="G20" s="3">
        <f t="shared" ref="G20:G21" si="18">SUM(E20:F20)</f>
        <v>910000</v>
      </c>
      <c r="H20" s="5">
        <f t="shared" ref="H20:H22" si="19">E20/C20</f>
        <v>29655.172413793105</v>
      </c>
      <c r="J20">
        <f t="shared" ref="J20:J21" si="20">C20</f>
        <v>29</v>
      </c>
      <c r="K20">
        <f t="shared" ref="K20:K21" si="21">D20</f>
        <v>4</v>
      </c>
      <c r="L20">
        <v>6</v>
      </c>
      <c r="M20" s="9">
        <v>-0.05</v>
      </c>
      <c r="N20" s="9">
        <v>0.5</v>
      </c>
      <c r="O20" s="5">
        <f t="shared" ref="O20:O21" si="22">H20*(1+M20)</f>
        <v>28172.413793103449</v>
      </c>
      <c r="P20" s="4">
        <f>(F20/D20)*(1+N20)</f>
        <v>18750</v>
      </c>
      <c r="Q20" s="3">
        <v>15000</v>
      </c>
      <c r="R20" s="4">
        <f t="shared" ref="R20:R21" si="23">O20*J20</f>
        <v>817000</v>
      </c>
      <c r="S20" s="4">
        <f t="shared" ref="S20:S21" si="24">P20*K20</f>
        <v>75000</v>
      </c>
      <c r="T20" s="4">
        <f t="shared" ref="T20:T21" si="25">Q20*L20</f>
        <v>90000</v>
      </c>
      <c r="U20" s="4">
        <f t="shared" ref="U20:U21" si="26">SUM(R20:T20)</f>
        <v>982000</v>
      </c>
      <c r="V20" s="10">
        <f t="shared" ref="V20:V22" si="27">U20/G20-1</f>
        <v>7.9120879120879062E-2</v>
      </c>
      <c r="Y20" s="186">
        <f>SUM($R20,$S20)*Y$16+$T20*Y$17</f>
        <v>62440.000000000007</v>
      </c>
      <c r="Z20" s="186">
        <f t="shared" si="17"/>
        <v>75860</v>
      </c>
      <c r="AA20" s="186">
        <f t="shared" si="17"/>
        <v>93700</v>
      </c>
      <c r="AB20" s="186">
        <f t="shared" si="17"/>
        <v>80320</v>
      </c>
      <c r="AC20" s="186">
        <f t="shared" si="17"/>
        <v>84780</v>
      </c>
      <c r="AD20" s="186">
        <f t="shared" si="17"/>
        <v>80360</v>
      </c>
      <c r="AE20" s="186">
        <f t="shared" si="17"/>
        <v>80360</v>
      </c>
      <c r="AF20" s="186">
        <f t="shared" si="17"/>
        <v>66980</v>
      </c>
      <c r="AG20" s="186">
        <f t="shared" si="17"/>
        <v>93740</v>
      </c>
      <c r="AH20" s="186">
        <f t="shared" si="17"/>
        <v>102700</v>
      </c>
      <c r="AI20" s="186">
        <f t="shared" si="17"/>
        <v>89320</v>
      </c>
      <c r="AJ20" s="186">
        <f t="shared" si="17"/>
        <v>71440</v>
      </c>
    </row>
    <row r="21" spans="2:36">
      <c r="B21" t="s">
        <v>350</v>
      </c>
      <c r="C21">
        <v>8</v>
      </c>
      <c r="D21">
        <v>0</v>
      </c>
      <c r="E21" s="3">
        <v>10000</v>
      </c>
      <c r="F21" s="3">
        <v>0</v>
      </c>
      <c r="G21" s="3">
        <f t="shared" si="18"/>
        <v>10000</v>
      </c>
      <c r="H21" s="5">
        <f t="shared" si="19"/>
        <v>1250</v>
      </c>
      <c r="J21">
        <f t="shared" si="20"/>
        <v>8</v>
      </c>
      <c r="K21">
        <f t="shared" si="21"/>
        <v>0</v>
      </c>
      <c r="L21">
        <v>0</v>
      </c>
      <c r="M21" s="9">
        <v>-0.1</v>
      </c>
      <c r="N21" s="9">
        <v>0.5</v>
      </c>
      <c r="O21" s="5">
        <f t="shared" si="22"/>
        <v>1125</v>
      </c>
      <c r="P21" s="4">
        <v>0</v>
      </c>
      <c r="Q21" s="3">
        <v>0</v>
      </c>
      <c r="R21" s="4">
        <f t="shared" si="23"/>
        <v>9000</v>
      </c>
      <c r="S21" s="4">
        <f t="shared" si="24"/>
        <v>0</v>
      </c>
      <c r="T21" s="4">
        <f t="shared" si="25"/>
        <v>0</v>
      </c>
      <c r="U21" s="4">
        <f t="shared" si="26"/>
        <v>9000</v>
      </c>
      <c r="V21" s="10">
        <f t="shared" si="27"/>
        <v>-9.9999999999999978E-2</v>
      </c>
      <c r="Y21" s="186">
        <f>SUM($R21,$S21)*Y$16+$T21*Y$17</f>
        <v>630.00000000000011</v>
      </c>
      <c r="Z21" s="186">
        <f t="shared" si="17"/>
        <v>720</v>
      </c>
      <c r="AA21" s="186">
        <f t="shared" si="17"/>
        <v>900</v>
      </c>
      <c r="AB21" s="186">
        <f t="shared" si="17"/>
        <v>765</v>
      </c>
      <c r="AC21" s="186">
        <f t="shared" si="17"/>
        <v>810</v>
      </c>
      <c r="AD21" s="186">
        <f t="shared" si="17"/>
        <v>720</v>
      </c>
      <c r="AE21" s="186">
        <f t="shared" si="17"/>
        <v>720</v>
      </c>
      <c r="AF21" s="186">
        <f t="shared" si="17"/>
        <v>585</v>
      </c>
      <c r="AG21" s="186">
        <f t="shared" si="17"/>
        <v>855</v>
      </c>
      <c r="AH21" s="186">
        <f t="shared" si="17"/>
        <v>900</v>
      </c>
      <c r="AI21" s="186">
        <f t="shared" si="17"/>
        <v>765</v>
      </c>
      <c r="AJ21" s="186">
        <f t="shared" si="17"/>
        <v>630.00000000000011</v>
      </c>
    </row>
    <row r="22" spans="2:36">
      <c r="B22" s="6" t="s">
        <v>351</v>
      </c>
      <c r="C22" s="7">
        <f>SUM(C19:C21)</f>
        <v>69</v>
      </c>
      <c r="D22" s="7">
        <f>SUM(D19:D21)</f>
        <v>6</v>
      </c>
      <c r="E22" s="7">
        <f>SUM(E19:E21)</f>
        <v>1740000</v>
      </c>
      <c r="F22" s="7">
        <f>SUM(F19:F21)</f>
        <v>70000</v>
      </c>
      <c r="G22" s="7">
        <f>SUM(G19:G21)</f>
        <v>1810000</v>
      </c>
      <c r="H22" s="8">
        <f t="shared" si="19"/>
        <v>25217.391304347828</v>
      </c>
      <c r="J22" s="7">
        <f>SUM(J19:J21)</f>
        <v>69</v>
      </c>
      <c r="K22" s="7">
        <f>SUM(K19:K21)</f>
        <v>6</v>
      </c>
      <c r="L22" s="7">
        <f>SUM(L19:L21)</f>
        <v>10</v>
      </c>
      <c r="M22" s="7"/>
      <c r="N22" s="7"/>
      <c r="O22" s="7">
        <f t="shared" ref="O22:U22" si="28">SUM(O19:O21)</f>
        <v>55669.288793103449</v>
      </c>
      <c r="P22" s="7">
        <f t="shared" si="28"/>
        <v>33750</v>
      </c>
      <c r="Q22" s="7">
        <f t="shared" si="28"/>
        <v>27000</v>
      </c>
      <c r="R22" s="7">
        <f t="shared" si="28"/>
        <v>1669900</v>
      </c>
      <c r="S22" s="7">
        <f t="shared" si="28"/>
        <v>105000</v>
      </c>
      <c r="T22" s="7">
        <f t="shared" si="28"/>
        <v>138000</v>
      </c>
      <c r="U22" s="7">
        <f t="shared" si="28"/>
        <v>1912900</v>
      </c>
      <c r="V22" s="11">
        <f t="shared" si="27"/>
        <v>5.685082872928171E-2</v>
      </c>
      <c r="Y22" s="7">
        <f t="shared" ref="Y22:AJ22" si="29">SUM(Y19:Y21)</f>
        <v>124243.00000000001</v>
      </c>
      <c r="Z22" s="7">
        <f t="shared" si="29"/>
        <v>148892</v>
      </c>
      <c r="AA22" s="7">
        <f t="shared" si="29"/>
        <v>184390</v>
      </c>
      <c r="AB22" s="7">
        <f t="shared" si="29"/>
        <v>157766.5</v>
      </c>
      <c r="AC22" s="7">
        <f t="shared" si="29"/>
        <v>166641</v>
      </c>
      <c r="AD22" s="7">
        <f t="shared" si="29"/>
        <v>155792</v>
      </c>
      <c r="AE22" s="7">
        <f t="shared" si="29"/>
        <v>155792</v>
      </c>
      <c r="AF22" s="7">
        <f t="shared" si="29"/>
        <v>129168.5</v>
      </c>
      <c r="AG22" s="7">
        <f t="shared" si="29"/>
        <v>182415.5</v>
      </c>
      <c r="AH22" s="7">
        <f t="shared" si="29"/>
        <v>198190</v>
      </c>
      <c r="AI22" s="7">
        <f t="shared" si="29"/>
        <v>171566.5</v>
      </c>
      <c r="AJ22" s="7">
        <f t="shared" si="29"/>
        <v>138043</v>
      </c>
    </row>
    <row r="26" spans="2:36">
      <c r="B26" s="12" t="s">
        <v>230</v>
      </c>
      <c r="X26" t="s">
        <v>325</v>
      </c>
      <c r="Y26" s="141">
        <f>Y$2</f>
        <v>7.0000000000000007E-2</v>
      </c>
      <c r="Z26" s="141">
        <f t="shared" ref="Z26:AJ26" si="30">Z$2</f>
        <v>0.08</v>
      </c>
      <c r="AA26" s="141">
        <f t="shared" si="30"/>
        <v>0.1</v>
      </c>
      <c r="AB26" s="141">
        <f t="shared" si="30"/>
        <v>8.5000000000000006E-2</v>
      </c>
      <c r="AC26" s="141">
        <f t="shared" si="30"/>
        <v>0.09</v>
      </c>
      <c r="AD26" s="141">
        <f t="shared" si="30"/>
        <v>0.08</v>
      </c>
      <c r="AE26" s="141">
        <f t="shared" si="30"/>
        <v>0.08</v>
      </c>
      <c r="AF26" s="141">
        <f t="shared" si="30"/>
        <v>6.5000000000000002E-2</v>
      </c>
      <c r="AG26" s="141">
        <f t="shared" si="30"/>
        <v>9.5000000000000001E-2</v>
      </c>
      <c r="AH26" s="141">
        <f t="shared" si="30"/>
        <v>0.1</v>
      </c>
      <c r="AI26" s="141">
        <f t="shared" si="30"/>
        <v>8.5000000000000006E-2</v>
      </c>
      <c r="AJ26" s="141">
        <f t="shared" si="30"/>
        <v>7.0000000000000007E-2</v>
      </c>
    </row>
    <row r="27" spans="2:36">
      <c r="C27" s="236">
        <v>2025</v>
      </c>
      <c r="D27" s="236"/>
      <c r="E27" s="236"/>
      <c r="F27" s="236"/>
      <c r="G27" s="236"/>
      <c r="H27" s="236"/>
      <c r="J27" s="236">
        <v>2026</v>
      </c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X27" t="s">
        <v>326</v>
      </c>
      <c r="Y27" s="141">
        <f>Y$3</f>
        <v>0</v>
      </c>
      <c r="Z27" s="141">
        <f t="shared" ref="Z27:AJ27" si="31">Z$3</f>
        <v>0.05</v>
      </c>
      <c r="AA27" s="141">
        <f t="shared" si="31"/>
        <v>0.05</v>
      </c>
      <c r="AB27" s="141">
        <f t="shared" si="31"/>
        <v>0.05</v>
      </c>
      <c r="AC27" s="141">
        <f t="shared" si="31"/>
        <v>0.05</v>
      </c>
      <c r="AD27" s="141">
        <f t="shared" si="31"/>
        <v>0.1</v>
      </c>
      <c r="AE27" s="141">
        <f t="shared" si="31"/>
        <v>0.1</v>
      </c>
      <c r="AF27" s="141">
        <f t="shared" si="31"/>
        <v>0.1</v>
      </c>
      <c r="AG27" s="141">
        <f t="shared" si="31"/>
        <v>0.1</v>
      </c>
      <c r="AH27" s="141">
        <f t="shared" si="31"/>
        <v>0.15</v>
      </c>
      <c r="AI27" s="141">
        <f t="shared" si="31"/>
        <v>0.15</v>
      </c>
      <c r="AJ27" s="141">
        <f t="shared" si="31"/>
        <v>0.1</v>
      </c>
    </row>
    <row r="28" spans="2:36" ht="45">
      <c r="C28" s="2" t="s">
        <v>327</v>
      </c>
      <c r="D28" s="2" t="s">
        <v>182</v>
      </c>
      <c r="E28" s="2" t="s">
        <v>328</v>
      </c>
      <c r="F28" s="2" t="s">
        <v>329</v>
      </c>
      <c r="G28" s="2" t="s">
        <v>330</v>
      </c>
      <c r="H28" s="2" t="s">
        <v>331</v>
      </c>
      <c r="J28" s="2" t="s">
        <v>327</v>
      </c>
      <c r="K28" s="2" t="s">
        <v>332</v>
      </c>
      <c r="L28" s="2" t="s">
        <v>333</v>
      </c>
      <c r="M28" s="2" t="s">
        <v>334</v>
      </c>
      <c r="N28" s="2" t="s">
        <v>335</v>
      </c>
      <c r="O28" s="2" t="s">
        <v>336</v>
      </c>
      <c r="P28" s="2" t="s">
        <v>337</v>
      </c>
      <c r="Q28" s="2" t="s">
        <v>338</v>
      </c>
      <c r="R28" s="2" t="s">
        <v>339</v>
      </c>
      <c r="S28" s="2" t="s">
        <v>340</v>
      </c>
      <c r="T28" s="2" t="s">
        <v>341</v>
      </c>
      <c r="U28" s="2" t="s">
        <v>255</v>
      </c>
      <c r="V28" s="2" t="s">
        <v>319</v>
      </c>
      <c r="Y28" s="183">
        <v>46023</v>
      </c>
      <c r="Z28" s="183">
        <v>46054</v>
      </c>
      <c r="AA28" s="183">
        <v>46082</v>
      </c>
      <c r="AB28" s="183">
        <v>46113</v>
      </c>
      <c r="AC28" s="183">
        <v>46143</v>
      </c>
      <c r="AD28" s="183">
        <v>46174</v>
      </c>
      <c r="AE28" s="183">
        <v>46204</v>
      </c>
      <c r="AF28" s="183">
        <v>46235</v>
      </c>
      <c r="AG28" s="183">
        <v>46266</v>
      </c>
      <c r="AH28" s="183">
        <v>46296</v>
      </c>
      <c r="AI28" s="183">
        <v>46327</v>
      </c>
      <c r="AJ28" s="183">
        <v>46357</v>
      </c>
    </row>
    <row r="29" spans="2:36">
      <c r="B29" t="s">
        <v>352</v>
      </c>
      <c r="C29">
        <v>36</v>
      </c>
      <c r="D29">
        <v>5</v>
      </c>
      <c r="E29" s="3">
        <v>650000</v>
      </c>
      <c r="F29" s="3">
        <v>30000</v>
      </c>
      <c r="G29" s="3">
        <f>SUM(E29:F29)</f>
        <v>680000</v>
      </c>
      <c r="H29" s="5">
        <f>E29/C29</f>
        <v>18055.555555555555</v>
      </c>
      <c r="J29">
        <f>C29</f>
        <v>36</v>
      </c>
      <c r="K29">
        <f>D29</f>
        <v>5</v>
      </c>
      <c r="L29">
        <v>3</v>
      </c>
      <c r="M29" s="9">
        <v>-0.05</v>
      </c>
      <c r="N29" s="9">
        <v>0.5</v>
      </c>
      <c r="O29" s="5">
        <f>H29*(1+M29)</f>
        <v>17152.777777777777</v>
      </c>
      <c r="P29" s="4">
        <f>(F29/D29)*(1+N29)</f>
        <v>9000</v>
      </c>
      <c r="Q29" s="3">
        <v>10000</v>
      </c>
      <c r="R29" s="4">
        <f>O29*J29</f>
        <v>617500</v>
      </c>
      <c r="S29" s="4">
        <f>P29*K29</f>
        <v>45000</v>
      </c>
      <c r="T29" s="4">
        <f>Q29*L29</f>
        <v>30000</v>
      </c>
      <c r="U29" s="4">
        <f>SUM(R29:T29)</f>
        <v>692500</v>
      </c>
      <c r="V29" s="10">
        <f>U29/G29-1</f>
        <v>1.8382352941176405E-2</v>
      </c>
      <c r="Y29" s="186">
        <f>SUM($R29,$S29)*Y$26+$T29*Y$27</f>
        <v>46375.000000000007</v>
      </c>
      <c r="Z29" s="186">
        <f t="shared" ref="Z29:AJ31" si="32">SUM($R29,$S29)*Z$26+$T29*Z$27</f>
        <v>54500</v>
      </c>
      <c r="AA29" s="186">
        <f t="shared" si="32"/>
        <v>67750</v>
      </c>
      <c r="AB29" s="186">
        <f t="shared" si="32"/>
        <v>57812.500000000007</v>
      </c>
      <c r="AC29" s="186">
        <f t="shared" si="32"/>
        <v>61125</v>
      </c>
      <c r="AD29" s="186">
        <f t="shared" si="32"/>
        <v>56000</v>
      </c>
      <c r="AE29" s="186">
        <f t="shared" si="32"/>
        <v>56000</v>
      </c>
      <c r="AF29" s="186">
        <f t="shared" si="32"/>
        <v>46062.5</v>
      </c>
      <c r="AG29" s="186">
        <f t="shared" si="32"/>
        <v>65937.5</v>
      </c>
      <c r="AH29" s="186">
        <f t="shared" si="32"/>
        <v>70750</v>
      </c>
      <c r="AI29" s="186">
        <f t="shared" si="32"/>
        <v>60812.500000000007</v>
      </c>
      <c r="AJ29" s="186">
        <f t="shared" si="32"/>
        <v>49375.000000000007</v>
      </c>
    </row>
    <row r="30" spans="2:36">
      <c r="B30" t="s">
        <v>353</v>
      </c>
      <c r="C30">
        <v>3</v>
      </c>
      <c r="D30">
        <v>2</v>
      </c>
      <c r="E30" s="3">
        <v>15000</v>
      </c>
      <c r="F30" s="3">
        <v>10000</v>
      </c>
      <c r="G30" s="3">
        <f t="shared" ref="G30:G31" si="33">SUM(E30:F30)</f>
        <v>25000</v>
      </c>
      <c r="H30" s="5">
        <f t="shared" ref="H30:H32" si="34">E30/C30</f>
        <v>5000</v>
      </c>
      <c r="J30">
        <f t="shared" ref="J30:J31" si="35">C30</f>
        <v>3</v>
      </c>
      <c r="K30">
        <f t="shared" ref="K30:K31" si="36">D30</f>
        <v>2</v>
      </c>
      <c r="L30">
        <v>5</v>
      </c>
      <c r="M30" s="9">
        <v>-0.05</v>
      </c>
      <c r="N30" s="9">
        <v>0.5</v>
      </c>
      <c r="O30" s="5">
        <f t="shared" ref="O30:O31" si="37">H30*(1+M30)</f>
        <v>4750</v>
      </c>
      <c r="P30" s="4">
        <f>(F30/D30)*(1+N30)</f>
        <v>7500</v>
      </c>
      <c r="Q30" s="3">
        <v>10000</v>
      </c>
      <c r="R30" s="4">
        <f t="shared" ref="R30:R31" si="38">O30*J30</f>
        <v>14250</v>
      </c>
      <c r="S30" s="4">
        <f t="shared" ref="S30:S31" si="39">P30*K30</f>
        <v>15000</v>
      </c>
      <c r="T30" s="4">
        <f t="shared" ref="T30:T31" si="40">Q30*L30</f>
        <v>50000</v>
      </c>
      <c r="U30" s="4">
        <f t="shared" ref="U30:U31" si="41">SUM(R30:T30)</f>
        <v>79250</v>
      </c>
      <c r="V30" s="10">
        <f t="shared" ref="V30:V32" si="42">U30/G30-1</f>
        <v>2.17</v>
      </c>
      <c r="Y30" s="186">
        <f t="shared" ref="Y30:Y31" si="43">SUM($R30,$S30)*Y$26+$T30*Y$27</f>
        <v>2047.5000000000002</v>
      </c>
      <c r="Z30" s="186">
        <f t="shared" si="32"/>
        <v>4840</v>
      </c>
      <c r="AA30" s="186">
        <f t="shared" si="32"/>
        <v>5425</v>
      </c>
      <c r="AB30" s="186">
        <f t="shared" si="32"/>
        <v>4986.25</v>
      </c>
      <c r="AC30" s="186">
        <f t="shared" si="32"/>
        <v>5132.5</v>
      </c>
      <c r="AD30" s="186">
        <f t="shared" si="32"/>
        <v>7340</v>
      </c>
      <c r="AE30" s="186">
        <f t="shared" si="32"/>
        <v>7340</v>
      </c>
      <c r="AF30" s="186">
        <f t="shared" si="32"/>
        <v>6901.25</v>
      </c>
      <c r="AG30" s="186">
        <f t="shared" si="32"/>
        <v>7778.75</v>
      </c>
      <c r="AH30" s="186">
        <f t="shared" si="32"/>
        <v>10425</v>
      </c>
      <c r="AI30" s="186">
        <f t="shared" si="32"/>
        <v>9986.25</v>
      </c>
      <c r="AJ30" s="186">
        <f t="shared" si="32"/>
        <v>7047.5</v>
      </c>
    </row>
    <row r="31" spans="2:36">
      <c r="B31" t="s">
        <v>354</v>
      </c>
      <c r="C31">
        <v>0</v>
      </c>
      <c r="D31">
        <v>0</v>
      </c>
      <c r="E31" s="3">
        <v>0</v>
      </c>
      <c r="F31" s="3">
        <v>0</v>
      </c>
      <c r="G31" s="3">
        <f t="shared" si="33"/>
        <v>0</v>
      </c>
      <c r="H31" s="5">
        <v>0</v>
      </c>
      <c r="J31">
        <f t="shared" si="35"/>
        <v>0</v>
      </c>
      <c r="K31">
        <f t="shared" si="36"/>
        <v>0</v>
      </c>
      <c r="L31">
        <v>0</v>
      </c>
      <c r="M31" s="9">
        <v>-0.1</v>
      </c>
      <c r="N31" s="9">
        <v>0.5</v>
      </c>
      <c r="O31" s="5">
        <f t="shared" si="37"/>
        <v>0</v>
      </c>
      <c r="P31" s="4">
        <v>0</v>
      </c>
      <c r="Q31" s="3">
        <v>0</v>
      </c>
      <c r="R31" s="4">
        <f t="shared" si="38"/>
        <v>0</v>
      </c>
      <c r="S31" s="4">
        <f t="shared" si="39"/>
        <v>0</v>
      </c>
      <c r="T31" s="4">
        <f t="shared" si="40"/>
        <v>0</v>
      </c>
      <c r="U31" s="4">
        <f t="shared" si="41"/>
        <v>0</v>
      </c>
      <c r="V31" s="10" t="e">
        <f t="shared" si="42"/>
        <v>#DIV/0!</v>
      </c>
      <c r="Y31" s="186">
        <f t="shared" si="43"/>
        <v>0</v>
      </c>
      <c r="Z31" s="186">
        <f t="shared" si="32"/>
        <v>0</v>
      </c>
      <c r="AA31" s="186">
        <f t="shared" si="32"/>
        <v>0</v>
      </c>
      <c r="AB31" s="186">
        <f t="shared" si="32"/>
        <v>0</v>
      </c>
      <c r="AC31" s="186">
        <f t="shared" si="32"/>
        <v>0</v>
      </c>
      <c r="AD31" s="186">
        <f t="shared" si="32"/>
        <v>0</v>
      </c>
      <c r="AE31" s="186">
        <f t="shared" si="32"/>
        <v>0</v>
      </c>
      <c r="AF31" s="186">
        <f t="shared" si="32"/>
        <v>0</v>
      </c>
      <c r="AG31" s="186">
        <f t="shared" si="32"/>
        <v>0</v>
      </c>
      <c r="AH31" s="186">
        <f t="shared" si="32"/>
        <v>0</v>
      </c>
      <c r="AI31" s="186">
        <f t="shared" si="32"/>
        <v>0</v>
      </c>
      <c r="AJ31" s="186">
        <f t="shared" si="32"/>
        <v>0</v>
      </c>
    </row>
    <row r="32" spans="2:36">
      <c r="B32" s="6" t="s">
        <v>355</v>
      </c>
      <c r="C32" s="7">
        <f>SUM(C29:C31)</f>
        <v>39</v>
      </c>
      <c r="D32" s="7">
        <f>SUM(D29:D31)</f>
        <v>7</v>
      </c>
      <c r="E32" s="7">
        <f>SUM(E29:E31)</f>
        <v>665000</v>
      </c>
      <c r="F32" s="7">
        <f>SUM(F29:F31)</f>
        <v>40000</v>
      </c>
      <c r="G32" s="7">
        <f>SUM(G29:G31)</f>
        <v>705000</v>
      </c>
      <c r="H32" s="8">
        <f t="shared" si="34"/>
        <v>17051.282051282051</v>
      </c>
      <c r="J32" s="7">
        <f>SUM(J29:J31)</f>
        <v>39</v>
      </c>
      <c r="K32" s="7">
        <f>SUM(K29:K31)</f>
        <v>7</v>
      </c>
      <c r="L32" s="7">
        <f>SUM(L29:L31)</f>
        <v>8</v>
      </c>
      <c r="M32" s="7"/>
      <c r="N32" s="7"/>
      <c r="O32" s="7">
        <f t="shared" ref="O32:U32" si="44">SUM(O29:O31)</f>
        <v>21902.777777777777</v>
      </c>
      <c r="P32" s="7">
        <f t="shared" si="44"/>
        <v>16500</v>
      </c>
      <c r="Q32" s="7">
        <f t="shared" si="44"/>
        <v>20000</v>
      </c>
      <c r="R32" s="7">
        <f t="shared" si="44"/>
        <v>631750</v>
      </c>
      <c r="S32" s="7">
        <f t="shared" si="44"/>
        <v>60000</v>
      </c>
      <c r="T32" s="7">
        <f t="shared" si="44"/>
        <v>80000</v>
      </c>
      <c r="U32" s="7">
        <f t="shared" si="44"/>
        <v>771750</v>
      </c>
      <c r="V32" s="11">
        <f t="shared" si="42"/>
        <v>9.468085106382973E-2</v>
      </c>
      <c r="Y32" s="7">
        <f t="shared" ref="Y32:AJ32" si="45">SUM(Y29:Y31)</f>
        <v>48422.500000000007</v>
      </c>
      <c r="Z32" s="7">
        <f t="shared" si="45"/>
        <v>59340</v>
      </c>
      <c r="AA32" s="7">
        <f t="shared" si="45"/>
        <v>73175</v>
      </c>
      <c r="AB32" s="7">
        <f t="shared" si="45"/>
        <v>62798.750000000007</v>
      </c>
      <c r="AC32" s="7">
        <f t="shared" si="45"/>
        <v>66257.5</v>
      </c>
      <c r="AD32" s="7">
        <f t="shared" si="45"/>
        <v>63340</v>
      </c>
      <c r="AE32" s="7">
        <f t="shared" si="45"/>
        <v>63340</v>
      </c>
      <c r="AF32" s="7">
        <f t="shared" si="45"/>
        <v>52963.75</v>
      </c>
      <c r="AG32" s="7">
        <f t="shared" si="45"/>
        <v>73716.25</v>
      </c>
      <c r="AH32" s="7">
        <f t="shared" si="45"/>
        <v>81175</v>
      </c>
      <c r="AI32" s="7">
        <f t="shared" si="45"/>
        <v>70798.75</v>
      </c>
      <c r="AJ32" s="7">
        <f t="shared" si="45"/>
        <v>56422.500000000007</v>
      </c>
    </row>
    <row r="36" spans="2:36">
      <c r="B36" s="12" t="s">
        <v>356</v>
      </c>
      <c r="X36" t="s">
        <v>325</v>
      </c>
      <c r="Y36" s="141">
        <f>Y$2</f>
        <v>7.0000000000000007E-2</v>
      </c>
      <c r="Z36" s="141">
        <f t="shared" ref="Z36:AJ36" si="46">Z$2</f>
        <v>0.08</v>
      </c>
      <c r="AA36" s="141">
        <f t="shared" si="46"/>
        <v>0.1</v>
      </c>
      <c r="AB36" s="141">
        <f t="shared" si="46"/>
        <v>8.5000000000000006E-2</v>
      </c>
      <c r="AC36" s="141">
        <f t="shared" si="46"/>
        <v>0.09</v>
      </c>
      <c r="AD36" s="141">
        <f t="shared" si="46"/>
        <v>0.08</v>
      </c>
      <c r="AE36" s="141">
        <f t="shared" si="46"/>
        <v>0.08</v>
      </c>
      <c r="AF36" s="141">
        <f t="shared" si="46"/>
        <v>6.5000000000000002E-2</v>
      </c>
      <c r="AG36" s="141">
        <f t="shared" si="46"/>
        <v>9.5000000000000001E-2</v>
      </c>
      <c r="AH36" s="141">
        <f t="shared" si="46"/>
        <v>0.1</v>
      </c>
      <c r="AI36" s="141">
        <f t="shared" si="46"/>
        <v>8.5000000000000006E-2</v>
      </c>
      <c r="AJ36" s="141">
        <f t="shared" si="46"/>
        <v>7.0000000000000007E-2</v>
      </c>
    </row>
    <row r="37" spans="2:36">
      <c r="C37" s="236">
        <v>2025</v>
      </c>
      <c r="D37" s="236"/>
      <c r="E37" s="236"/>
      <c r="F37" s="236"/>
      <c r="G37" s="236"/>
      <c r="H37" s="236"/>
      <c r="J37" s="236">
        <v>2026</v>
      </c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X37" t="s">
        <v>326</v>
      </c>
      <c r="Y37" s="141">
        <f>Y$3</f>
        <v>0</v>
      </c>
      <c r="Z37" s="141">
        <f t="shared" ref="Z37:AJ37" si="47">Z$3</f>
        <v>0.05</v>
      </c>
      <c r="AA37" s="141">
        <f t="shared" si="47"/>
        <v>0.05</v>
      </c>
      <c r="AB37" s="141">
        <f t="shared" si="47"/>
        <v>0.05</v>
      </c>
      <c r="AC37" s="141">
        <f t="shared" si="47"/>
        <v>0.05</v>
      </c>
      <c r="AD37" s="141">
        <f t="shared" si="47"/>
        <v>0.1</v>
      </c>
      <c r="AE37" s="141">
        <f t="shared" si="47"/>
        <v>0.1</v>
      </c>
      <c r="AF37" s="141">
        <f t="shared" si="47"/>
        <v>0.1</v>
      </c>
      <c r="AG37" s="141">
        <f t="shared" si="47"/>
        <v>0.1</v>
      </c>
      <c r="AH37" s="141">
        <f t="shared" si="47"/>
        <v>0.15</v>
      </c>
      <c r="AI37" s="141">
        <f t="shared" si="47"/>
        <v>0.15</v>
      </c>
      <c r="AJ37" s="141">
        <f t="shared" si="47"/>
        <v>0.1</v>
      </c>
    </row>
    <row r="38" spans="2:36" ht="45">
      <c r="C38" s="2" t="s">
        <v>327</v>
      </c>
      <c r="D38" s="2" t="s">
        <v>182</v>
      </c>
      <c r="E38" s="2" t="s">
        <v>328</v>
      </c>
      <c r="F38" s="2" t="s">
        <v>329</v>
      </c>
      <c r="G38" s="2" t="s">
        <v>330</v>
      </c>
      <c r="H38" s="2" t="s">
        <v>331</v>
      </c>
      <c r="J38" s="2" t="s">
        <v>327</v>
      </c>
      <c r="K38" s="2" t="s">
        <v>332</v>
      </c>
      <c r="L38" s="2" t="s">
        <v>333</v>
      </c>
      <c r="M38" s="2" t="s">
        <v>334</v>
      </c>
      <c r="N38" s="2" t="s">
        <v>335</v>
      </c>
      <c r="O38" s="2" t="s">
        <v>336</v>
      </c>
      <c r="P38" s="2" t="s">
        <v>337</v>
      </c>
      <c r="Q38" s="2" t="s">
        <v>338</v>
      </c>
      <c r="R38" s="2" t="s">
        <v>339</v>
      </c>
      <c r="S38" s="2" t="s">
        <v>340</v>
      </c>
      <c r="T38" s="2" t="s">
        <v>341</v>
      </c>
      <c r="U38" s="2" t="s">
        <v>255</v>
      </c>
      <c r="V38" s="2" t="s">
        <v>319</v>
      </c>
      <c r="Y38" s="183">
        <v>46023</v>
      </c>
      <c r="Z38" s="183">
        <v>46054</v>
      </c>
      <c r="AA38" s="183">
        <v>46082</v>
      </c>
      <c r="AB38" s="183">
        <v>46113</v>
      </c>
      <c r="AC38" s="183">
        <v>46143</v>
      </c>
      <c r="AD38" s="183">
        <v>46174</v>
      </c>
      <c r="AE38" s="183">
        <v>46204</v>
      </c>
      <c r="AF38" s="183">
        <v>46235</v>
      </c>
      <c r="AG38" s="183">
        <v>46266</v>
      </c>
      <c r="AH38" s="183">
        <v>46296</v>
      </c>
      <c r="AI38" s="183">
        <v>46327</v>
      </c>
      <c r="AJ38" s="183">
        <v>46357</v>
      </c>
    </row>
    <row r="39" spans="2:36">
      <c r="B39" t="s">
        <v>231</v>
      </c>
      <c r="C39">
        <v>9</v>
      </c>
      <c r="D39">
        <v>5</v>
      </c>
      <c r="E39" s="3">
        <v>100000</v>
      </c>
      <c r="F39" s="3">
        <v>55000</v>
      </c>
      <c r="G39" s="3">
        <f>SUM(E39:F39)</f>
        <v>155000</v>
      </c>
      <c r="H39" s="5">
        <f>E39/C39</f>
        <v>11111.111111111111</v>
      </c>
      <c r="J39">
        <f>C39</f>
        <v>9</v>
      </c>
      <c r="K39">
        <f>D39</f>
        <v>5</v>
      </c>
      <c r="L39">
        <v>5</v>
      </c>
      <c r="M39" s="9">
        <v>-0.05</v>
      </c>
      <c r="N39" s="9">
        <v>0.5</v>
      </c>
      <c r="O39" s="5">
        <f>H39*(1+M39)</f>
        <v>10555.555555555555</v>
      </c>
      <c r="P39" s="4">
        <f>(F39/D39)*(1+N39)</f>
        <v>16500</v>
      </c>
      <c r="Q39" s="3">
        <v>10000</v>
      </c>
      <c r="R39" s="4">
        <f>O39*J39</f>
        <v>95000</v>
      </c>
      <c r="S39" s="4">
        <f>P39*K39</f>
        <v>82500</v>
      </c>
      <c r="T39" s="4">
        <f>Q39*L39</f>
        <v>50000</v>
      </c>
      <c r="U39" s="4">
        <f>SUM(R39:T39)</f>
        <v>227500</v>
      </c>
      <c r="V39" s="10">
        <f>U39/G39-1</f>
        <v>0.467741935483871</v>
      </c>
      <c r="Y39" s="186">
        <f>SUM($R39,$S39)*Y$36+$T39*Y$37</f>
        <v>12425.000000000002</v>
      </c>
      <c r="Z39" s="186">
        <f t="shared" ref="Z39:AJ42" si="48">SUM($R39,$S39)*Z$36+$T39*Z$37</f>
        <v>16700</v>
      </c>
      <c r="AA39" s="186">
        <f t="shared" si="48"/>
        <v>20250</v>
      </c>
      <c r="AB39" s="186">
        <f t="shared" si="48"/>
        <v>17587.5</v>
      </c>
      <c r="AC39" s="186">
        <f t="shared" si="48"/>
        <v>18475</v>
      </c>
      <c r="AD39" s="186">
        <f t="shared" si="48"/>
        <v>19200</v>
      </c>
      <c r="AE39" s="186">
        <f t="shared" si="48"/>
        <v>19200</v>
      </c>
      <c r="AF39" s="186">
        <f t="shared" si="48"/>
        <v>16537.5</v>
      </c>
      <c r="AG39" s="186">
        <f t="shared" si="48"/>
        <v>21862.5</v>
      </c>
      <c r="AH39" s="186">
        <f t="shared" si="48"/>
        <v>25250</v>
      </c>
      <c r="AI39" s="186">
        <f t="shared" si="48"/>
        <v>22587.5</v>
      </c>
      <c r="AJ39" s="186">
        <f t="shared" si="48"/>
        <v>17425</v>
      </c>
    </row>
    <row r="40" spans="2:36">
      <c r="B40" t="s">
        <v>357</v>
      </c>
      <c r="C40">
        <v>1</v>
      </c>
      <c r="D40">
        <v>0</v>
      </c>
      <c r="E40" s="3">
        <v>7500</v>
      </c>
      <c r="F40" s="3">
        <v>0</v>
      </c>
      <c r="G40" s="3">
        <f t="shared" ref="G40" si="49">SUM(E40:F40)</f>
        <v>7500</v>
      </c>
      <c r="H40" s="5">
        <f t="shared" ref="H40" si="50">E40/C40</f>
        <v>7500</v>
      </c>
      <c r="J40">
        <f t="shared" ref="J40:J42" si="51">C40</f>
        <v>1</v>
      </c>
      <c r="K40">
        <f t="shared" ref="K40:K42" si="52">D40</f>
        <v>0</v>
      </c>
      <c r="L40">
        <v>5</v>
      </c>
      <c r="M40" s="9">
        <v>-0.05</v>
      </c>
      <c r="N40" s="9">
        <v>0.5</v>
      </c>
      <c r="O40" s="5">
        <f t="shared" ref="O40:O42" si="53">H40*(1+M40)</f>
        <v>7125</v>
      </c>
      <c r="P40" s="4">
        <v>0</v>
      </c>
      <c r="Q40" s="3">
        <v>10000</v>
      </c>
      <c r="R40" s="4">
        <f t="shared" ref="R40:R42" si="54">O40*J40</f>
        <v>7125</v>
      </c>
      <c r="S40" s="4">
        <f t="shared" ref="S40" si="55">P40*K40</f>
        <v>0</v>
      </c>
      <c r="T40" s="4">
        <f t="shared" ref="T40:T42" si="56">Q40*L40</f>
        <v>50000</v>
      </c>
      <c r="U40" s="4">
        <f t="shared" ref="U40:U42" si="57">SUM(R40:T40)</f>
        <v>57125</v>
      </c>
      <c r="V40" s="10">
        <f t="shared" ref="V40:V43" si="58">U40/G40-1</f>
        <v>6.6166666666666663</v>
      </c>
      <c r="Y40" s="186">
        <f t="shared" ref="Y40:Y42" si="59">SUM($R40,$S40)*Y$36+$T40*Y$37</f>
        <v>498.75000000000006</v>
      </c>
      <c r="Z40" s="186">
        <f t="shared" si="48"/>
        <v>3070</v>
      </c>
      <c r="AA40" s="186">
        <f t="shared" si="48"/>
        <v>3212.5</v>
      </c>
      <c r="AB40" s="186">
        <f t="shared" si="48"/>
        <v>3105.625</v>
      </c>
      <c r="AC40" s="186">
        <f t="shared" si="48"/>
        <v>3141.25</v>
      </c>
      <c r="AD40" s="186">
        <f t="shared" si="48"/>
        <v>5570</v>
      </c>
      <c r="AE40" s="186">
        <f t="shared" si="48"/>
        <v>5570</v>
      </c>
      <c r="AF40" s="186">
        <f t="shared" si="48"/>
        <v>5463.125</v>
      </c>
      <c r="AG40" s="186">
        <f t="shared" si="48"/>
        <v>5676.875</v>
      </c>
      <c r="AH40" s="186">
        <f t="shared" si="48"/>
        <v>8212.5</v>
      </c>
      <c r="AI40" s="186">
        <f t="shared" si="48"/>
        <v>8105.625</v>
      </c>
      <c r="AJ40" s="186">
        <f t="shared" si="48"/>
        <v>5498.75</v>
      </c>
    </row>
    <row r="41" spans="2:36">
      <c r="B41" t="s">
        <v>358</v>
      </c>
      <c r="C41">
        <v>3</v>
      </c>
      <c r="D41">
        <v>3</v>
      </c>
      <c r="E41" s="3">
        <v>23000</v>
      </c>
      <c r="F41" s="3">
        <v>20000</v>
      </c>
      <c r="G41" s="3">
        <f t="shared" ref="G41:G42" si="60">SUM(E41:F41)</f>
        <v>43000</v>
      </c>
      <c r="H41" s="5">
        <f t="shared" ref="H41" si="61">E41/C41</f>
        <v>7666.666666666667</v>
      </c>
      <c r="J41">
        <f t="shared" ref="J41" si="62">C41</f>
        <v>3</v>
      </c>
      <c r="K41">
        <f t="shared" ref="K41" si="63">D41</f>
        <v>3</v>
      </c>
      <c r="L41">
        <v>5</v>
      </c>
      <c r="M41" s="9">
        <v>-0.05</v>
      </c>
      <c r="N41" s="9">
        <v>0.5</v>
      </c>
      <c r="O41" s="5">
        <f t="shared" ref="O41" si="64">H41*(1+M41)</f>
        <v>7283.333333333333</v>
      </c>
      <c r="P41" s="4">
        <f>(F41/D41)*(1+N41)</f>
        <v>10000</v>
      </c>
      <c r="Q41" s="3">
        <v>10000</v>
      </c>
      <c r="R41" s="4">
        <f t="shared" ref="R41" si="65">O41*J41</f>
        <v>21850</v>
      </c>
      <c r="S41" s="4">
        <f t="shared" ref="S41:S42" si="66">P41*K41</f>
        <v>30000</v>
      </c>
      <c r="T41" s="4">
        <f t="shared" ref="T41" si="67">Q41*L41</f>
        <v>50000</v>
      </c>
      <c r="U41" s="4">
        <f t="shared" ref="U41" si="68">SUM(R41:T41)</f>
        <v>101850</v>
      </c>
      <c r="V41" s="10">
        <f t="shared" ref="V41" si="69">U41/G41-1</f>
        <v>1.3686046511627907</v>
      </c>
      <c r="Y41" s="186">
        <f t="shared" si="59"/>
        <v>3629.5000000000005</v>
      </c>
      <c r="Z41" s="186">
        <f t="shared" si="48"/>
        <v>6648</v>
      </c>
      <c r="AA41" s="186">
        <f t="shared" si="48"/>
        <v>7685</v>
      </c>
      <c r="AB41" s="186">
        <f t="shared" si="48"/>
        <v>6907.25</v>
      </c>
      <c r="AC41" s="186">
        <f t="shared" si="48"/>
        <v>7166.5</v>
      </c>
      <c r="AD41" s="186">
        <f t="shared" si="48"/>
        <v>9148</v>
      </c>
      <c r="AE41" s="186">
        <f t="shared" si="48"/>
        <v>9148</v>
      </c>
      <c r="AF41" s="186">
        <f t="shared" si="48"/>
        <v>8370.25</v>
      </c>
      <c r="AG41" s="186">
        <f t="shared" si="48"/>
        <v>9925.75</v>
      </c>
      <c r="AH41" s="186">
        <f t="shared" si="48"/>
        <v>12685</v>
      </c>
      <c r="AI41" s="186">
        <f t="shared" si="48"/>
        <v>11907.25</v>
      </c>
      <c r="AJ41" s="186">
        <f t="shared" si="48"/>
        <v>8629.5</v>
      </c>
    </row>
    <row r="42" spans="2:36">
      <c r="B42" t="s">
        <v>233</v>
      </c>
      <c r="C42">
        <v>0</v>
      </c>
      <c r="D42">
        <v>2</v>
      </c>
      <c r="E42" s="3">
        <v>0</v>
      </c>
      <c r="F42" s="3">
        <v>10000</v>
      </c>
      <c r="G42" s="3">
        <f t="shared" si="60"/>
        <v>10000</v>
      </c>
      <c r="H42" s="5">
        <v>0</v>
      </c>
      <c r="J42">
        <f t="shared" si="51"/>
        <v>0</v>
      </c>
      <c r="K42">
        <f t="shared" si="52"/>
        <v>2</v>
      </c>
      <c r="L42">
        <v>5</v>
      </c>
      <c r="M42" s="9">
        <v>-0.05</v>
      </c>
      <c r="N42" s="9">
        <v>0.75</v>
      </c>
      <c r="O42" s="5">
        <f t="shared" si="53"/>
        <v>0</v>
      </c>
      <c r="P42" s="4">
        <f>(F42/D42)*(1+N42)</f>
        <v>8750</v>
      </c>
      <c r="Q42" s="3">
        <v>10000</v>
      </c>
      <c r="R42" s="4">
        <f t="shared" si="54"/>
        <v>0</v>
      </c>
      <c r="S42" s="4">
        <f t="shared" si="66"/>
        <v>17500</v>
      </c>
      <c r="T42" s="4">
        <f t="shared" si="56"/>
        <v>50000</v>
      </c>
      <c r="U42" s="4">
        <f t="shared" si="57"/>
        <v>67500</v>
      </c>
      <c r="V42" s="10">
        <f t="shared" si="58"/>
        <v>5.75</v>
      </c>
      <c r="Y42" s="186">
        <f t="shared" si="59"/>
        <v>1225.0000000000002</v>
      </c>
      <c r="Z42" s="186">
        <f t="shared" si="48"/>
        <v>3900</v>
      </c>
      <c r="AA42" s="186">
        <f t="shared" si="48"/>
        <v>4250</v>
      </c>
      <c r="AB42" s="186">
        <f t="shared" si="48"/>
        <v>3987.5</v>
      </c>
      <c r="AC42" s="186">
        <f t="shared" si="48"/>
        <v>4075</v>
      </c>
      <c r="AD42" s="186">
        <f t="shared" si="48"/>
        <v>6400</v>
      </c>
      <c r="AE42" s="186">
        <f t="shared" si="48"/>
        <v>6400</v>
      </c>
      <c r="AF42" s="186">
        <f t="shared" si="48"/>
        <v>6137.5</v>
      </c>
      <c r="AG42" s="186">
        <f t="shared" si="48"/>
        <v>6662.5</v>
      </c>
      <c r="AH42" s="186">
        <f t="shared" si="48"/>
        <v>9250</v>
      </c>
      <c r="AI42" s="186">
        <f t="shared" si="48"/>
        <v>8987.5</v>
      </c>
      <c r="AJ42" s="186">
        <f t="shared" si="48"/>
        <v>6225</v>
      </c>
    </row>
    <row r="43" spans="2:36">
      <c r="B43" s="6" t="s">
        <v>359</v>
      </c>
      <c r="C43" s="7">
        <f>SUM(C39:C42)</f>
        <v>13</v>
      </c>
      <c r="D43" s="7">
        <f>SUM(D39:D42)</f>
        <v>10</v>
      </c>
      <c r="E43" s="7">
        <f>SUM(E39:E42)</f>
        <v>130500</v>
      </c>
      <c r="F43" s="7">
        <f>SUM(F39:F42)</f>
        <v>85000</v>
      </c>
      <c r="G43" s="7">
        <f>SUM(G39:G42)</f>
        <v>215500</v>
      </c>
      <c r="H43" s="8">
        <f t="shared" ref="H43" si="70">E43/C43</f>
        <v>10038.461538461539</v>
      </c>
      <c r="J43" s="7">
        <f>SUM(J39:J42)</f>
        <v>13</v>
      </c>
      <c r="K43" s="7">
        <f>SUM(K39:K42)</f>
        <v>10</v>
      </c>
      <c r="L43" s="7">
        <f>SUM(L39:L42)</f>
        <v>20</v>
      </c>
      <c r="M43" s="7"/>
      <c r="N43" s="7"/>
      <c r="O43" s="7">
        <f t="shared" ref="O43:U43" si="71">SUM(O39:O42)</f>
        <v>24963.888888888887</v>
      </c>
      <c r="P43" s="7">
        <f t="shared" si="71"/>
        <v>35250</v>
      </c>
      <c r="Q43" s="7">
        <f t="shared" si="71"/>
        <v>40000</v>
      </c>
      <c r="R43" s="7">
        <f t="shared" si="71"/>
        <v>123975</v>
      </c>
      <c r="S43" s="7">
        <f t="shared" si="71"/>
        <v>130000</v>
      </c>
      <c r="T43" s="7">
        <f t="shared" si="71"/>
        <v>200000</v>
      </c>
      <c r="U43" s="7">
        <f t="shared" si="71"/>
        <v>453975</v>
      </c>
      <c r="V43" s="11">
        <f t="shared" si="58"/>
        <v>1.1066125290023203</v>
      </c>
      <c r="Y43" s="7">
        <f t="shared" ref="Y43:AJ43" si="72">SUM(Y39:Y42)</f>
        <v>17778.250000000004</v>
      </c>
      <c r="Z43" s="7">
        <f t="shared" si="72"/>
        <v>30318</v>
      </c>
      <c r="AA43" s="7">
        <f t="shared" si="72"/>
        <v>35397.5</v>
      </c>
      <c r="AB43" s="7">
        <f t="shared" si="72"/>
        <v>31587.875</v>
      </c>
      <c r="AC43" s="7">
        <f t="shared" si="72"/>
        <v>32857.75</v>
      </c>
      <c r="AD43" s="7">
        <f t="shared" si="72"/>
        <v>40318</v>
      </c>
      <c r="AE43" s="7">
        <f t="shared" si="72"/>
        <v>40318</v>
      </c>
      <c r="AF43" s="7">
        <f t="shared" si="72"/>
        <v>36508.375</v>
      </c>
      <c r="AG43" s="7">
        <f t="shared" si="72"/>
        <v>44127.625</v>
      </c>
      <c r="AH43" s="7">
        <f t="shared" si="72"/>
        <v>55397.5</v>
      </c>
      <c r="AI43" s="7">
        <f t="shared" si="72"/>
        <v>51587.875</v>
      </c>
      <c r="AJ43" s="7">
        <f t="shared" si="72"/>
        <v>37778.25</v>
      </c>
    </row>
    <row r="48" spans="2:36">
      <c r="B48" s="12" t="s">
        <v>236</v>
      </c>
      <c r="X48" t="s">
        <v>360</v>
      </c>
      <c r="Y48" s="141">
        <v>0.08</v>
      </c>
      <c r="Z48" s="141">
        <v>0.08</v>
      </c>
      <c r="AA48" s="141">
        <v>0.09</v>
      </c>
      <c r="AB48" s="141">
        <v>0.09</v>
      </c>
      <c r="AC48" s="141">
        <v>0.09</v>
      </c>
      <c r="AD48" s="141">
        <v>7.4999999999999997E-2</v>
      </c>
      <c r="AE48" s="141">
        <v>7.0000000000000007E-2</v>
      </c>
      <c r="AF48" s="141">
        <v>0.06</v>
      </c>
      <c r="AG48" s="141">
        <v>9.5000000000000001E-2</v>
      </c>
      <c r="AH48" s="141">
        <v>0.105</v>
      </c>
      <c r="AI48" s="141">
        <v>0.09</v>
      </c>
      <c r="AJ48" s="141">
        <v>7.4999999999999997E-2</v>
      </c>
    </row>
    <row r="49" spans="2:36">
      <c r="C49" s="236">
        <v>2025</v>
      </c>
      <c r="D49" s="236"/>
      <c r="E49" s="236"/>
      <c r="F49" s="236"/>
      <c r="G49" s="236"/>
      <c r="H49" s="236"/>
      <c r="J49" s="236">
        <v>2026</v>
      </c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X49" t="s">
        <v>361</v>
      </c>
      <c r="Y49" s="141">
        <v>0</v>
      </c>
      <c r="Z49" s="141">
        <v>0.05</v>
      </c>
      <c r="AA49" s="141">
        <v>0.05</v>
      </c>
      <c r="AB49" s="141">
        <v>0.05</v>
      </c>
      <c r="AC49" s="141">
        <v>0.05</v>
      </c>
      <c r="AD49" s="141">
        <v>0.1</v>
      </c>
      <c r="AE49" s="141">
        <v>0.1</v>
      </c>
      <c r="AF49" s="141">
        <v>0.1</v>
      </c>
      <c r="AG49" s="141">
        <v>0.1</v>
      </c>
      <c r="AH49" s="141">
        <v>0.15</v>
      </c>
      <c r="AI49" s="141">
        <v>0.15</v>
      </c>
      <c r="AJ49" s="141">
        <v>0.1</v>
      </c>
    </row>
    <row r="50" spans="2:36" ht="45">
      <c r="C50" s="2" t="s">
        <v>327</v>
      </c>
      <c r="D50" s="2" t="s">
        <v>182</v>
      </c>
      <c r="E50" s="2" t="s">
        <v>328</v>
      </c>
      <c r="F50" s="2" t="s">
        <v>329</v>
      </c>
      <c r="G50" s="2" t="s">
        <v>330</v>
      </c>
      <c r="H50" s="2" t="s">
        <v>331</v>
      </c>
      <c r="J50" s="2" t="s">
        <v>327</v>
      </c>
      <c r="K50" s="2" t="s">
        <v>332</v>
      </c>
      <c r="L50" s="2" t="s">
        <v>333</v>
      </c>
      <c r="M50" s="2" t="s">
        <v>334</v>
      </c>
      <c r="N50" s="2" t="s">
        <v>335</v>
      </c>
      <c r="O50" s="2" t="s">
        <v>336</v>
      </c>
      <c r="P50" s="2" t="s">
        <v>337</v>
      </c>
      <c r="Q50" s="2" t="s">
        <v>338</v>
      </c>
      <c r="R50" s="2" t="s">
        <v>339</v>
      </c>
      <c r="S50" s="2" t="s">
        <v>340</v>
      </c>
      <c r="T50" s="2" t="s">
        <v>341</v>
      </c>
      <c r="U50" s="2" t="s">
        <v>255</v>
      </c>
      <c r="V50" s="2" t="s">
        <v>319</v>
      </c>
      <c r="Y50" s="183">
        <v>46023</v>
      </c>
      <c r="Z50" s="183">
        <v>46054</v>
      </c>
      <c r="AA50" s="183">
        <v>46082</v>
      </c>
      <c r="AB50" s="183">
        <v>46113</v>
      </c>
      <c r="AC50" s="183">
        <v>46143</v>
      </c>
      <c r="AD50" s="183">
        <v>46174</v>
      </c>
      <c r="AE50" s="183">
        <v>46204</v>
      </c>
      <c r="AF50" s="183">
        <v>46235</v>
      </c>
      <c r="AG50" s="183">
        <v>46266</v>
      </c>
      <c r="AH50" s="183">
        <v>46296</v>
      </c>
      <c r="AI50" s="183">
        <v>46327</v>
      </c>
      <c r="AJ50" s="183">
        <v>46357</v>
      </c>
    </row>
    <row r="51" spans="2:36">
      <c r="B51" t="s">
        <v>236</v>
      </c>
      <c r="C51">
        <v>8</v>
      </c>
      <c r="D51">
        <v>10</v>
      </c>
      <c r="E51" s="3">
        <v>110000</v>
      </c>
      <c r="F51" s="3">
        <v>90000</v>
      </c>
      <c r="G51" s="3">
        <f>SUM(E51:F51)</f>
        <v>200000</v>
      </c>
      <c r="H51" s="5">
        <f>E51/C51</f>
        <v>13750</v>
      </c>
      <c r="J51">
        <f>C51</f>
        <v>8</v>
      </c>
      <c r="K51">
        <f>D51</f>
        <v>10</v>
      </c>
      <c r="L51">
        <v>8</v>
      </c>
      <c r="M51" s="9">
        <v>-0.03</v>
      </c>
      <c r="N51" s="9">
        <v>0.5</v>
      </c>
      <c r="O51" s="5">
        <f>H51*(1+M51)</f>
        <v>13337.5</v>
      </c>
      <c r="P51" s="4">
        <f>(F51/D51)*(1+N51)</f>
        <v>13500</v>
      </c>
      <c r="Q51" s="3">
        <v>10000</v>
      </c>
      <c r="R51" s="4">
        <f>O51*J51</f>
        <v>106700</v>
      </c>
      <c r="S51" s="4">
        <f>P51*K51</f>
        <v>135000</v>
      </c>
      <c r="T51" s="4">
        <f>Q51*L51</f>
        <v>80000</v>
      </c>
      <c r="U51" s="4">
        <f>SUM(R51:T51)</f>
        <v>321700</v>
      </c>
      <c r="V51" s="10">
        <f>U51/G51-1</f>
        <v>0.60850000000000004</v>
      </c>
      <c r="Y51" s="186">
        <f>SUM($R51,$S51)*Y$48+$T51*Y$49</f>
        <v>19336</v>
      </c>
      <c r="Z51" s="186">
        <f t="shared" ref="Z51:AJ51" si="73">SUM($R51,$S51)*Z$48+$T51*Z$49</f>
        <v>23336</v>
      </c>
      <c r="AA51" s="186">
        <f t="shared" si="73"/>
        <v>25753</v>
      </c>
      <c r="AB51" s="186">
        <f t="shared" si="73"/>
        <v>25753</v>
      </c>
      <c r="AC51" s="186">
        <f t="shared" si="73"/>
        <v>25753</v>
      </c>
      <c r="AD51" s="186">
        <f t="shared" si="73"/>
        <v>26127.5</v>
      </c>
      <c r="AE51" s="186">
        <f t="shared" si="73"/>
        <v>24919</v>
      </c>
      <c r="AF51" s="186">
        <f t="shared" si="73"/>
        <v>22502</v>
      </c>
      <c r="AG51" s="186">
        <f t="shared" si="73"/>
        <v>30961.5</v>
      </c>
      <c r="AH51" s="186">
        <f t="shared" si="73"/>
        <v>37378.5</v>
      </c>
      <c r="AI51" s="186">
        <f t="shared" si="73"/>
        <v>33753</v>
      </c>
      <c r="AJ51" s="186">
        <f t="shared" si="73"/>
        <v>26127.5</v>
      </c>
    </row>
    <row r="52" spans="2:36">
      <c r="B52" s="6" t="s">
        <v>362</v>
      </c>
      <c r="C52" s="7">
        <f>SUM(C51:C51)</f>
        <v>8</v>
      </c>
      <c r="D52" s="7">
        <f>SUM(D51:D51)</f>
        <v>10</v>
      </c>
      <c r="E52" s="7">
        <f>SUM(E51:E51)</f>
        <v>110000</v>
      </c>
      <c r="F52" s="7">
        <f>SUM(F51:F51)</f>
        <v>90000</v>
      </c>
      <c r="G52" s="7">
        <f>SUM(G51:G51)</f>
        <v>200000</v>
      </c>
      <c r="H52" s="8">
        <f t="shared" ref="H52" si="74">E52/C52</f>
        <v>13750</v>
      </c>
      <c r="J52" s="7">
        <f>SUM(J51:J51)</f>
        <v>8</v>
      </c>
      <c r="K52" s="7">
        <f>SUM(K51:K51)</f>
        <v>10</v>
      </c>
      <c r="L52" s="7">
        <f>SUM(L51:L51)</f>
        <v>8</v>
      </c>
      <c r="M52" s="7"/>
      <c r="N52" s="7"/>
      <c r="O52" s="7">
        <f t="shared" ref="O52:U52" si="75">SUM(O51:O51)</f>
        <v>13337.5</v>
      </c>
      <c r="P52" s="7">
        <f t="shared" si="75"/>
        <v>13500</v>
      </c>
      <c r="Q52" s="7">
        <f t="shared" si="75"/>
        <v>10000</v>
      </c>
      <c r="R52" s="7">
        <f t="shared" si="75"/>
        <v>106700</v>
      </c>
      <c r="S52" s="7">
        <f t="shared" si="75"/>
        <v>135000</v>
      </c>
      <c r="T52" s="7">
        <f t="shared" si="75"/>
        <v>80000</v>
      </c>
      <c r="U52" s="7">
        <f t="shared" si="75"/>
        <v>321700</v>
      </c>
      <c r="V52" s="11">
        <f t="shared" ref="V52" si="76">U52/G52-1</f>
        <v>0.60850000000000004</v>
      </c>
    </row>
    <row r="54" spans="2:36">
      <c r="B54" t="s">
        <v>64</v>
      </c>
      <c r="U54">
        <v>175000</v>
      </c>
      <c r="Y54" s="186">
        <f>$U54*Y$48</f>
        <v>14000</v>
      </c>
      <c r="Z54" s="186">
        <f t="shared" ref="Z54:AJ54" si="77">$U54*Z$48</f>
        <v>14000</v>
      </c>
      <c r="AA54" s="186">
        <f t="shared" si="77"/>
        <v>15750</v>
      </c>
      <c r="AB54" s="186">
        <f t="shared" si="77"/>
        <v>15750</v>
      </c>
      <c r="AC54" s="186">
        <f t="shared" si="77"/>
        <v>15750</v>
      </c>
      <c r="AD54" s="186">
        <f t="shared" si="77"/>
        <v>13125</v>
      </c>
      <c r="AE54" s="186">
        <f t="shared" si="77"/>
        <v>12250.000000000002</v>
      </c>
      <c r="AF54" s="186">
        <f t="shared" si="77"/>
        <v>10500</v>
      </c>
      <c r="AG54" s="186">
        <f t="shared" si="77"/>
        <v>16625</v>
      </c>
      <c r="AH54" s="186">
        <f t="shared" si="77"/>
        <v>18375</v>
      </c>
      <c r="AI54" s="186">
        <f t="shared" si="77"/>
        <v>15750</v>
      </c>
      <c r="AJ54" s="186">
        <f t="shared" si="77"/>
        <v>13125</v>
      </c>
    </row>
    <row r="58" spans="2:36">
      <c r="B58" s="12" t="s">
        <v>238</v>
      </c>
      <c r="X58" t="s">
        <v>363</v>
      </c>
      <c r="Y58" s="141">
        <v>0.08</v>
      </c>
      <c r="Z58" s="141">
        <v>0.08</v>
      </c>
      <c r="AA58" s="141">
        <v>0.09</v>
      </c>
      <c r="AB58" s="141">
        <v>0.09</v>
      </c>
      <c r="AC58" s="141">
        <v>0.09</v>
      </c>
      <c r="AD58" s="141">
        <v>0.08</v>
      </c>
      <c r="AE58" s="141">
        <v>0.08</v>
      </c>
      <c r="AF58" s="141">
        <v>0.06</v>
      </c>
      <c r="AG58" s="141">
        <v>0.09</v>
      </c>
      <c r="AH58" s="141">
        <v>0.1</v>
      </c>
      <c r="AI58" s="141">
        <v>0.09</v>
      </c>
      <c r="AJ58" s="141">
        <v>7.0000000000000007E-2</v>
      </c>
    </row>
    <row r="59" spans="2:36">
      <c r="C59" s="236">
        <v>2025</v>
      </c>
      <c r="D59" s="236"/>
      <c r="E59" s="236"/>
      <c r="F59" s="236"/>
      <c r="G59" s="236"/>
      <c r="H59" s="236"/>
      <c r="J59" s="236">
        <v>2026</v>
      </c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X59" t="s">
        <v>364</v>
      </c>
      <c r="Y59" s="141">
        <v>0</v>
      </c>
      <c r="Z59" s="141">
        <v>0.05</v>
      </c>
      <c r="AA59" s="141">
        <v>0.05</v>
      </c>
      <c r="AB59" s="141">
        <v>0.05</v>
      </c>
      <c r="AC59" s="141">
        <v>0.05</v>
      </c>
      <c r="AD59" s="141">
        <v>0.1</v>
      </c>
      <c r="AE59" s="141">
        <v>0.1</v>
      </c>
      <c r="AF59" s="141">
        <v>0.1</v>
      </c>
      <c r="AG59" s="141">
        <v>0.1</v>
      </c>
      <c r="AH59" s="141">
        <v>0.15</v>
      </c>
      <c r="AI59" s="141">
        <v>0.15</v>
      </c>
      <c r="AJ59" s="141">
        <v>0.1</v>
      </c>
    </row>
    <row r="60" spans="2:36" ht="45">
      <c r="C60" s="2" t="s">
        <v>327</v>
      </c>
      <c r="D60" s="2" t="s">
        <v>182</v>
      </c>
      <c r="E60" s="2" t="s">
        <v>328</v>
      </c>
      <c r="F60" s="2" t="s">
        <v>329</v>
      </c>
      <c r="G60" s="2" t="s">
        <v>330</v>
      </c>
      <c r="H60" s="2" t="s">
        <v>331</v>
      </c>
      <c r="J60" s="2" t="s">
        <v>327</v>
      </c>
      <c r="K60" s="2" t="s">
        <v>332</v>
      </c>
      <c r="L60" s="2" t="s">
        <v>333</v>
      </c>
      <c r="M60" s="2" t="s">
        <v>334</v>
      </c>
      <c r="N60" s="2" t="s">
        <v>335</v>
      </c>
      <c r="O60" s="2" t="s">
        <v>336</v>
      </c>
      <c r="P60" s="2" t="s">
        <v>337</v>
      </c>
      <c r="Q60" s="2" t="s">
        <v>338</v>
      </c>
      <c r="R60" s="2" t="s">
        <v>339</v>
      </c>
      <c r="S60" s="2" t="s">
        <v>340</v>
      </c>
      <c r="T60" s="2" t="s">
        <v>341</v>
      </c>
      <c r="U60" s="2" t="s">
        <v>255</v>
      </c>
      <c r="V60" s="2" t="s">
        <v>319</v>
      </c>
      <c r="Y60" s="183">
        <v>46023</v>
      </c>
      <c r="Z60" s="183">
        <v>46054</v>
      </c>
      <c r="AA60" s="183">
        <v>46082</v>
      </c>
      <c r="AB60" s="183">
        <v>46113</v>
      </c>
      <c r="AC60" s="183">
        <v>46143</v>
      </c>
      <c r="AD60" s="183">
        <v>46174</v>
      </c>
      <c r="AE60" s="183">
        <v>46204</v>
      </c>
      <c r="AF60" s="183">
        <v>46235</v>
      </c>
      <c r="AG60" s="183">
        <v>46266</v>
      </c>
      <c r="AH60" s="183">
        <v>46296</v>
      </c>
      <c r="AI60" s="183">
        <v>46327</v>
      </c>
      <c r="AJ60" s="183">
        <v>46357</v>
      </c>
    </row>
    <row r="61" spans="2:36">
      <c r="B61" t="s">
        <v>365</v>
      </c>
      <c r="C61">
        <v>4</v>
      </c>
      <c r="D61">
        <v>3</v>
      </c>
      <c r="E61" s="3">
        <v>51375</v>
      </c>
      <c r="F61" s="3">
        <v>30477</v>
      </c>
      <c r="G61" s="3">
        <f>SUM(E61:F61)</f>
        <v>81852</v>
      </c>
      <c r="H61" s="5">
        <f>E61/C61</f>
        <v>12843.75</v>
      </c>
      <c r="J61">
        <f>C61</f>
        <v>4</v>
      </c>
      <c r="K61">
        <f>D61</f>
        <v>3</v>
      </c>
      <c r="L61">
        <v>5</v>
      </c>
      <c r="M61" s="9">
        <v>-0.05</v>
      </c>
      <c r="N61" s="9">
        <v>0.5</v>
      </c>
      <c r="O61" s="5">
        <f>H61*(1+M61)</f>
        <v>12201.5625</v>
      </c>
      <c r="P61" s="4">
        <f>(F61/D61)*(1+N61)</f>
        <v>15238.5</v>
      </c>
      <c r="Q61" s="3">
        <v>10000</v>
      </c>
      <c r="R61" s="4">
        <f>O61*J61</f>
        <v>48806.25</v>
      </c>
      <c r="S61" s="4">
        <f>P61*K61</f>
        <v>45715.5</v>
      </c>
      <c r="T61" s="4">
        <f>Q61*L61</f>
        <v>50000</v>
      </c>
      <c r="U61" s="4">
        <f>SUM(R61:T61)</f>
        <v>144521.75</v>
      </c>
      <c r="V61" s="10">
        <f>U61/G61-1</f>
        <v>0.76564714362507935</v>
      </c>
      <c r="Y61" s="186">
        <f>SUM($R61,$S61)*Y$58+$T61*Y$59</f>
        <v>7561.74</v>
      </c>
      <c r="Z61" s="186">
        <f t="shared" ref="Z61:AJ65" si="78">SUM($R61,$S61)*Z$58+$T61*Z$59</f>
        <v>10061.74</v>
      </c>
      <c r="AA61" s="186">
        <f t="shared" si="78"/>
        <v>11006.9575</v>
      </c>
      <c r="AB61" s="186">
        <f t="shared" si="78"/>
        <v>11006.9575</v>
      </c>
      <c r="AC61" s="186">
        <f t="shared" si="78"/>
        <v>11006.9575</v>
      </c>
      <c r="AD61" s="186">
        <f t="shared" si="78"/>
        <v>12561.74</v>
      </c>
      <c r="AE61" s="186">
        <f t="shared" si="78"/>
        <v>12561.74</v>
      </c>
      <c r="AF61" s="186">
        <f t="shared" si="78"/>
        <v>10671.305</v>
      </c>
      <c r="AG61" s="186">
        <f t="shared" si="78"/>
        <v>13506.9575</v>
      </c>
      <c r="AH61" s="186">
        <f t="shared" si="78"/>
        <v>16952.175000000003</v>
      </c>
      <c r="AI61" s="186">
        <f t="shared" si="78"/>
        <v>16006.9575</v>
      </c>
      <c r="AJ61" s="186">
        <f t="shared" si="78"/>
        <v>11616.522500000001</v>
      </c>
    </row>
    <row r="62" spans="2:36">
      <c r="B62" t="s">
        <v>366</v>
      </c>
      <c r="C62">
        <v>11</v>
      </c>
      <c r="D62">
        <v>3</v>
      </c>
      <c r="E62" s="3">
        <v>210982</v>
      </c>
      <c r="F62" s="3">
        <v>18347</v>
      </c>
      <c r="G62" s="3">
        <f t="shared" ref="G62:G65" si="79">SUM(E62:F62)</f>
        <v>229329</v>
      </c>
      <c r="H62" s="5">
        <f t="shared" ref="H62:H64" si="80">E62/C62</f>
        <v>19180.18181818182</v>
      </c>
      <c r="J62">
        <f t="shared" ref="J62:J65" si="81">C62</f>
        <v>11</v>
      </c>
      <c r="K62">
        <f t="shared" ref="K62:K65" si="82">D62</f>
        <v>3</v>
      </c>
      <c r="L62">
        <v>5</v>
      </c>
      <c r="M62" s="9">
        <v>-0.05</v>
      </c>
      <c r="N62" s="9">
        <v>0.5</v>
      </c>
      <c r="O62" s="5">
        <f t="shared" ref="O62:O64" si="83">H62*(1+M62)</f>
        <v>18221.172727272729</v>
      </c>
      <c r="P62" s="4">
        <f t="shared" ref="P62:P64" si="84">(F62/D62)*(1+N62)</f>
        <v>9173.5</v>
      </c>
      <c r="Q62" s="3">
        <v>10000</v>
      </c>
      <c r="R62" s="4">
        <f t="shared" ref="R62:R64" si="85">O62*J62</f>
        <v>200432.90000000002</v>
      </c>
      <c r="S62" s="4">
        <f t="shared" ref="S62:S64" si="86">P62*K62</f>
        <v>27520.5</v>
      </c>
      <c r="T62" s="4">
        <f t="shared" ref="T62:T64" si="87">Q62*L62</f>
        <v>50000</v>
      </c>
      <c r="U62" s="4">
        <f t="shared" ref="U62:U64" si="88">SUM(R62:T62)</f>
        <v>277953.40000000002</v>
      </c>
      <c r="V62" s="10">
        <f t="shared" ref="V62:V64" si="89">U62/G62-1</f>
        <v>0.21202900636203892</v>
      </c>
      <c r="Y62" s="186">
        <f t="shared" ref="Y62:Y65" si="90">SUM($R62,$S62)*Y$58+$T62*Y$59</f>
        <v>18236.272000000001</v>
      </c>
      <c r="Z62" s="186">
        <f t="shared" si="78"/>
        <v>20736.272000000001</v>
      </c>
      <c r="AA62" s="186">
        <f t="shared" si="78"/>
        <v>23015.806</v>
      </c>
      <c r="AB62" s="186">
        <f t="shared" si="78"/>
        <v>23015.806</v>
      </c>
      <c r="AC62" s="186">
        <f t="shared" si="78"/>
        <v>23015.806</v>
      </c>
      <c r="AD62" s="186">
        <f t="shared" si="78"/>
        <v>23236.272000000001</v>
      </c>
      <c r="AE62" s="186">
        <f t="shared" si="78"/>
        <v>23236.272000000001</v>
      </c>
      <c r="AF62" s="186">
        <f t="shared" si="78"/>
        <v>18677.204000000002</v>
      </c>
      <c r="AG62" s="186">
        <f t="shared" si="78"/>
        <v>25515.806</v>
      </c>
      <c r="AH62" s="186">
        <f t="shared" si="78"/>
        <v>30295.340000000004</v>
      </c>
      <c r="AI62" s="186">
        <f t="shared" si="78"/>
        <v>28015.806</v>
      </c>
      <c r="AJ62" s="186">
        <f t="shared" si="78"/>
        <v>20956.738000000005</v>
      </c>
    </row>
    <row r="63" spans="2:36">
      <c r="B63" t="s">
        <v>367</v>
      </c>
      <c r="C63">
        <v>4</v>
      </c>
      <c r="D63">
        <v>4</v>
      </c>
      <c r="E63" s="3">
        <v>71263</v>
      </c>
      <c r="F63" s="3">
        <v>30109</v>
      </c>
      <c r="G63" s="3">
        <f t="shared" si="79"/>
        <v>101372</v>
      </c>
      <c r="H63" s="5">
        <f t="shared" si="80"/>
        <v>17815.75</v>
      </c>
      <c r="J63">
        <f t="shared" si="81"/>
        <v>4</v>
      </c>
      <c r="K63">
        <f t="shared" si="82"/>
        <v>4</v>
      </c>
      <c r="L63">
        <v>5</v>
      </c>
      <c r="M63" s="9">
        <v>-0.05</v>
      </c>
      <c r="N63" s="9">
        <v>0.5</v>
      </c>
      <c r="O63" s="5">
        <f t="shared" si="83"/>
        <v>16924.962499999998</v>
      </c>
      <c r="P63" s="4">
        <f t="shared" si="84"/>
        <v>11290.875</v>
      </c>
      <c r="Q63" s="3">
        <v>10000</v>
      </c>
      <c r="R63" s="4">
        <f t="shared" si="85"/>
        <v>67699.849999999991</v>
      </c>
      <c r="S63" s="4">
        <f t="shared" si="86"/>
        <v>45163.5</v>
      </c>
      <c r="T63" s="4">
        <f t="shared" si="87"/>
        <v>50000</v>
      </c>
      <c r="U63" s="4">
        <f t="shared" si="88"/>
        <v>162863.34999999998</v>
      </c>
      <c r="V63" s="10">
        <f t="shared" si="89"/>
        <v>0.60659107051256744</v>
      </c>
      <c r="Y63" s="186">
        <f t="shared" si="90"/>
        <v>9029.0679999999993</v>
      </c>
      <c r="Z63" s="186">
        <f t="shared" si="78"/>
        <v>11529.067999999999</v>
      </c>
      <c r="AA63" s="186">
        <f t="shared" si="78"/>
        <v>12657.701499999999</v>
      </c>
      <c r="AB63" s="186">
        <f t="shared" si="78"/>
        <v>12657.701499999999</v>
      </c>
      <c r="AC63" s="186">
        <f t="shared" si="78"/>
        <v>12657.701499999999</v>
      </c>
      <c r="AD63" s="186">
        <f t="shared" si="78"/>
        <v>14029.067999999999</v>
      </c>
      <c r="AE63" s="186">
        <f t="shared" si="78"/>
        <v>14029.067999999999</v>
      </c>
      <c r="AF63" s="186">
        <f t="shared" si="78"/>
        <v>11771.800999999999</v>
      </c>
      <c r="AG63" s="186">
        <f t="shared" si="78"/>
        <v>15157.701499999999</v>
      </c>
      <c r="AH63" s="186">
        <f t="shared" si="78"/>
        <v>18786.334999999999</v>
      </c>
      <c r="AI63" s="186">
        <f t="shared" si="78"/>
        <v>17657.701499999999</v>
      </c>
      <c r="AJ63" s="186">
        <f t="shared" si="78"/>
        <v>12900.434499999999</v>
      </c>
    </row>
    <row r="64" spans="2:36">
      <c r="B64" t="s">
        <v>368</v>
      </c>
      <c r="C64">
        <v>12</v>
      </c>
      <c r="D64">
        <v>5</v>
      </c>
      <c r="E64" s="3">
        <v>245675</v>
      </c>
      <c r="F64" s="3">
        <v>61068</v>
      </c>
      <c r="G64" s="3">
        <f t="shared" ref="G64" si="91">SUM(E64:F64)</f>
        <v>306743</v>
      </c>
      <c r="H64" s="5">
        <f t="shared" si="80"/>
        <v>20472.916666666668</v>
      </c>
      <c r="J64">
        <f t="shared" ref="J64" si="92">C64</f>
        <v>12</v>
      </c>
      <c r="K64">
        <f t="shared" ref="K64" si="93">D64</f>
        <v>5</v>
      </c>
      <c r="L64">
        <v>5</v>
      </c>
      <c r="M64" s="9">
        <v>-0.1</v>
      </c>
      <c r="N64" s="9">
        <v>0.5</v>
      </c>
      <c r="O64" s="5">
        <f t="shared" si="83"/>
        <v>18425.625</v>
      </c>
      <c r="P64" s="4">
        <f t="shared" si="84"/>
        <v>18320.400000000001</v>
      </c>
      <c r="Q64" s="3">
        <v>10000</v>
      </c>
      <c r="R64" s="4">
        <f t="shared" si="85"/>
        <v>221107.5</v>
      </c>
      <c r="S64" s="4">
        <f t="shared" si="86"/>
        <v>91602</v>
      </c>
      <c r="T64" s="4">
        <f t="shared" si="87"/>
        <v>50000</v>
      </c>
      <c r="U64" s="4">
        <f t="shared" si="88"/>
        <v>362709.5</v>
      </c>
      <c r="V64" s="10">
        <f t="shared" si="89"/>
        <v>0.1824540413310165</v>
      </c>
      <c r="Y64" s="186">
        <f t="shared" si="90"/>
        <v>25016.760000000002</v>
      </c>
      <c r="Z64" s="186">
        <f t="shared" si="78"/>
        <v>27516.760000000002</v>
      </c>
      <c r="AA64" s="186">
        <f t="shared" si="78"/>
        <v>30643.855</v>
      </c>
      <c r="AB64" s="186">
        <f t="shared" si="78"/>
        <v>30643.855</v>
      </c>
      <c r="AC64" s="186">
        <f t="shared" si="78"/>
        <v>30643.855</v>
      </c>
      <c r="AD64" s="186">
        <f t="shared" si="78"/>
        <v>30016.760000000002</v>
      </c>
      <c r="AE64" s="186">
        <f t="shared" si="78"/>
        <v>30016.760000000002</v>
      </c>
      <c r="AF64" s="186">
        <f t="shared" si="78"/>
        <v>23762.57</v>
      </c>
      <c r="AG64" s="186">
        <f t="shared" si="78"/>
        <v>33143.854999999996</v>
      </c>
      <c r="AH64" s="186">
        <f t="shared" si="78"/>
        <v>38770.949999999997</v>
      </c>
      <c r="AI64" s="186">
        <f t="shared" si="78"/>
        <v>35643.854999999996</v>
      </c>
      <c r="AJ64" s="186">
        <f t="shared" si="78"/>
        <v>26889.665000000001</v>
      </c>
    </row>
    <row r="65" spans="2:36">
      <c r="B65" t="s">
        <v>197</v>
      </c>
      <c r="C65">
        <v>0</v>
      </c>
      <c r="D65">
        <v>2</v>
      </c>
      <c r="E65" s="3">
        <v>0</v>
      </c>
      <c r="F65" s="3">
        <v>17597</v>
      </c>
      <c r="G65" s="3">
        <f t="shared" si="79"/>
        <v>17597</v>
      </c>
      <c r="H65" s="5">
        <v>0</v>
      </c>
      <c r="J65">
        <f t="shared" si="81"/>
        <v>0</v>
      </c>
      <c r="K65">
        <f t="shared" si="82"/>
        <v>2</v>
      </c>
      <c r="L65">
        <v>0</v>
      </c>
      <c r="M65" s="9">
        <v>-0.05</v>
      </c>
      <c r="N65" s="9">
        <v>1</v>
      </c>
      <c r="O65" s="5">
        <f>H65*(1+M65)</f>
        <v>0</v>
      </c>
      <c r="P65" s="4">
        <f>(F65/D65)*(1+N65)</f>
        <v>17597</v>
      </c>
      <c r="Q65" s="3">
        <v>10000</v>
      </c>
      <c r="R65" s="4">
        <f>O65*J65</f>
        <v>0</v>
      </c>
      <c r="S65" s="4">
        <f>P65*K65</f>
        <v>35194</v>
      </c>
      <c r="T65" s="4">
        <f>Q65*L65</f>
        <v>0</v>
      </c>
      <c r="U65" s="4">
        <f>SUM(R65:T65)</f>
        <v>35194</v>
      </c>
      <c r="V65" s="10">
        <f>U65/G65-1</f>
        <v>1</v>
      </c>
      <c r="Y65" s="186">
        <f t="shared" si="90"/>
        <v>2815.52</v>
      </c>
      <c r="Z65" s="186">
        <f t="shared" si="78"/>
        <v>2815.52</v>
      </c>
      <c r="AA65" s="186">
        <f t="shared" si="78"/>
        <v>3167.46</v>
      </c>
      <c r="AB65" s="186">
        <f t="shared" si="78"/>
        <v>3167.46</v>
      </c>
      <c r="AC65" s="186">
        <f t="shared" si="78"/>
        <v>3167.46</v>
      </c>
      <c r="AD65" s="186">
        <f t="shared" si="78"/>
        <v>2815.52</v>
      </c>
      <c r="AE65" s="186">
        <f t="shared" si="78"/>
        <v>2815.52</v>
      </c>
      <c r="AF65" s="186">
        <f t="shared" si="78"/>
        <v>2111.64</v>
      </c>
      <c r="AG65" s="186">
        <f t="shared" si="78"/>
        <v>3167.46</v>
      </c>
      <c r="AH65" s="186">
        <f t="shared" si="78"/>
        <v>3519.4</v>
      </c>
      <c r="AI65" s="186">
        <f t="shared" si="78"/>
        <v>3167.46</v>
      </c>
      <c r="AJ65" s="186">
        <f t="shared" si="78"/>
        <v>2463.5800000000004</v>
      </c>
    </row>
    <row r="66" spans="2:36">
      <c r="B66" s="6" t="s">
        <v>359</v>
      </c>
      <c r="C66" s="7">
        <f>SUM(C61:C65)</f>
        <v>31</v>
      </c>
      <c r="D66" s="7">
        <f>SUM(D61:D65)</f>
        <v>17</v>
      </c>
      <c r="E66" s="7">
        <f>SUM(E61:E65)</f>
        <v>579295</v>
      </c>
      <c r="F66" s="7">
        <f>SUM(F61:F65)</f>
        <v>157598</v>
      </c>
      <c r="G66" s="7">
        <f>SUM(G61:G65)</f>
        <v>736893</v>
      </c>
      <c r="H66" s="8">
        <f t="shared" ref="H66" si="94">E66/C66</f>
        <v>18686.935483870966</v>
      </c>
      <c r="J66" s="7">
        <f>SUM(J61:J65)</f>
        <v>31</v>
      </c>
      <c r="K66" s="7">
        <f>SUM(K61:K65)</f>
        <v>17</v>
      </c>
      <c r="L66" s="7">
        <f>SUM(L61:L65)</f>
        <v>20</v>
      </c>
      <c r="M66" s="7"/>
      <c r="N66" s="7"/>
      <c r="O66" s="7">
        <f t="shared" ref="O66:U66" si="95">SUM(O61:O65)</f>
        <v>65773.322727272724</v>
      </c>
      <c r="P66" s="7">
        <f t="shared" si="95"/>
        <v>71620.274999999994</v>
      </c>
      <c r="Q66" s="7">
        <f t="shared" si="95"/>
        <v>50000</v>
      </c>
      <c r="R66" s="7">
        <f t="shared" si="95"/>
        <v>538046.5</v>
      </c>
      <c r="S66" s="7">
        <f t="shared" si="95"/>
        <v>245195.5</v>
      </c>
      <c r="T66" s="7">
        <f t="shared" si="95"/>
        <v>200000</v>
      </c>
      <c r="U66" s="7">
        <f t="shared" si="95"/>
        <v>983242</v>
      </c>
      <c r="V66" s="11">
        <f t="shared" ref="V66" si="96">U66/G66-1</f>
        <v>0.33430769460423693</v>
      </c>
      <c r="Y66" s="7">
        <f t="shared" ref="Y66:AJ66" si="97">SUM(Y61:Y65)</f>
        <v>62659.360000000001</v>
      </c>
      <c r="Z66" s="7">
        <f t="shared" si="97"/>
        <v>72659.360000000001</v>
      </c>
      <c r="AA66" s="7">
        <f t="shared" si="97"/>
        <v>80491.78</v>
      </c>
      <c r="AB66" s="7">
        <f t="shared" si="97"/>
        <v>80491.78</v>
      </c>
      <c r="AC66" s="7">
        <f t="shared" si="97"/>
        <v>80491.78</v>
      </c>
      <c r="AD66" s="7">
        <f t="shared" si="97"/>
        <v>82659.360000000001</v>
      </c>
      <c r="AE66" s="7">
        <f t="shared" si="97"/>
        <v>82659.360000000001</v>
      </c>
      <c r="AF66" s="7">
        <f t="shared" si="97"/>
        <v>66994.52</v>
      </c>
      <c r="AG66" s="7">
        <f t="shared" si="97"/>
        <v>90491.78</v>
      </c>
      <c r="AH66" s="7">
        <f t="shared" si="97"/>
        <v>108324.2</v>
      </c>
      <c r="AI66" s="7">
        <f t="shared" si="97"/>
        <v>100491.78</v>
      </c>
      <c r="AJ66" s="7">
        <f t="shared" si="97"/>
        <v>74826.940000000017</v>
      </c>
    </row>
    <row r="69" spans="2:36">
      <c r="B69" t="s">
        <v>64</v>
      </c>
      <c r="U69">
        <v>20000</v>
      </c>
      <c r="Y69" s="186">
        <f>$U69*Y$58</f>
        <v>1600</v>
      </c>
      <c r="Z69" s="186">
        <f t="shared" ref="Z69:AJ69" si="98">$U69*Z$58</f>
        <v>1600</v>
      </c>
      <c r="AA69" s="186">
        <f t="shared" si="98"/>
        <v>1800</v>
      </c>
      <c r="AB69" s="186">
        <f t="shared" si="98"/>
        <v>1800</v>
      </c>
      <c r="AC69" s="186">
        <f t="shared" si="98"/>
        <v>1800</v>
      </c>
      <c r="AD69" s="186">
        <f t="shared" si="98"/>
        <v>1600</v>
      </c>
      <c r="AE69" s="186">
        <f t="shared" si="98"/>
        <v>1600</v>
      </c>
      <c r="AF69" s="186">
        <f t="shared" si="98"/>
        <v>1200</v>
      </c>
      <c r="AG69" s="186">
        <f t="shared" si="98"/>
        <v>1800</v>
      </c>
      <c r="AH69" s="186">
        <f t="shared" si="98"/>
        <v>2000</v>
      </c>
      <c r="AI69" s="186">
        <f t="shared" si="98"/>
        <v>1800</v>
      </c>
      <c r="AJ69" s="186">
        <f t="shared" si="98"/>
        <v>1400.0000000000002</v>
      </c>
    </row>
  </sheetData>
  <mergeCells count="12">
    <mergeCell ref="C3:H3"/>
    <mergeCell ref="J3:U3"/>
    <mergeCell ref="C49:H49"/>
    <mergeCell ref="J49:U49"/>
    <mergeCell ref="C59:H59"/>
    <mergeCell ref="J59:U59"/>
    <mergeCell ref="C17:H17"/>
    <mergeCell ref="J17:U17"/>
    <mergeCell ref="C27:H27"/>
    <mergeCell ref="J27:U27"/>
    <mergeCell ref="C37:H37"/>
    <mergeCell ref="J37:U37"/>
  </mergeCells>
  <pageMargins left="0.7" right="0.7" top="0.75" bottom="0.75" header="0.3" footer="0.3"/>
  <pageSetup paperSize="9" orientation="portrait" horizontalDpi="1200" verticalDpi="1200" r:id="rId1"/>
  <headerFooter>
    <oddHeader>&amp;C&amp;P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A0A9-EFD7-4973-9C2E-B6721C2B1B3C}">
  <sheetPr>
    <tabColor rgb="FF92D050"/>
  </sheetPr>
  <dimension ref="B1:AP19"/>
  <sheetViews>
    <sheetView showGridLines="0" workbookViewId="0">
      <selection activeCell="H14" sqref="H14"/>
    </sheetView>
  </sheetViews>
  <sheetFormatPr defaultColWidth="8.85546875" defaultRowHeight="15"/>
  <cols>
    <col min="2" max="2" width="23" bestFit="1" customWidth="1"/>
    <col min="4" max="10" width="12" customWidth="1"/>
    <col min="11" max="11" width="1.42578125" customWidth="1"/>
    <col min="12" max="15" width="9.85546875" customWidth="1"/>
    <col min="31" max="42" width="11.5703125" customWidth="1"/>
  </cols>
  <sheetData>
    <row r="1" spans="2:42">
      <c r="Q1" t="s">
        <v>369</v>
      </c>
      <c r="R1" t="s">
        <v>369</v>
      </c>
      <c r="S1" t="s">
        <v>369</v>
      </c>
      <c r="T1" t="s">
        <v>369</v>
      </c>
      <c r="U1" t="s">
        <v>369</v>
      </c>
      <c r="V1" t="s">
        <v>369</v>
      </c>
      <c r="W1" t="s">
        <v>369</v>
      </c>
      <c r="X1" t="s">
        <v>369</v>
      </c>
      <c r="Y1" t="s">
        <v>369</v>
      </c>
      <c r="Z1" t="s">
        <v>369</v>
      </c>
      <c r="AA1" t="s">
        <v>369</v>
      </c>
      <c r="AB1" t="s">
        <v>369</v>
      </c>
      <c r="AE1" t="s">
        <v>186</v>
      </c>
      <c r="AF1" t="s">
        <v>186</v>
      </c>
      <c r="AG1" t="s">
        <v>186</v>
      </c>
      <c r="AH1" t="s">
        <v>186</v>
      </c>
      <c r="AI1" t="s">
        <v>186</v>
      </c>
      <c r="AJ1" t="s">
        <v>186</v>
      </c>
      <c r="AK1" t="s">
        <v>186</v>
      </c>
      <c r="AL1" t="s">
        <v>186</v>
      </c>
      <c r="AM1" t="s">
        <v>186</v>
      </c>
      <c r="AN1" t="s">
        <v>186</v>
      </c>
      <c r="AO1" t="s">
        <v>186</v>
      </c>
      <c r="AP1" t="s">
        <v>186</v>
      </c>
    </row>
    <row r="2" spans="2:42" s="15" customFormat="1">
      <c r="B2" s="13"/>
      <c r="C2" s="13"/>
      <c r="D2" s="13">
        <v>2022</v>
      </c>
      <c r="E2" s="13">
        <v>2023</v>
      </c>
      <c r="F2" s="13">
        <v>2024</v>
      </c>
      <c r="G2" s="14" t="s">
        <v>257</v>
      </c>
      <c r="H2" s="14" t="s">
        <v>275</v>
      </c>
      <c r="I2" s="14" t="s">
        <v>279</v>
      </c>
      <c r="J2" s="14" t="s">
        <v>280</v>
      </c>
      <c r="K2" s="13"/>
      <c r="L2" s="14" t="s">
        <v>370</v>
      </c>
      <c r="M2" s="14" t="s">
        <v>319</v>
      </c>
      <c r="N2" s="14" t="s">
        <v>371</v>
      </c>
      <c r="O2" s="14" t="s">
        <v>372</v>
      </c>
      <c r="Q2" s="183">
        <v>46023</v>
      </c>
      <c r="R2" s="183">
        <v>46054</v>
      </c>
      <c r="S2" s="183">
        <v>46082</v>
      </c>
      <c r="T2" s="183">
        <v>46113</v>
      </c>
      <c r="U2" s="183">
        <v>46143</v>
      </c>
      <c r="V2" s="183">
        <v>46174</v>
      </c>
      <c r="W2" s="183">
        <v>46204</v>
      </c>
      <c r="X2" s="183">
        <v>46235</v>
      </c>
      <c r="Y2" s="183">
        <v>46266</v>
      </c>
      <c r="Z2" s="183">
        <v>46296</v>
      </c>
      <c r="AA2" s="183">
        <v>46327</v>
      </c>
      <c r="AB2" s="183">
        <v>46357</v>
      </c>
      <c r="AE2" s="183">
        <v>46023</v>
      </c>
      <c r="AF2" s="183">
        <v>46054</v>
      </c>
      <c r="AG2" s="183">
        <v>46082</v>
      </c>
      <c r="AH2" s="183">
        <v>46113</v>
      </c>
      <c r="AI2" s="183">
        <v>46143</v>
      </c>
      <c r="AJ2" s="183">
        <v>46174</v>
      </c>
      <c r="AK2" s="183">
        <v>46204</v>
      </c>
      <c r="AL2" s="183">
        <v>46235</v>
      </c>
      <c r="AM2" s="183">
        <v>46266</v>
      </c>
      <c r="AN2" s="183">
        <v>46296</v>
      </c>
      <c r="AO2" s="183">
        <v>46327</v>
      </c>
      <c r="AP2" s="183">
        <v>46357</v>
      </c>
    </row>
    <row r="3" spans="2:42">
      <c r="B3" t="s">
        <v>240</v>
      </c>
      <c r="D3" s="3">
        <v>595973.56999999995</v>
      </c>
      <c r="E3" s="3">
        <v>538700.35</v>
      </c>
      <c r="F3" s="3">
        <v>487425.33999999997</v>
      </c>
      <c r="G3" s="3">
        <v>600000</v>
      </c>
      <c r="H3" s="3">
        <v>625000</v>
      </c>
      <c r="I3" s="3">
        <v>650000</v>
      </c>
      <c r="J3" s="3">
        <v>675000</v>
      </c>
      <c r="L3" s="16">
        <v>0.23095775037054911</v>
      </c>
      <c r="M3" s="16">
        <v>4.1666666666666741E-2</v>
      </c>
      <c r="N3" s="16">
        <v>4.0000000000000036E-2</v>
      </c>
      <c r="O3" s="16">
        <v>3.8461538461538547E-2</v>
      </c>
      <c r="Q3" s="10">
        <v>0</v>
      </c>
      <c r="R3" s="10">
        <v>0.16</v>
      </c>
      <c r="S3" s="10">
        <v>0.12</v>
      </c>
      <c r="T3" s="10">
        <v>0</v>
      </c>
      <c r="U3" s="10">
        <v>0.12</v>
      </c>
      <c r="V3" s="10">
        <v>0.12</v>
      </c>
      <c r="W3" s="10">
        <v>0</v>
      </c>
      <c r="X3" s="10">
        <v>0.1</v>
      </c>
      <c r="Y3" s="10">
        <v>0</v>
      </c>
      <c r="Z3" s="10">
        <v>0.14000000000000001</v>
      </c>
      <c r="AA3" s="10">
        <v>0.12</v>
      </c>
      <c r="AB3" s="10">
        <v>0.12</v>
      </c>
      <c r="AE3" s="4">
        <f>$H3*Q3</f>
        <v>0</v>
      </c>
      <c r="AF3" s="4">
        <f t="shared" ref="AF3:AP3" si="0">$H3*R3</f>
        <v>100000</v>
      </c>
      <c r="AG3" s="4">
        <f t="shared" si="0"/>
        <v>75000</v>
      </c>
      <c r="AH3" s="4">
        <f t="shared" si="0"/>
        <v>0</v>
      </c>
      <c r="AI3" s="4">
        <f t="shared" si="0"/>
        <v>75000</v>
      </c>
      <c r="AJ3" s="4">
        <f t="shared" si="0"/>
        <v>75000</v>
      </c>
      <c r="AK3" s="4">
        <f t="shared" si="0"/>
        <v>0</v>
      </c>
      <c r="AL3" s="4">
        <f t="shared" si="0"/>
        <v>62500</v>
      </c>
      <c r="AM3" s="4">
        <f t="shared" si="0"/>
        <v>0</v>
      </c>
      <c r="AN3" s="4">
        <f t="shared" si="0"/>
        <v>87500.000000000015</v>
      </c>
      <c r="AO3" s="4">
        <f t="shared" si="0"/>
        <v>75000</v>
      </c>
      <c r="AP3" s="4">
        <f t="shared" si="0"/>
        <v>75000</v>
      </c>
    </row>
    <row r="4" spans="2:42">
      <c r="B4" t="s">
        <v>239</v>
      </c>
      <c r="D4" s="3">
        <v>422200.38999999996</v>
      </c>
      <c r="E4" s="3">
        <v>380235.75000000006</v>
      </c>
      <c r="F4" s="3">
        <v>399149.93</v>
      </c>
      <c r="G4" s="3">
        <v>425000</v>
      </c>
      <c r="H4" s="3">
        <v>430000</v>
      </c>
      <c r="I4" s="3">
        <v>440000</v>
      </c>
      <c r="J4" s="3">
        <v>450000</v>
      </c>
      <c r="L4" s="16">
        <v>6.4762807299001635E-2</v>
      </c>
      <c r="M4" s="16">
        <v>1.1764705882352899E-2</v>
      </c>
      <c r="N4" s="16">
        <v>2.3255813953488413E-2</v>
      </c>
      <c r="O4" s="16">
        <v>2.2727272727272707E-2</v>
      </c>
      <c r="Q4" s="10">
        <v>0.09</v>
      </c>
      <c r="R4" s="10">
        <v>0.09</v>
      </c>
      <c r="S4" s="10">
        <v>0.09</v>
      </c>
      <c r="T4" s="10">
        <v>0.09</v>
      </c>
      <c r="U4" s="10">
        <v>0.06</v>
      </c>
      <c r="V4" s="10">
        <v>0.1</v>
      </c>
      <c r="W4" s="10">
        <v>0.04</v>
      </c>
      <c r="X4" s="10">
        <v>0.04</v>
      </c>
      <c r="Y4" s="10">
        <v>0.08</v>
      </c>
      <c r="Z4" s="10">
        <v>0.12</v>
      </c>
      <c r="AA4" s="10">
        <v>0.1</v>
      </c>
      <c r="AB4" s="10">
        <v>0.1</v>
      </c>
      <c r="AE4" s="4">
        <f t="shared" ref="AE4:AE14" si="1">$H4*Q4</f>
        <v>38700</v>
      </c>
      <c r="AF4" s="4">
        <f t="shared" ref="AF4:AF14" si="2">$H4*R4</f>
        <v>38700</v>
      </c>
      <c r="AG4" s="4">
        <f t="shared" ref="AG4:AG14" si="3">$H4*S4</f>
        <v>38700</v>
      </c>
      <c r="AH4" s="4">
        <f t="shared" ref="AH4:AH14" si="4">$H4*T4</f>
        <v>38700</v>
      </c>
      <c r="AI4" s="4">
        <f t="shared" ref="AI4:AI14" si="5">$H4*U4</f>
        <v>25800</v>
      </c>
      <c r="AJ4" s="4">
        <f t="shared" ref="AJ4:AJ14" si="6">$H4*V4</f>
        <v>43000</v>
      </c>
      <c r="AK4" s="4">
        <f t="shared" ref="AK4:AK14" si="7">$H4*W4</f>
        <v>17200</v>
      </c>
      <c r="AL4" s="4">
        <f t="shared" ref="AL4:AL14" si="8">$H4*X4</f>
        <v>17200</v>
      </c>
      <c r="AM4" s="4">
        <f t="shared" ref="AM4:AM14" si="9">$H4*Y4</f>
        <v>34400</v>
      </c>
      <c r="AN4" s="4">
        <f t="shared" ref="AN4:AN14" si="10">$H4*Z4</f>
        <v>51600</v>
      </c>
      <c r="AO4" s="4">
        <f t="shared" ref="AO4:AO14" si="11">$H4*AA4</f>
        <v>43000</v>
      </c>
      <c r="AP4" s="4">
        <f t="shared" ref="AP4:AP14" si="12">$H4*AB4</f>
        <v>43000</v>
      </c>
    </row>
    <row r="5" spans="2:42">
      <c r="B5" t="s">
        <v>241</v>
      </c>
      <c r="D5" s="3">
        <v>282425.12000000005</v>
      </c>
      <c r="E5" s="3">
        <v>284764.63</v>
      </c>
      <c r="F5" s="3">
        <v>297350.18</v>
      </c>
      <c r="G5" s="3">
        <v>325000</v>
      </c>
      <c r="H5" s="3">
        <v>350000</v>
      </c>
      <c r="I5" s="3">
        <v>380000</v>
      </c>
      <c r="J5" s="3">
        <v>420000</v>
      </c>
      <c r="L5" s="16">
        <v>9.298739957043245E-2</v>
      </c>
      <c r="M5" s="16">
        <v>7.6923076923076872E-2</v>
      </c>
      <c r="N5" s="16">
        <v>8.5714285714285632E-2</v>
      </c>
      <c r="O5" s="16">
        <v>0.10526315789473695</v>
      </c>
      <c r="Q5" s="10">
        <v>0</v>
      </c>
      <c r="R5" s="10">
        <v>0.2</v>
      </c>
      <c r="S5" s="10">
        <v>0</v>
      </c>
      <c r="T5" s="10">
        <v>0</v>
      </c>
      <c r="U5" s="10">
        <v>0.25</v>
      </c>
      <c r="V5" s="10">
        <v>0</v>
      </c>
      <c r="W5" s="10">
        <v>0</v>
      </c>
      <c r="X5" s="10">
        <v>0.3</v>
      </c>
      <c r="Y5" s="10">
        <v>0</v>
      </c>
      <c r="Z5" s="10">
        <v>0</v>
      </c>
      <c r="AA5" s="10">
        <v>0.25</v>
      </c>
      <c r="AB5" s="10">
        <v>0</v>
      </c>
      <c r="AE5" s="4">
        <f t="shared" si="1"/>
        <v>0</v>
      </c>
      <c r="AF5" s="4">
        <f t="shared" si="2"/>
        <v>70000</v>
      </c>
      <c r="AG5" s="4">
        <f t="shared" si="3"/>
        <v>0</v>
      </c>
      <c r="AH5" s="4">
        <f t="shared" si="4"/>
        <v>0</v>
      </c>
      <c r="AI5" s="4">
        <f t="shared" si="5"/>
        <v>87500</v>
      </c>
      <c r="AJ5" s="4">
        <f t="shared" si="6"/>
        <v>0</v>
      </c>
      <c r="AK5" s="4">
        <f t="shared" si="7"/>
        <v>0</v>
      </c>
      <c r="AL5" s="4">
        <f t="shared" si="8"/>
        <v>105000</v>
      </c>
      <c r="AM5" s="4">
        <f t="shared" si="9"/>
        <v>0</v>
      </c>
      <c r="AN5" s="4">
        <f t="shared" si="10"/>
        <v>0</v>
      </c>
      <c r="AO5" s="4">
        <f t="shared" si="11"/>
        <v>87500</v>
      </c>
      <c r="AP5" s="4">
        <f t="shared" si="12"/>
        <v>0</v>
      </c>
    </row>
    <row r="6" spans="2:42">
      <c r="B6" t="s">
        <v>242</v>
      </c>
      <c r="D6" s="3">
        <v>182925.06</v>
      </c>
      <c r="E6" s="3">
        <v>215126.13999999998</v>
      </c>
      <c r="F6" s="3">
        <v>240212.02000000002</v>
      </c>
      <c r="G6" s="3">
        <v>409500</v>
      </c>
      <c r="H6" s="3">
        <v>457500</v>
      </c>
      <c r="I6" s="3">
        <v>520000</v>
      </c>
      <c r="J6" s="3">
        <v>625000</v>
      </c>
      <c r="L6" s="16">
        <v>0.70474400073734844</v>
      </c>
      <c r="M6" s="16">
        <v>0.11721611721611724</v>
      </c>
      <c r="N6" s="16">
        <v>0.13661202185792343</v>
      </c>
      <c r="O6" s="16">
        <v>0.20192307692307687</v>
      </c>
      <c r="Q6" s="10">
        <v>0.08</v>
      </c>
      <c r="R6" s="10">
        <v>7.0000000000000007E-2</v>
      </c>
      <c r="S6" s="10">
        <v>0.1</v>
      </c>
      <c r="T6" s="10">
        <v>0.09</v>
      </c>
      <c r="U6" s="10">
        <v>0.09</v>
      </c>
      <c r="V6" s="10">
        <v>0.08</v>
      </c>
      <c r="W6" s="10">
        <v>0.08</v>
      </c>
      <c r="X6" s="10">
        <v>0.06</v>
      </c>
      <c r="Y6" s="10">
        <v>0.09</v>
      </c>
      <c r="Z6" s="10">
        <v>0.1</v>
      </c>
      <c r="AA6" s="10">
        <v>0.09</v>
      </c>
      <c r="AB6" s="10">
        <v>7.0000000000000007E-2</v>
      </c>
      <c r="AE6" s="4">
        <f t="shared" si="1"/>
        <v>36600</v>
      </c>
      <c r="AF6" s="4">
        <f t="shared" si="2"/>
        <v>32025.000000000004</v>
      </c>
      <c r="AG6" s="4">
        <f t="shared" si="3"/>
        <v>45750</v>
      </c>
      <c r="AH6" s="4">
        <f t="shared" si="4"/>
        <v>41175</v>
      </c>
      <c r="AI6" s="4">
        <f t="shared" si="5"/>
        <v>41175</v>
      </c>
      <c r="AJ6" s="4">
        <f t="shared" si="6"/>
        <v>36600</v>
      </c>
      <c r="AK6" s="4">
        <f t="shared" si="7"/>
        <v>36600</v>
      </c>
      <c r="AL6" s="4">
        <f t="shared" si="8"/>
        <v>27450</v>
      </c>
      <c r="AM6" s="4">
        <f t="shared" si="9"/>
        <v>41175</v>
      </c>
      <c r="AN6" s="4">
        <f t="shared" si="10"/>
        <v>45750</v>
      </c>
      <c r="AO6" s="4">
        <f t="shared" si="11"/>
        <v>41175</v>
      </c>
      <c r="AP6" s="4">
        <f t="shared" si="12"/>
        <v>32025.000000000004</v>
      </c>
    </row>
    <row r="7" spans="2:42">
      <c r="B7" t="s">
        <v>243</v>
      </c>
      <c r="D7" s="3">
        <v>0</v>
      </c>
      <c r="E7" s="3">
        <v>27701.409999999996</v>
      </c>
      <c r="F7" s="3">
        <v>71571.040000000008</v>
      </c>
      <c r="G7" s="3">
        <v>51941.93</v>
      </c>
      <c r="H7" s="3">
        <v>30000</v>
      </c>
      <c r="I7" s="3">
        <v>40000</v>
      </c>
      <c r="J7" s="3">
        <v>50000</v>
      </c>
      <c r="L7" s="16">
        <v>-0.27426051095526915</v>
      </c>
      <c r="M7" s="16">
        <v>-0.42243193504746546</v>
      </c>
      <c r="N7" s="16">
        <v>0.33333333333333326</v>
      </c>
      <c r="O7" s="16">
        <v>0.25</v>
      </c>
      <c r="Q7" s="10">
        <v>0.08</v>
      </c>
      <c r="R7" s="10">
        <v>7.0000000000000007E-2</v>
      </c>
      <c r="S7" s="10">
        <v>0.1</v>
      </c>
      <c r="T7" s="10">
        <v>0.09</v>
      </c>
      <c r="U7" s="10">
        <v>0.09</v>
      </c>
      <c r="V7" s="10">
        <v>0.08</v>
      </c>
      <c r="W7" s="10">
        <v>0.08</v>
      </c>
      <c r="X7" s="10">
        <v>0.06</v>
      </c>
      <c r="Y7" s="10">
        <v>0.09</v>
      </c>
      <c r="Z7" s="10">
        <v>0.1</v>
      </c>
      <c r="AA7" s="10">
        <v>0.09</v>
      </c>
      <c r="AB7" s="10">
        <v>7.0000000000000007E-2</v>
      </c>
      <c r="AE7" s="4">
        <f t="shared" si="1"/>
        <v>2400</v>
      </c>
      <c r="AF7" s="4">
        <f t="shared" si="2"/>
        <v>2100</v>
      </c>
      <c r="AG7" s="4">
        <f t="shared" si="3"/>
        <v>3000</v>
      </c>
      <c r="AH7" s="4">
        <f t="shared" si="4"/>
        <v>2700</v>
      </c>
      <c r="AI7" s="4">
        <f t="shared" si="5"/>
        <v>2700</v>
      </c>
      <c r="AJ7" s="4">
        <f t="shared" si="6"/>
        <v>2400</v>
      </c>
      <c r="AK7" s="4">
        <f t="shared" si="7"/>
        <v>2400</v>
      </c>
      <c r="AL7" s="4">
        <f t="shared" si="8"/>
        <v>1800</v>
      </c>
      <c r="AM7" s="4">
        <f t="shared" si="9"/>
        <v>2700</v>
      </c>
      <c r="AN7" s="4">
        <f t="shared" si="10"/>
        <v>3000</v>
      </c>
      <c r="AO7" s="4">
        <f t="shared" si="11"/>
        <v>2700</v>
      </c>
      <c r="AP7" s="4">
        <f t="shared" si="12"/>
        <v>2100</v>
      </c>
    </row>
    <row r="8" spans="2:42">
      <c r="B8" t="s">
        <v>244</v>
      </c>
      <c r="D8" s="3">
        <v>0</v>
      </c>
      <c r="E8" s="3">
        <v>0</v>
      </c>
      <c r="F8" s="3">
        <v>0</v>
      </c>
      <c r="G8" s="3">
        <v>0</v>
      </c>
      <c r="H8" s="3">
        <v>20000</v>
      </c>
      <c r="I8" s="3">
        <v>50000</v>
      </c>
      <c r="J8" s="3">
        <v>100000</v>
      </c>
      <c r="L8" s="16" t="s">
        <v>33</v>
      </c>
      <c r="M8" s="16" t="s">
        <v>33</v>
      </c>
      <c r="N8" s="16">
        <v>1.5</v>
      </c>
      <c r="O8" s="16">
        <v>1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0.1</v>
      </c>
      <c r="W8" s="10">
        <v>0.1</v>
      </c>
      <c r="X8" s="10">
        <v>0.1</v>
      </c>
      <c r="Y8" s="10">
        <v>0.15</v>
      </c>
      <c r="Z8" s="10">
        <v>0.15</v>
      </c>
      <c r="AA8" s="10">
        <v>0.2</v>
      </c>
      <c r="AB8" s="10">
        <v>0.2</v>
      </c>
      <c r="AE8" s="4">
        <f t="shared" si="1"/>
        <v>0</v>
      </c>
      <c r="AF8" s="4">
        <f t="shared" si="2"/>
        <v>0</v>
      </c>
      <c r="AG8" s="4">
        <f t="shared" si="3"/>
        <v>0</v>
      </c>
      <c r="AH8" s="4">
        <f t="shared" si="4"/>
        <v>0</v>
      </c>
      <c r="AI8" s="4">
        <f t="shared" si="5"/>
        <v>0</v>
      </c>
      <c r="AJ8" s="4">
        <f t="shared" si="6"/>
        <v>2000</v>
      </c>
      <c r="AK8" s="4">
        <f t="shared" si="7"/>
        <v>2000</v>
      </c>
      <c r="AL8" s="4">
        <f t="shared" si="8"/>
        <v>2000</v>
      </c>
      <c r="AM8" s="4">
        <f t="shared" si="9"/>
        <v>3000</v>
      </c>
      <c r="AN8" s="4">
        <f t="shared" si="10"/>
        <v>3000</v>
      </c>
      <c r="AO8" s="4">
        <f t="shared" si="11"/>
        <v>4000</v>
      </c>
      <c r="AP8" s="4">
        <f t="shared" si="12"/>
        <v>4000</v>
      </c>
    </row>
    <row r="9" spans="2:42">
      <c r="B9" t="s">
        <v>245</v>
      </c>
      <c r="D9" s="3">
        <v>87315.05</v>
      </c>
      <c r="E9" s="3">
        <v>53791.750000000007</v>
      </c>
      <c r="F9" s="3">
        <v>28083.39</v>
      </c>
      <c r="G9" s="3">
        <v>30000</v>
      </c>
      <c r="H9" s="3">
        <v>32000</v>
      </c>
      <c r="I9" s="3">
        <v>36000</v>
      </c>
      <c r="J9" s="3">
        <v>40000</v>
      </c>
      <c r="L9" s="16">
        <v>6.8247102646795899E-2</v>
      </c>
      <c r="M9" s="16">
        <v>6.6666666666666652E-2</v>
      </c>
      <c r="N9" s="16">
        <v>0.125</v>
      </c>
      <c r="O9" s="16">
        <v>0.11111111111111116</v>
      </c>
      <c r="Q9" s="10">
        <f>'Co. 1 B2B Sales'!Y48</f>
        <v>0.08</v>
      </c>
      <c r="R9" s="10">
        <f>'Co. 1 B2B Sales'!Z48</f>
        <v>0.08</v>
      </c>
      <c r="S9" s="10">
        <f>'Co. 1 B2B Sales'!AA48</f>
        <v>0.09</v>
      </c>
      <c r="T9" s="10">
        <f>'Co. 1 B2B Sales'!AB48</f>
        <v>0.09</v>
      </c>
      <c r="U9" s="10">
        <f>'Co. 1 B2B Sales'!AC48</f>
        <v>0.09</v>
      </c>
      <c r="V9" s="10">
        <f>'Co. 1 B2B Sales'!AD48</f>
        <v>7.4999999999999997E-2</v>
      </c>
      <c r="W9" s="10">
        <f>'Co. 1 B2B Sales'!AE48</f>
        <v>7.0000000000000007E-2</v>
      </c>
      <c r="X9" s="10">
        <f>'Co. 1 B2B Sales'!AF48</f>
        <v>0.06</v>
      </c>
      <c r="Y9" s="10">
        <f>'Co. 1 B2B Sales'!AG48</f>
        <v>9.5000000000000001E-2</v>
      </c>
      <c r="Z9" s="10">
        <f>'Co. 1 B2B Sales'!AH48</f>
        <v>0.105</v>
      </c>
      <c r="AA9" s="10">
        <f>'Co. 1 B2B Sales'!AI48</f>
        <v>0.09</v>
      </c>
      <c r="AB9" s="10">
        <f>'Co. 1 B2B Sales'!AJ48</f>
        <v>7.4999999999999997E-2</v>
      </c>
      <c r="AE9" s="4">
        <f t="shared" si="1"/>
        <v>2560</v>
      </c>
      <c r="AF9" s="4">
        <f t="shared" si="2"/>
        <v>2560</v>
      </c>
      <c r="AG9" s="4">
        <f t="shared" si="3"/>
        <v>2880</v>
      </c>
      <c r="AH9" s="4">
        <f t="shared" si="4"/>
        <v>2880</v>
      </c>
      <c r="AI9" s="4">
        <f t="shared" si="5"/>
        <v>2880</v>
      </c>
      <c r="AJ9" s="4">
        <f t="shared" si="6"/>
        <v>2400</v>
      </c>
      <c r="AK9" s="4">
        <f t="shared" si="7"/>
        <v>2240</v>
      </c>
      <c r="AL9" s="4">
        <f t="shared" si="8"/>
        <v>1920</v>
      </c>
      <c r="AM9" s="4">
        <f t="shared" si="9"/>
        <v>3040</v>
      </c>
      <c r="AN9" s="4">
        <f t="shared" si="10"/>
        <v>3360</v>
      </c>
      <c r="AO9" s="4">
        <f t="shared" si="11"/>
        <v>2880</v>
      </c>
      <c r="AP9" s="4">
        <f t="shared" si="12"/>
        <v>2400</v>
      </c>
    </row>
    <row r="10" spans="2:42">
      <c r="B10" s="6" t="s">
        <v>373</v>
      </c>
      <c r="C10" s="6"/>
      <c r="D10" s="17">
        <v>1570839.1900000002</v>
      </c>
      <c r="E10" s="17">
        <v>1500320.0299999998</v>
      </c>
      <c r="F10" s="17">
        <v>1523791.9</v>
      </c>
      <c r="G10" s="17">
        <v>1841441.93</v>
      </c>
      <c r="H10" s="17">
        <v>1944500</v>
      </c>
      <c r="I10" s="17">
        <v>2116000</v>
      </c>
      <c r="J10" s="17">
        <v>2360000</v>
      </c>
      <c r="K10" s="17"/>
      <c r="L10" s="18">
        <v>0.20846024316049983</v>
      </c>
      <c r="M10" s="18">
        <v>5.5965962499832989E-2</v>
      </c>
      <c r="N10" s="18">
        <v>8.8197480071998013E-2</v>
      </c>
      <c r="O10" s="18">
        <v>0.11531190926275992</v>
      </c>
      <c r="AE10" s="17">
        <f>SUM(AE3:AE9)</f>
        <v>80260</v>
      </c>
      <c r="AF10" s="17">
        <f t="shared" ref="AF10:AP10" si="13">SUM(AF3:AF9)</f>
        <v>245385</v>
      </c>
      <c r="AG10" s="17">
        <f t="shared" si="13"/>
        <v>165330</v>
      </c>
      <c r="AH10" s="17">
        <f t="shared" si="13"/>
        <v>85455</v>
      </c>
      <c r="AI10" s="17">
        <f t="shared" si="13"/>
        <v>235055</v>
      </c>
      <c r="AJ10" s="17">
        <f t="shared" si="13"/>
        <v>161400</v>
      </c>
      <c r="AK10" s="17">
        <f t="shared" si="13"/>
        <v>60440</v>
      </c>
      <c r="AL10" s="17">
        <f t="shared" si="13"/>
        <v>217870</v>
      </c>
      <c r="AM10" s="17">
        <f t="shared" si="13"/>
        <v>84315</v>
      </c>
      <c r="AN10" s="17">
        <f t="shared" si="13"/>
        <v>194210</v>
      </c>
      <c r="AO10" s="17">
        <f t="shared" si="13"/>
        <v>256255</v>
      </c>
      <c r="AP10" s="17">
        <f t="shared" si="13"/>
        <v>158525</v>
      </c>
    </row>
    <row r="11" spans="2:42">
      <c r="L11" s="10"/>
      <c r="M11" s="10"/>
      <c r="N11" s="10"/>
      <c r="O11" s="10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2:42">
      <c r="B12" t="s">
        <v>247</v>
      </c>
      <c r="D12" s="3">
        <v>86346.48</v>
      </c>
      <c r="E12" s="3">
        <v>0</v>
      </c>
      <c r="F12" s="3">
        <v>182411.02</v>
      </c>
      <c r="G12" s="3">
        <v>550000</v>
      </c>
      <c r="H12" s="3">
        <v>800000</v>
      </c>
      <c r="I12" s="3">
        <v>1200000</v>
      </c>
      <c r="J12" s="3">
        <v>1600000</v>
      </c>
      <c r="K12" s="3"/>
      <c r="L12" s="16">
        <v>2.0151687107500416</v>
      </c>
      <c r="M12" s="16">
        <v>0.45454545454545459</v>
      </c>
      <c r="N12" s="16">
        <v>0.5</v>
      </c>
      <c r="O12" s="16">
        <v>0.33333333333333326</v>
      </c>
      <c r="Q12" s="10">
        <v>0.03</v>
      </c>
      <c r="R12" s="10">
        <v>0.03</v>
      </c>
      <c r="S12" s="10">
        <v>3.3000000000000002E-2</v>
      </c>
      <c r="T12" s="10">
        <v>4.2999999999999997E-2</v>
      </c>
      <c r="U12" s="10">
        <v>0.08</v>
      </c>
      <c r="V12" s="10">
        <v>0.06</v>
      </c>
      <c r="W12" s="10">
        <v>0.06</v>
      </c>
      <c r="X12" s="10">
        <v>0.06</v>
      </c>
      <c r="Y12" s="10">
        <v>0.25</v>
      </c>
      <c r="Z12" s="10">
        <v>0.15</v>
      </c>
      <c r="AA12" s="10">
        <v>0.1</v>
      </c>
      <c r="AB12" s="10">
        <v>0.1</v>
      </c>
      <c r="AE12" s="4">
        <f t="shared" si="1"/>
        <v>24000</v>
      </c>
      <c r="AF12" s="4">
        <f t="shared" si="2"/>
        <v>24000</v>
      </c>
      <c r="AG12" s="4">
        <f t="shared" si="3"/>
        <v>26400</v>
      </c>
      <c r="AH12" s="4">
        <f t="shared" si="4"/>
        <v>34400</v>
      </c>
      <c r="AI12" s="4">
        <f t="shared" si="5"/>
        <v>64000</v>
      </c>
      <c r="AJ12" s="4">
        <f t="shared" si="6"/>
        <v>48000</v>
      </c>
      <c r="AK12" s="4">
        <f t="shared" si="7"/>
        <v>48000</v>
      </c>
      <c r="AL12" s="4">
        <f t="shared" si="8"/>
        <v>48000</v>
      </c>
      <c r="AM12" s="4">
        <f t="shared" si="9"/>
        <v>200000</v>
      </c>
      <c r="AN12" s="4">
        <f t="shared" si="10"/>
        <v>120000</v>
      </c>
      <c r="AO12" s="4">
        <f t="shared" si="11"/>
        <v>80000</v>
      </c>
      <c r="AP12" s="4">
        <f t="shared" si="12"/>
        <v>80000</v>
      </c>
    </row>
    <row r="13" spans="2:42">
      <c r="B13" t="s">
        <v>248</v>
      </c>
      <c r="D13" s="3">
        <v>0</v>
      </c>
      <c r="E13" s="3">
        <v>0</v>
      </c>
      <c r="F13" s="3">
        <v>0</v>
      </c>
      <c r="G13" s="3">
        <v>100000</v>
      </c>
      <c r="H13" s="3">
        <v>200000</v>
      </c>
      <c r="I13" s="3">
        <v>300000</v>
      </c>
      <c r="J13" s="3">
        <v>500000</v>
      </c>
      <c r="K13" s="3"/>
      <c r="L13" s="16" t="s">
        <v>33</v>
      </c>
      <c r="M13" s="16">
        <v>1</v>
      </c>
      <c r="N13" s="16">
        <v>0.5</v>
      </c>
      <c r="O13" s="16">
        <v>0.66666666666666674</v>
      </c>
      <c r="Q13" s="10">
        <v>0.09</v>
      </c>
      <c r="R13" s="10">
        <v>0.09</v>
      </c>
      <c r="S13" s="10">
        <v>0.09</v>
      </c>
      <c r="T13" s="10">
        <v>0.09</v>
      </c>
      <c r="U13" s="10">
        <v>0.06</v>
      </c>
      <c r="V13" s="10">
        <v>0.1</v>
      </c>
      <c r="W13" s="10">
        <v>0.04</v>
      </c>
      <c r="X13" s="10">
        <v>0.04</v>
      </c>
      <c r="Y13" s="10">
        <v>0.08</v>
      </c>
      <c r="Z13" s="10">
        <v>0.12</v>
      </c>
      <c r="AA13" s="10">
        <v>0.1</v>
      </c>
      <c r="AB13" s="10">
        <v>0.1</v>
      </c>
      <c r="AE13" s="4">
        <f t="shared" si="1"/>
        <v>18000</v>
      </c>
      <c r="AF13" s="4">
        <f t="shared" si="2"/>
        <v>18000</v>
      </c>
      <c r="AG13" s="4">
        <f t="shared" si="3"/>
        <v>18000</v>
      </c>
      <c r="AH13" s="4">
        <f t="shared" si="4"/>
        <v>18000</v>
      </c>
      <c r="AI13" s="4">
        <f t="shared" si="5"/>
        <v>12000</v>
      </c>
      <c r="AJ13" s="4">
        <f t="shared" si="6"/>
        <v>20000</v>
      </c>
      <c r="AK13" s="4">
        <f t="shared" si="7"/>
        <v>8000</v>
      </c>
      <c r="AL13" s="4">
        <f t="shared" si="8"/>
        <v>8000</v>
      </c>
      <c r="AM13" s="4">
        <f t="shared" si="9"/>
        <v>16000</v>
      </c>
      <c r="AN13" s="4">
        <f t="shared" si="10"/>
        <v>24000</v>
      </c>
      <c r="AO13" s="4">
        <f t="shared" si="11"/>
        <v>20000</v>
      </c>
      <c r="AP13" s="4">
        <f t="shared" si="12"/>
        <v>20000</v>
      </c>
    </row>
    <row r="14" spans="2:42">
      <c r="B14" t="s">
        <v>249</v>
      </c>
      <c r="D14" s="3">
        <v>0</v>
      </c>
      <c r="E14" s="3">
        <v>0</v>
      </c>
      <c r="F14" s="3">
        <v>0</v>
      </c>
      <c r="G14" s="3">
        <v>0</v>
      </c>
      <c r="H14" s="3">
        <v>145000</v>
      </c>
      <c r="I14" s="3">
        <v>225000</v>
      </c>
      <c r="J14" s="3">
        <v>375000</v>
      </c>
      <c r="K14" s="3"/>
      <c r="L14" s="16" t="s">
        <v>33</v>
      </c>
      <c r="M14" s="16" t="s">
        <v>33</v>
      </c>
      <c r="N14" s="16">
        <v>0.55172413793103448</v>
      </c>
      <c r="O14" s="16">
        <v>0.66666666666666674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0.1</v>
      </c>
      <c r="W14" s="10">
        <v>0.1</v>
      </c>
      <c r="X14" s="10">
        <v>0.1</v>
      </c>
      <c r="Y14" s="10">
        <v>0.15</v>
      </c>
      <c r="Z14" s="10">
        <v>0.15</v>
      </c>
      <c r="AA14" s="10">
        <v>0.2</v>
      </c>
      <c r="AB14" s="10">
        <v>0.2</v>
      </c>
      <c r="AE14" s="4">
        <f t="shared" si="1"/>
        <v>0</v>
      </c>
      <c r="AF14" s="4">
        <f t="shared" si="2"/>
        <v>0</v>
      </c>
      <c r="AG14" s="4">
        <f t="shared" si="3"/>
        <v>0</v>
      </c>
      <c r="AH14" s="4">
        <f t="shared" si="4"/>
        <v>0</v>
      </c>
      <c r="AI14" s="4">
        <f t="shared" si="5"/>
        <v>0</v>
      </c>
      <c r="AJ14" s="4">
        <f t="shared" si="6"/>
        <v>14500</v>
      </c>
      <c r="AK14" s="4">
        <f t="shared" si="7"/>
        <v>14500</v>
      </c>
      <c r="AL14" s="4">
        <f t="shared" si="8"/>
        <v>14500</v>
      </c>
      <c r="AM14" s="4">
        <f t="shared" si="9"/>
        <v>21750</v>
      </c>
      <c r="AN14" s="4">
        <f t="shared" si="10"/>
        <v>21750</v>
      </c>
      <c r="AO14" s="4">
        <f t="shared" si="11"/>
        <v>29000</v>
      </c>
      <c r="AP14" s="4">
        <f t="shared" si="12"/>
        <v>29000</v>
      </c>
    </row>
    <row r="15" spans="2:42">
      <c r="B15" s="6" t="s">
        <v>374</v>
      </c>
      <c r="C15" s="6"/>
      <c r="D15" s="17">
        <v>86346.48</v>
      </c>
      <c r="E15" s="17">
        <v>0</v>
      </c>
      <c r="F15" s="17">
        <v>182411.02</v>
      </c>
      <c r="G15" s="17">
        <v>650000</v>
      </c>
      <c r="H15" s="17">
        <v>1145000</v>
      </c>
      <c r="I15" s="17">
        <v>1725000</v>
      </c>
      <c r="J15" s="17">
        <v>2475000</v>
      </c>
      <c r="K15" s="17"/>
      <c r="L15" s="18">
        <v>2.5633812036136856</v>
      </c>
      <c r="M15" s="18">
        <v>0.7615384615384615</v>
      </c>
      <c r="N15" s="18">
        <v>0.50655021834061142</v>
      </c>
      <c r="O15" s="18">
        <v>0.43478260869565211</v>
      </c>
      <c r="AE15" s="17">
        <f>SUM(AE12:AE14)</f>
        <v>42000</v>
      </c>
      <c r="AF15" s="17">
        <f t="shared" ref="AF15:AP15" si="14">SUM(AF12:AF14)</f>
        <v>42000</v>
      </c>
      <c r="AG15" s="17">
        <f t="shared" si="14"/>
        <v>44400</v>
      </c>
      <c r="AH15" s="17">
        <f t="shared" si="14"/>
        <v>52400</v>
      </c>
      <c r="AI15" s="17">
        <f t="shared" si="14"/>
        <v>76000</v>
      </c>
      <c r="AJ15" s="17">
        <f t="shared" si="14"/>
        <v>82500</v>
      </c>
      <c r="AK15" s="17">
        <f t="shared" si="14"/>
        <v>70500</v>
      </c>
      <c r="AL15" s="17">
        <f t="shared" si="14"/>
        <v>70500</v>
      </c>
      <c r="AM15" s="17">
        <f t="shared" si="14"/>
        <v>237750</v>
      </c>
      <c r="AN15" s="17">
        <f t="shared" si="14"/>
        <v>165750</v>
      </c>
      <c r="AO15" s="17">
        <f t="shared" si="14"/>
        <v>129000</v>
      </c>
      <c r="AP15" s="17">
        <f t="shared" si="14"/>
        <v>129000</v>
      </c>
    </row>
    <row r="19" spans="17:28"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</sheetData>
  <pageMargins left="0.7" right="0.7" top="0.75" bottom="0.75" header="0.3" footer="0.3"/>
  <pageSetup paperSize="9" orientation="portrait" horizontalDpi="0" verticalDpi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9C7E-0277-4C61-B3B2-D30C2F6FF68F}">
  <sheetPr>
    <tabColor rgb="FF92D050"/>
  </sheetPr>
  <dimension ref="A1:V83"/>
  <sheetViews>
    <sheetView showGridLines="0" topLeftCell="A30" workbookViewId="0">
      <selection activeCell="G28" sqref="G28:R28"/>
    </sheetView>
  </sheetViews>
  <sheetFormatPr defaultColWidth="8.85546875" defaultRowHeight="15"/>
  <sheetData>
    <row r="1" spans="1:22" ht="15.75">
      <c r="A1" s="19" t="s">
        <v>375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5.75">
      <c r="A2" s="21" t="s">
        <v>376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5.75">
      <c r="A3" s="21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15.75">
      <c r="A4" s="20"/>
      <c r="B4" s="20"/>
      <c r="C4" s="20"/>
      <c r="D4" s="20"/>
      <c r="E4" s="20"/>
      <c r="F4" s="20"/>
      <c r="G4" s="22" t="s">
        <v>367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</row>
    <row r="5" spans="1:22" ht="45">
      <c r="A5" s="213" t="s">
        <v>377</v>
      </c>
      <c r="B5" s="23" t="s">
        <v>378</v>
      </c>
      <c r="C5" s="24"/>
      <c r="D5" s="24"/>
      <c r="E5" s="24" t="s">
        <v>379</v>
      </c>
      <c r="F5" s="20"/>
      <c r="G5" s="25">
        <v>45292</v>
      </c>
      <c r="H5" s="25">
        <v>45323</v>
      </c>
      <c r="I5" s="24" t="s">
        <v>380</v>
      </c>
      <c r="J5" s="25">
        <v>45383</v>
      </c>
      <c r="K5" s="24" t="s">
        <v>381</v>
      </c>
      <c r="L5" s="25">
        <v>45444</v>
      </c>
      <c r="M5" s="25">
        <v>45474</v>
      </c>
      <c r="N5" s="25">
        <v>45505</v>
      </c>
      <c r="O5" s="25">
        <v>45536</v>
      </c>
      <c r="P5" s="24" t="s">
        <v>382</v>
      </c>
      <c r="Q5" s="25">
        <v>45597</v>
      </c>
      <c r="R5" s="24" t="s">
        <v>383</v>
      </c>
      <c r="S5" s="20"/>
      <c r="T5" s="20"/>
      <c r="U5" s="20"/>
      <c r="V5" s="20"/>
    </row>
    <row r="6" spans="1:22" ht="15.75">
      <c r="A6" s="20"/>
      <c r="B6" s="20"/>
      <c r="C6" s="20"/>
      <c r="D6" s="20"/>
      <c r="E6" s="20">
        <v>326</v>
      </c>
      <c r="F6" s="20"/>
      <c r="G6" s="20">
        <v>16</v>
      </c>
      <c r="H6" s="20">
        <v>18</v>
      </c>
      <c r="I6" s="20">
        <v>22</v>
      </c>
      <c r="J6" s="20">
        <v>21</v>
      </c>
      <c r="K6" s="20">
        <v>21</v>
      </c>
      <c r="L6" s="20">
        <v>18</v>
      </c>
      <c r="M6" s="20">
        <v>18</v>
      </c>
      <c r="N6" s="20">
        <v>18</v>
      </c>
      <c r="O6" s="20">
        <v>24</v>
      </c>
      <c r="P6" s="20">
        <v>32</v>
      </c>
      <c r="Q6" s="20">
        <v>68</v>
      </c>
      <c r="R6" s="20">
        <v>50</v>
      </c>
      <c r="S6" s="20"/>
      <c r="T6" s="20"/>
      <c r="U6" s="20"/>
      <c r="V6" s="20"/>
    </row>
    <row r="7" spans="1:22" ht="30" customHeight="1">
      <c r="A7" s="20"/>
      <c r="B7" s="23" t="s">
        <v>378</v>
      </c>
      <c r="C7" s="24" t="s">
        <v>273</v>
      </c>
      <c r="D7" s="24" t="s">
        <v>384</v>
      </c>
      <c r="E7" s="24">
        <v>2025</v>
      </c>
      <c r="F7" s="20"/>
      <c r="G7" s="25">
        <v>45658</v>
      </c>
      <c r="H7" s="25">
        <v>45689</v>
      </c>
      <c r="I7" s="24" t="s">
        <v>385</v>
      </c>
      <c r="J7" s="25">
        <v>45748</v>
      </c>
      <c r="K7" s="24" t="s">
        <v>386</v>
      </c>
      <c r="L7" s="25">
        <v>45809</v>
      </c>
      <c r="M7" s="25">
        <v>45839</v>
      </c>
      <c r="N7" s="25">
        <v>45870</v>
      </c>
      <c r="O7" s="25">
        <v>45901</v>
      </c>
      <c r="P7" s="24" t="s">
        <v>387</v>
      </c>
      <c r="Q7" s="25">
        <v>45962</v>
      </c>
      <c r="R7" s="24" t="s">
        <v>388</v>
      </c>
      <c r="S7" s="22" t="s">
        <v>389</v>
      </c>
      <c r="T7" s="22" t="s">
        <v>390</v>
      </c>
      <c r="U7" s="20"/>
      <c r="V7" s="22" t="s">
        <v>391</v>
      </c>
    </row>
    <row r="8" spans="1:22" ht="15" customHeight="1">
      <c r="A8" s="20"/>
      <c r="B8" s="23"/>
      <c r="C8" s="24"/>
      <c r="D8" s="24"/>
      <c r="E8" s="24" t="s">
        <v>367</v>
      </c>
      <c r="F8" s="20"/>
      <c r="G8" s="25"/>
      <c r="H8" s="25"/>
      <c r="I8" s="24"/>
      <c r="J8" s="25"/>
      <c r="K8" s="24"/>
      <c r="L8" s="25"/>
      <c r="M8" s="25"/>
      <c r="N8" s="25"/>
      <c r="O8" s="25"/>
      <c r="P8" s="24"/>
      <c r="Q8" s="25"/>
      <c r="R8" s="24"/>
      <c r="S8" s="22"/>
      <c r="T8" s="22"/>
      <c r="U8" s="20"/>
      <c r="V8" s="22"/>
    </row>
    <row r="9" spans="1:22" ht="15.75">
      <c r="A9" s="20"/>
      <c r="B9" s="20" t="s">
        <v>392</v>
      </c>
      <c r="C9" s="20">
        <v>326</v>
      </c>
      <c r="D9" s="20">
        <v>472</v>
      </c>
      <c r="E9" s="20">
        <v>396</v>
      </c>
      <c r="F9" s="20"/>
      <c r="G9" s="20">
        <v>30</v>
      </c>
      <c r="H9" s="20">
        <v>30</v>
      </c>
      <c r="I9" s="20">
        <v>30</v>
      </c>
      <c r="J9" s="20">
        <v>32</v>
      </c>
      <c r="K9" s="20">
        <v>32</v>
      </c>
      <c r="L9" s="20">
        <v>31</v>
      </c>
      <c r="M9" s="20">
        <v>31</v>
      </c>
      <c r="N9" s="20">
        <v>32</v>
      </c>
      <c r="O9" s="20">
        <v>32</v>
      </c>
      <c r="P9" s="20">
        <v>36</v>
      </c>
      <c r="Q9" s="20">
        <v>49</v>
      </c>
      <c r="R9" s="20">
        <v>32</v>
      </c>
      <c r="S9" s="20">
        <v>315</v>
      </c>
      <c r="T9" s="20"/>
      <c r="U9" s="20"/>
      <c r="V9" s="20"/>
    </row>
    <row r="10" spans="1:22" ht="15.75">
      <c r="A10" s="20"/>
      <c r="B10" s="20" t="s">
        <v>393</v>
      </c>
      <c r="C10" s="20"/>
      <c r="D10" s="20"/>
      <c r="E10" s="20"/>
      <c r="F10" s="20"/>
      <c r="G10" s="20">
        <v>42</v>
      </c>
      <c r="H10" s="20">
        <v>40</v>
      </c>
      <c r="I10" s="20">
        <v>42</v>
      </c>
      <c r="J10" s="20">
        <v>33</v>
      </c>
      <c r="K10" s="20">
        <v>46</v>
      </c>
      <c r="L10" s="20">
        <v>32</v>
      </c>
      <c r="M10" s="20">
        <v>39</v>
      </c>
      <c r="N10" s="20">
        <v>35</v>
      </c>
      <c r="O10" s="20">
        <v>39</v>
      </c>
      <c r="P10" s="20">
        <v>46</v>
      </c>
      <c r="Q10" s="20" t="s">
        <v>394</v>
      </c>
      <c r="R10" s="20" t="s">
        <v>394</v>
      </c>
      <c r="S10" s="20">
        <v>393</v>
      </c>
      <c r="T10" s="20">
        <v>3</v>
      </c>
      <c r="U10" s="20"/>
      <c r="V10" s="20"/>
    </row>
    <row r="11" spans="1:22" ht="15.75">
      <c r="A11" s="20"/>
      <c r="B11" s="20" t="s">
        <v>395</v>
      </c>
      <c r="C11" s="20"/>
      <c r="D11" s="20"/>
      <c r="E11" s="20"/>
      <c r="F11" s="20"/>
      <c r="G11" s="26">
        <v>0.41</v>
      </c>
      <c r="H11" s="26">
        <v>0.33</v>
      </c>
      <c r="I11" s="26">
        <v>0.41</v>
      </c>
      <c r="J11" s="26">
        <v>0.03</v>
      </c>
      <c r="K11" s="26">
        <v>0.43</v>
      </c>
      <c r="L11" s="26">
        <v>0.04</v>
      </c>
      <c r="M11" s="26">
        <v>0.25</v>
      </c>
      <c r="N11" s="26">
        <v>7.0000000000000007E-2</v>
      </c>
      <c r="O11" s="26">
        <v>0.22</v>
      </c>
      <c r="P11" s="20"/>
      <c r="Q11" s="20"/>
      <c r="R11" s="20"/>
      <c r="S11" s="26">
        <v>0.25</v>
      </c>
      <c r="T11" s="20"/>
      <c r="U11" s="20"/>
      <c r="V11" s="20"/>
    </row>
    <row r="12" spans="1:22" ht="15.75">
      <c r="A12" s="20"/>
      <c r="B12" s="20" t="s">
        <v>396</v>
      </c>
      <c r="C12" s="20"/>
      <c r="D12" s="20"/>
      <c r="E12" s="26">
        <v>0.21</v>
      </c>
      <c r="F12" s="20"/>
      <c r="G12" s="26">
        <v>1.63</v>
      </c>
      <c r="H12" s="26">
        <v>1.22</v>
      </c>
      <c r="I12" s="26">
        <v>0.91</v>
      </c>
      <c r="J12" s="26">
        <v>0.56999999999999995</v>
      </c>
      <c r="K12" s="26">
        <v>1.19</v>
      </c>
      <c r="L12" s="26">
        <v>0.78</v>
      </c>
      <c r="M12" s="26">
        <v>1.17</v>
      </c>
      <c r="N12" s="26">
        <v>0.92</v>
      </c>
      <c r="O12" s="26">
        <v>0.6</v>
      </c>
      <c r="P12" s="26">
        <v>0.42</v>
      </c>
      <c r="Q12" s="26">
        <v>-1</v>
      </c>
      <c r="R12" s="26">
        <v>-1</v>
      </c>
      <c r="S12" s="26">
        <v>0.89</v>
      </c>
      <c r="T12" s="20"/>
      <c r="U12" s="20"/>
      <c r="V12" s="20"/>
    </row>
    <row r="13" spans="1:22" ht="15.75">
      <c r="A13" s="20"/>
      <c r="B13" s="23"/>
      <c r="C13" s="24"/>
      <c r="D13" s="24"/>
      <c r="E13" s="24"/>
      <c r="F13" s="20"/>
      <c r="G13" s="25">
        <v>46023</v>
      </c>
      <c r="H13" s="25">
        <v>46054</v>
      </c>
      <c r="I13" s="24" t="s">
        <v>397</v>
      </c>
      <c r="J13" s="25">
        <v>46113</v>
      </c>
      <c r="K13" s="24" t="s">
        <v>398</v>
      </c>
      <c r="L13" s="25">
        <v>46174</v>
      </c>
      <c r="M13" s="25">
        <v>46204</v>
      </c>
      <c r="N13" s="25">
        <v>46235</v>
      </c>
      <c r="O13" s="25">
        <v>46266</v>
      </c>
      <c r="P13" s="24" t="s">
        <v>399</v>
      </c>
      <c r="Q13" s="25">
        <v>46327</v>
      </c>
      <c r="R13" s="24" t="s">
        <v>400</v>
      </c>
      <c r="S13" s="22" t="s">
        <v>389</v>
      </c>
      <c r="T13" s="22" t="s">
        <v>390</v>
      </c>
      <c r="U13" s="20"/>
      <c r="V13" s="20"/>
    </row>
    <row r="14" spans="1:22" ht="45">
      <c r="A14" s="20"/>
      <c r="B14" s="23" t="s">
        <v>401</v>
      </c>
      <c r="C14" s="22" t="s">
        <v>402</v>
      </c>
      <c r="D14" s="22"/>
      <c r="E14" s="24">
        <v>60</v>
      </c>
      <c r="F14" s="20"/>
      <c r="G14" s="20">
        <v>37</v>
      </c>
      <c r="H14" s="20">
        <v>42</v>
      </c>
      <c r="I14" s="20">
        <v>43</v>
      </c>
      <c r="J14" s="20">
        <v>36</v>
      </c>
      <c r="K14" s="20">
        <v>44</v>
      </c>
      <c r="L14" s="20">
        <v>41</v>
      </c>
      <c r="M14" s="20">
        <v>44</v>
      </c>
      <c r="N14" s="20">
        <v>43</v>
      </c>
      <c r="O14" s="20">
        <v>45</v>
      </c>
      <c r="P14" s="20">
        <v>45</v>
      </c>
      <c r="Q14" s="20">
        <v>47</v>
      </c>
      <c r="R14" s="20">
        <v>51</v>
      </c>
      <c r="S14" s="20"/>
      <c r="T14" s="213">
        <v>516</v>
      </c>
      <c r="U14" s="20"/>
      <c r="V14" s="20"/>
    </row>
    <row r="15" spans="1:22" ht="15.75" customHeight="1">
      <c r="A15" s="20"/>
      <c r="B15" s="27"/>
      <c r="C15" s="28" t="s">
        <v>403</v>
      </c>
      <c r="D15" s="28"/>
      <c r="E15" s="29">
        <v>0</v>
      </c>
      <c r="F15" s="20"/>
      <c r="G15" s="26">
        <v>-0.13</v>
      </c>
      <c r="H15" s="26">
        <v>0.05</v>
      </c>
      <c r="I15" s="26">
        <v>0.02</v>
      </c>
      <c r="J15" s="26">
        <v>0.1</v>
      </c>
      <c r="K15" s="26">
        <v>-0.05</v>
      </c>
      <c r="L15" s="26">
        <v>0.27</v>
      </c>
      <c r="M15" s="26">
        <v>0.13</v>
      </c>
      <c r="N15" s="26">
        <v>0.23</v>
      </c>
      <c r="O15" s="26">
        <v>0.16</v>
      </c>
      <c r="P15" s="26">
        <v>0.26</v>
      </c>
      <c r="Q15" s="26">
        <v>-0.04</v>
      </c>
      <c r="R15" s="26">
        <v>0.6</v>
      </c>
      <c r="S15" s="20"/>
      <c r="T15" s="26">
        <v>0.09</v>
      </c>
      <c r="U15" s="20"/>
      <c r="V15" s="20"/>
    </row>
    <row r="16" spans="1:22" ht="60">
      <c r="A16" s="20"/>
      <c r="B16" s="23" t="s">
        <v>404</v>
      </c>
      <c r="C16" s="22" t="s">
        <v>402</v>
      </c>
      <c r="D16" s="22"/>
      <c r="E16" s="24">
        <v>126</v>
      </c>
      <c r="F16" s="20"/>
      <c r="G16" s="20">
        <v>47</v>
      </c>
      <c r="H16" s="20">
        <v>52</v>
      </c>
      <c r="I16" s="20">
        <v>54</v>
      </c>
      <c r="J16" s="20">
        <v>47</v>
      </c>
      <c r="K16" s="20">
        <v>56</v>
      </c>
      <c r="L16" s="20">
        <v>53</v>
      </c>
      <c r="M16" s="20">
        <v>57</v>
      </c>
      <c r="N16" s="20">
        <v>56</v>
      </c>
      <c r="O16" s="20">
        <v>60</v>
      </c>
      <c r="P16" s="20">
        <v>60</v>
      </c>
      <c r="Q16" s="20">
        <v>63</v>
      </c>
      <c r="R16" s="20">
        <v>68</v>
      </c>
      <c r="S16" s="20"/>
      <c r="T16" s="213">
        <v>671</v>
      </c>
      <c r="U16" s="20"/>
      <c r="V16" s="20"/>
    </row>
    <row r="17" spans="1:22" ht="15.75" customHeight="1">
      <c r="A17" s="20"/>
      <c r="B17" s="27"/>
      <c r="C17" s="28" t="s">
        <v>403</v>
      </c>
      <c r="D17" s="28"/>
      <c r="E17" s="29">
        <v>1.1000000000000001</v>
      </c>
      <c r="F17" s="20"/>
      <c r="G17" s="26">
        <v>0.11</v>
      </c>
      <c r="H17" s="26">
        <v>0.3</v>
      </c>
      <c r="I17" s="26">
        <v>0.28000000000000003</v>
      </c>
      <c r="J17" s="26">
        <v>0.44</v>
      </c>
      <c r="K17" s="26">
        <v>0.22</v>
      </c>
      <c r="L17" s="26">
        <v>0.65</v>
      </c>
      <c r="M17" s="26">
        <v>0.46</v>
      </c>
      <c r="N17" s="26">
        <v>0.61</v>
      </c>
      <c r="O17" s="26">
        <v>0.55000000000000004</v>
      </c>
      <c r="P17" s="26">
        <v>0.69</v>
      </c>
      <c r="Q17" s="26">
        <v>0.28000000000000003</v>
      </c>
      <c r="R17" s="26">
        <v>1.1399999999999999</v>
      </c>
      <c r="S17" s="20"/>
      <c r="T17" s="26">
        <v>0.42</v>
      </c>
      <c r="U17" s="20"/>
      <c r="V17" s="20"/>
    </row>
    <row r="18" spans="1:22" ht="15.7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 ht="30">
      <c r="A19" s="213" t="s">
        <v>405</v>
      </c>
      <c r="B19" s="23" t="s">
        <v>406</v>
      </c>
      <c r="C19" s="24"/>
      <c r="D19" s="24"/>
      <c r="E19" s="24" t="s">
        <v>379</v>
      </c>
      <c r="F19" s="20"/>
      <c r="G19" s="25">
        <v>45292</v>
      </c>
      <c r="H19" s="25">
        <v>45323</v>
      </c>
      <c r="I19" s="24" t="s">
        <v>380</v>
      </c>
      <c r="J19" s="25">
        <v>45383</v>
      </c>
      <c r="K19" s="24" t="s">
        <v>381</v>
      </c>
      <c r="L19" s="25">
        <v>45444</v>
      </c>
      <c r="M19" s="25">
        <v>45474</v>
      </c>
      <c r="N19" s="25">
        <v>45505</v>
      </c>
      <c r="O19" s="25">
        <v>45536</v>
      </c>
      <c r="P19" s="24" t="s">
        <v>382</v>
      </c>
      <c r="Q19" s="25">
        <v>45597</v>
      </c>
      <c r="R19" s="24" t="s">
        <v>383</v>
      </c>
      <c r="S19" s="20"/>
      <c r="T19" s="20"/>
      <c r="U19" s="20"/>
      <c r="V19" s="20"/>
    </row>
    <row r="20" spans="1:22" ht="15.75">
      <c r="A20" s="20"/>
      <c r="B20" s="20"/>
      <c r="C20" s="20"/>
      <c r="D20" s="20"/>
      <c r="E20" s="20">
        <v>306</v>
      </c>
      <c r="F20" s="20"/>
      <c r="G20" s="30">
        <v>16</v>
      </c>
      <c r="H20" s="30">
        <v>18</v>
      </c>
      <c r="I20" s="30">
        <v>22</v>
      </c>
      <c r="J20" s="30">
        <v>21</v>
      </c>
      <c r="K20" s="30">
        <v>21</v>
      </c>
      <c r="L20" s="30">
        <v>18</v>
      </c>
      <c r="M20" s="30">
        <v>18</v>
      </c>
      <c r="N20" s="30">
        <v>18</v>
      </c>
      <c r="O20" s="30">
        <v>24</v>
      </c>
      <c r="P20" s="30">
        <v>32</v>
      </c>
      <c r="Q20" s="30">
        <v>53</v>
      </c>
      <c r="R20" s="30">
        <v>45</v>
      </c>
      <c r="S20" s="20"/>
      <c r="T20" s="20"/>
      <c r="U20" s="20"/>
      <c r="V20" s="20"/>
    </row>
    <row r="21" spans="1:22" ht="30" customHeight="1">
      <c r="A21" s="20"/>
      <c r="B21" s="23" t="s">
        <v>406</v>
      </c>
      <c r="C21" s="24" t="s">
        <v>273</v>
      </c>
      <c r="D21" s="24" t="s">
        <v>384</v>
      </c>
      <c r="E21" s="24">
        <v>2025</v>
      </c>
      <c r="F21" s="20"/>
      <c r="G21" s="25">
        <v>45658</v>
      </c>
      <c r="H21" s="25">
        <v>45689</v>
      </c>
      <c r="I21" s="24" t="s">
        <v>385</v>
      </c>
      <c r="J21" s="25">
        <v>45748</v>
      </c>
      <c r="K21" s="24" t="s">
        <v>386</v>
      </c>
      <c r="L21" s="25">
        <v>45809</v>
      </c>
      <c r="M21" s="25">
        <v>45839</v>
      </c>
      <c r="N21" s="25">
        <v>45870</v>
      </c>
      <c r="O21" s="25">
        <v>45901</v>
      </c>
      <c r="P21" s="24" t="s">
        <v>387</v>
      </c>
      <c r="Q21" s="25">
        <v>45962</v>
      </c>
      <c r="R21" s="24" t="s">
        <v>388</v>
      </c>
      <c r="S21" s="22" t="s">
        <v>389</v>
      </c>
      <c r="T21" s="22" t="s">
        <v>390</v>
      </c>
      <c r="U21" s="20"/>
      <c r="V21" s="22" t="s">
        <v>391</v>
      </c>
    </row>
    <row r="22" spans="1:22" ht="15" customHeight="1">
      <c r="A22" s="20"/>
      <c r="B22" s="23"/>
      <c r="C22" s="24"/>
      <c r="D22" s="24"/>
      <c r="E22" s="24" t="s">
        <v>367</v>
      </c>
      <c r="F22" s="20"/>
      <c r="G22" s="25"/>
      <c r="H22" s="25"/>
      <c r="I22" s="24"/>
      <c r="J22" s="25"/>
      <c r="K22" s="24"/>
      <c r="L22" s="25"/>
      <c r="M22" s="25"/>
      <c r="N22" s="25"/>
      <c r="O22" s="25"/>
      <c r="P22" s="24"/>
      <c r="Q22" s="25"/>
      <c r="R22" s="24"/>
      <c r="S22" s="22"/>
      <c r="T22" s="22"/>
      <c r="U22" s="20"/>
      <c r="V22" s="22"/>
    </row>
    <row r="23" spans="1:22" ht="15.75">
      <c r="A23" s="20"/>
      <c r="B23" s="20" t="s">
        <v>392</v>
      </c>
      <c r="C23" s="20">
        <v>306</v>
      </c>
      <c r="D23" s="31">
        <v>372</v>
      </c>
      <c r="E23" s="20">
        <v>338</v>
      </c>
      <c r="F23" s="20"/>
      <c r="G23" s="20">
        <v>27</v>
      </c>
      <c r="H23" s="20">
        <v>27</v>
      </c>
      <c r="I23" s="20">
        <v>27</v>
      </c>
      <c r="J23" s="20">
        <v>28</v>
      </c>
      <c r="K23" s="20">
        <v>28</v>
      </c>
      <c r="L23" s="20">
        <v>27</v>
      </c>
      <c r="M23" s="20">
        <v>26</v>
      </c>
      <c r="N23" s="20">
        <v>28</v>
      </c>
      <c r="O23" s="20">
        <v>27</v>
      </c>
      <c r="P23" s="32">
        <v>29</v>
      </c>
      <c r="Q23" s="32">
        <v>34</v>
      </c>
      <c r="R23" s="32">
        <v>33</v>
      </c>
      <c r="S23" s="20">
        <v>274</v>
      </c>
      <c r="T23" s="20"/>
      <c r="U23" s="20"/>
      <c r="V23" s="20"/>
    </row>
    <row r="24" spans="1:22" ht="15.75">
      <c r="A24" s="20"/>
      <c r="B24" s="20" t="s">
        <v>393</v>
      </c>
      <c r="C24" s="20"/>
      <c r="D24" s="20"/>
      <c r="E24" s="20"/>
      <c r="F24" s="20"/>
      <c r="G24" s="20">
        <v>37</v>
      </c>
      <c r="H24" s="20">
        <v>30</v>
      </c>
      <c r="I24" s="20">
        <v>34</v>
      </c>
      <c r="J24" s="20">
        <v>29</v>
      </c>
      <c r="K24" s="20">
        <v>37</v>
      </c>
      <c r="L24" s="20">
        <v>25</v>
      </c>
      <c r="M24" s="20">
        <v>30</v>
      </c>
      <c r="N24" s="20">
        <v>24</v>
      </c>
      <c r="O24" s="20">
        <v>30</v>
      </c>
      <c r="P24" s="20">
        <v>33</v>
      </c>
      <c r="Q24" s="20"/>
      <c r="R24" s="20"/>
      <c r="S24" s="20">
        <v>309</v>
      </c>
      <c r="T24" s="20">
        <v>29</v>
      </c>
      <c r="U24" s="20"/>
      <c r="V24" s="20"/>
    </row>
    <row r="25" spans="1:22" ht="15.75">
      <c r="A25" s="20"/>
      <c r="B25" s="20" t="s">
        <v>395</v>
      </c>
      <c r="C25" s="20"/>
      <c r="D25" s="20"/>
      <c r="E25" s="20"/>
      <c r="F25" s="20"/>
      <c r="G25" s="26">
        <v>0.37</v>
      </c>
      <c r="H25" s="26">
        <v>0.11</v>
      </c>
      <c r="I25" s="26">
        <v>0.27</v>
      </c>
      <c r="J25" s="26">
        <v>0.03</v>
      </c>
      <c r="K25" s="26">
        <v>0.31</v>
      </c>
      <c r="L25" s="26">
        <v>-7.0000000000000007E-2</v>
      </c>
      <c r="M25" s="26">
        <v>0.14000000000000001</v>
      </c>
      <c r="N25" s="26">
        <v>-0.13</v>
      </c>
      <c r="O25" s="26">
        <v>0.1</v>
      </c>
      <c r="P25" s="26">
        <v>0.13</v>
      </c>
      <c r="Q25" s="20"/>
      <c r="R25" s="20"/>
      <c r="S25" s="26">
        <v>0.13</v>
      </c>
      <c r="T25" s="20"/>
      <c r="U25" s="20"/>
      <c r="V25" s="20"/>
    </row>
    <row r="26" spans="1:22" ht="15.75">
      <c r="A26" s="20"/>
      <c r="B26" s="20" t="s">
        <v>396</v>
      </c>
      <c r="C26" s="20"/>
      <c r="D26" s="26">
        <v>0.22</v>
      </c>
      <c r="E26" s="26">
        <v>0.11</v>
      </c>
      <c r="F26" s="20"/>
      <c r="G26" s="26">
        <v>1.31</v>
      </c>
      <c r="H26" s="26">
        <v>0.67</v>
      </c>
      <c r="I26" s="26">
        <v>0.55000000000000004</v>
      </c>
      <c r="J26" s="26">
        <v>0.38</v>
      </c>
      <c r="K26" s="26">
        <v>0.76</v>
      </c>
      <c r="L26" s="26">
        <v>0.39</v>
      </c>
      <c r="M26" s="26">
        <v>0.67</v>
      </c>
      <c r="N26" s="26">
        <v>0.33</v>
      </c>
      <c r="O26" s="26">
        <v>0.24</v>
      </c>
      <c r="P26" s="26">
        <v>0.03</v>
      </c>
      <c r="Q26" s="26">
        <v>-1</v>
      </c>
      <c r="R26" s="26">
        <v>-1</v>
      </c>
      <c r="S26" s="26">
        <v>0.48</v>
      </c>
      <c r="T26" s="20"/>
      <c r="U26" s="20"/>
      <c r="V26" s="20"/>
    </row>
    <row r="27" spans="1:22" ht="15.75">
      <c r="A27" s="20"/>
      <c r="B27" s="23"/>
      <c r="C27" s="24"/>
      <c r="D27" s="24"/>
      <c r="E27" s="24"/>
      <c r="F27" s="20"/>
      <c r="G27" s="25">
        <v>46023</v>
      </c>
      <c r="H27" s="25">
        <v>46054</v>
      </c>
      <c r="I27" s="24" t="s">
        <v>397</v>
      </c>
      <c r="J27" s="25">
        <v>46113</v>
      </c>
      <c r="K27" s="24" t="s">
        <v>398</v>
      </c>
      <c r="L27" s="25">
        <v>46174</v>
      </c>
      <c r="M27" s="25">
        <v>46204</v>
      </c>
      <c r="N27" s="25">
        <v>46235</v>
      </c>
      <c r="O27" s="25">
        <v>46266</v>
      </c>
      <c r="P27" s="24" t="s">
        <v>399</v>
      </c>
      <c r="Q27" s="25">
        <v>46327</v>
      </c>
      <c r="R27" s="24" t="s">
        <v>400</v>
      </c>
      <c r="S27" s="22" t="s">
        <v>389</v>
      </c>
      <c r="T27" s="22" t="s">
        <v>390</v>
      </c>
      <c r="U27" s="20"/>
      <c r="V27" s="20"/>
    </row>
    <row r="28" spans="1:22" ht="45">
      <c r="A28" s="20"/>
      <c r="B28" s="23" t="s">
        <v>401</v>
      </c>
      <c r="C28" s="22" t="s">
        <v>402</v>
      </c>
      <c r="D28" s="22"/>
      <c r="E28" s="24">
        <v>54</v>
      </c>
      <c r="F28" s="20"/>
      <c r="G28" s="20">
        <v>31</v>
      </c>
      <c r="H28" s="20">
        <v>31</v>
      </c>
      <c r="I28" s="20">
        <v>34</v>
      </c>
      <c r="J28" s="20">
        <v>32</v>
      </c>
      <c r="K28" s="20">
        <v>34</v>
      </c>
      <c r="L28" s="20">
        <v>33</v>
      </c>
      <c r="M28" s="20">
        <v>34</v>
      </c>
      <c r="N28" s="20">
        <v>31</v>
      </c>
      <c r="O28" s="20">
        <v>35</v>
      </c>
      <c r="P28" s="20">
        <v>35</v>
      </c>
      <c r="Q28" s="20">
        <v>36</v>
      </c>
      <c r="R28" s="20">
        <v>40</v>
      </c>
      <c r="S28" s="20"/>
      <c r="T28" s="213">
        <v>406</v>
      </c>
      <c r="U28" s="20"/>
      <c r="V28" s="20"/>
    </row>
    <row r="29" spans="1:22" ht="15.75" customHeight="1">
      <c r="A29" s="20"/>
      <c r="B29" s="27"/>
      <c r="C29" s="28" t="s">
        <v>403</v>
      </c>
      <c r="D29" s="28"/>
      <c r="E29" s="33"/>
      <c r="F29" s="20"/>
      <c r="G29" s="26">
        <v>-0.16</v>
      </c>
      <c r="H29" s="26">
        <v>0.03</v>
      </c>
      <c r="I29" s="26">
        <v>0</v>
      </c>
      <c r="J29" s="26">
        <v>0.1</v>
      </c>
      <c r="K29" s="26">
        <v>-0.08</v>
      </c>
      <c r="L29" s="26">
        <v>0.32</v>
      </c>
      <c r="M29" s="26">
        <v>0.13</v>
      </c>
      <c r="N29" s="26">
        <v>0.28999999999999998</v>
      </c>
      <c r="O29" s="26">
        <v>0.17</v>
      </c>
      <c r="P29" s="26">
        <v>0.2</v>
      </c>
      <c r="Q29" s="26">
        <v>0.06</v>
      </c>
      <c r="R29" s="26">
        <v>0.21</v>
      </c>
      <c r="S29" s="20"/>
      <c r="T29" s="26">
        <v>0.09</v>
      </c>
      <c r="U29" s="20"/>
      <c r="V29" s="20"/>
    </row>
    <row r="30" spans="1:22" ht="60">
      <c r="A30" s="20"/>
      <c r="B30" s="23" t="s">
        <v>404</v>
      </c>
      <c r="C30" s="22" t="s">
        <v>402</v>
      </c>
      <c r="D30" s="22"/>
      <c r="E30" s="24">
        <v>108</v>
      </c>
      <c r="F30" s="20"/>
      <c r="G30" s="20">
        <v>34</v>
      </c>
      <c r="H30" s="20">
        <v>34</v>
      </c>
      <c r="I30" s="20">
        <v>38</v>
      </c>
      <c r="J30" s="20">
        <v>36</v>
      </c>
      <c r="K30" s="20">
        <v>39</v>
      </c>
      <c r="L30" s="20">
        <v>38</v>
      </c>
      <c r="M30" s="20">
        <v>40</v>
      </c>
      <c r="N30" s="20">
        <v>37</v>
      </c>
      <c r="O30" s="20">
        <v>43</v>
      </c>
      <c r="P30" s="20">
        <v>43</v>
      </c>
      <c r="Q30" s="20">
        <v>45</v>
      </c>
      <c r="R30" s="20">
        <v>50</v>
      </c>
      <c r="S30" s="20"/>
      <c r="T30" s="213">
        <v>477</v>
      </c>
      <c r="U30" s="20"/>
      <c r="V30" s="20"/>
    </row>
    <row r="31" spans="1:22" ht="15.75" customHeight="1">
      <c r="A31" s="20"/>
      <c r="B31" s="27"/>
      <c r="C31" s="28" t="s">
        <v>403</v>
      </c>
      <c r="D31" s="28"/>
      <c r="E31" s="33"/>
      <c r="F31" s="20"/>
      <c r="G31" s="26">
        <v>-0.08</v>
      </c>
      <c r="H31" s="26">
        <v>0.13</v>
      </c>
      <c r="I31" s="26">
        <v>0.12</v>
      </c>
      <c r="J31" s="26">
        <v>0.24</v>
      </c>
      <c r="K31" s="26">
        <v>0.05</v>
      </c>
      <c r="L31" s="26">
        <v>0.52</v>
      </c>
      <c r="M31" s="26">
        <v>0.33</v>
      </c>
      <c r="N31" s="26">
        <v>0.54</v>
      </c>
      <c r="O31" s="26">
        <v>0.44</v>
      </c>
      <c r="P31" s="26">
        <v>0.47</v>
      </c>
      <c r="Q31" s="26">
        <v>0.32</v>
      </c>
      <c r="R31" s="26">
        <v>0.52</v>
      </c>
      <c r="S31" s="20"/>
      <c r="T31" s="26">
        <v>0.28000000000000003</v>
      </c>
      <c r="U31" s="20"/>
      <c r="V31" s="20"/>
    </row>
    <row r="32" spans="1:22" ht="15.7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1:22" ht="30">
      <c r="A33" s="213" t="s">
        <v>407</v>
      </c>
      <c r="B33" s="23" t="s">
        <v>408</v>
      </c>
      <c r="C33" s="24"/>
      <c r="D33" s="24"/>
      <c r="E33" s="24" t="s">
        <v>379</v>
      </c>
      <c r="F33" s="20"/>
      <c r="G33" s="25">
        <v>45292</v>
      </c>
      <c r="H33" s="25">
        <v>45323</v>
      </c>
      <c r="I33" s="24" t="s">
        <v>380</v>
      </c>
      <c r="J33" s="25">
        <v>45383</v>
      </c>
      <c r="K33" s="24" t="s">
        <v>381</v>
      </c>
      <c r="L33" s="25">
        <v>45444</v>
      </c>
      <c r="M33" s="25">
        <v>45474</v>
      </c>
      <c r="N33" s="25">
        <v>45505</v>
      </c>
      <c r="O33" s="25">
        <v>45536</v>
      </c>
      <c r="P33" s="24" t="s">
        <v>382</v>
      </c>
      <c r="Q33" s="25">
        <v>45597</v>
      </c>
      <c r="R33" s="24" t="s">
        <v>383</v>
      </c>
      <c r="S33" s="20"/>
      <c r="T33" s="20"/>
      <c r="U33" s="20"/>
      <c r="V33" s="20"/>
    </row>
    <row r="34" spans="1:22" ht="15.75">
      <c r="A34" s="20"/>
      <c r="B34" s="20"/>
      <c r="C34" s="20"/>
      <c r="D34" s="20"/>
      <c r="E34" s="20">
        <v>20</v>
      </c>
      <c r="F34" s="20"/>
      <c r="G34" s="34" t="s">
        <v>394</v>
      </c>
      <c r="H34" s="34" t="s">
        <v>394</v>
      </c>
      <c r="I34" s="34" t="s">
        <v>394</v>
      </c>
      <c r="J34" s="34" t="s">
        <v>394</v>
      </c>
      <c r="K34" s="34" t="s">
        <v>394</v>
      </c>
      <c r="L34" s="34" t="s">
        <v>394</v>
      </c>
      <c r="M34" s="34" t="s">
        <v>394</v>
      </c>
      <c r="N34" s="34" t="s">
        <v>394</v>
      </c>
      <c r="O34" s="34" t="s">
        <v>394</v>
      </c>
      <c r="P34" s="34" t="s">
        <v>394</v>
      </c>
      <c r="Q34" s="20">
        <v>15</v>
      </c>
      <c r="R34" s="20">
        <v>5</v>
      </c>
      <c r="S34" s="20"/>
      <c r="T34" s="20"/>
      <c r="U34" s="20"/>
      <c r="V34" s="20"/>
    </row>
    <row r="35" spans="1:22" ht="30" customHeight="1">
      <c r="A35" s="20"/>
      <c r="B35" s="23" t="s">
        <v>408</v>
      </c>
      <c r="C35" s="24" t="s">
        <v>273</v>
      </c>
      <c r="D35" s="24" t="s">
        <v>384</v>
      </c>
      <c r="E35" s="24">
        <v>2025</v>
      </c>
      <c r="F35" s="20"/>
      <c r="G35" s="25">
        <v>45658</v>
      </c>
      <c r="H35" s="25">
        <v>45689</v>
      </c>
      <c r="I35" s="24" t="s">
        <v>385</v>
      </c>
      <c r="J35" s="25">
        <v>45748</v>
      </c>
      <c r="K35" s="24" t="s">
        <v>386</v>
      </c>
      <c r="L35" s="25">
        <v>45809</v>
      </c>
      <c r="M35" s="25">
        <v>45839</v>
      </c>
      <c r="N35" s="25">
        <v>45870</v>
      </c>
      <c r="O35" s="25">
        <v>45901</v>
      </c>
      <c r="P35" s="24" t="s">
        <v>387</v>
      </c>
      <c r="Q35" s="25">
        <v>45962</v>
      </c>
      <c r="R35" s="24" t="s">
        <v>388</v>
      </c>
      <c r="S35" s="22" t="s">
        <v>389</v>
      </c>
      <c r="T35" s="22" t="s">
        <v>390</v>
      </c>
      <c r="U35" s="20"/>
      <c r="V35" s="22" t="s">
        <v>391</v>
      </c>
    </row>
    <row r="36" spans="1:22" ht="15" customHeight="1">
      <c r="A36" s="20"/>
      <c r="B36" s="23"/>
      <c r="C36" s="24"/>
      <c r="D36" s="24"/>
      <c r="E36" s="24" t="s">
        <v>367</v>
      </c>
      <c r="F36" s="20"/>
      <c r="G36" s="25"/>
      <c r="H36" s="25"/>
      <c r="I36" s="24"/>
      <c r="J36" s="25"/>
      <c r="K36" s="24"/>
      <c r="L36" s="25"/>
      <c r="M36" s="25"/>
      <c r="N36" s="25"/>
      <c r="O36" s="25"/>
      <c r="P36" s="24"/>
      <c r="Q36" s="25"/>
      <c r="R36" s="24"/>
      <c r="S36" s="22"/>
      <c r="T36" s="22"/>
      <c r="U36" s="20"/>
      <c r="V36" s="22"/>
    </row>
    <row r="37" spans="1:22" ht="15.75">
      <c r="A37" s="20"/>
      <c r="B37" s="20" t="s">
        <v>392</v>
      </c>
      <c r="C37" s="20">
        <v>20</v>
      </c>
      <c r="D37" s="31">
        <v>100</v>
      </c>
      <c r="E37" s="20">
        <v>58</v>
      </c>
      <c r="F37" s="20"/>
      <c r="G37" s="20">
        <v>3</v>
      </c>
      <c r="H37" s="20">
        <v>3</v>
      </c>
      <c r="I37" s="20">
        <v>3</v>
      </c>
      <c r="J37" s="20">
        <v>4</v>
      </c>
      <c r="K37" s="20">
        <v>4</v>
      </c>
      <c r="L37" s="20">
        <v>4</v>
      </c>
      <c r="M37" s="20">
        <v>5</v>
      </c>
      <c r="N37" s="20">
        <v>5</v>
      </c>
      <c r="O37" s="20">
        <v>9</v>
      </c>
      <c r="P37" s="31">
        <v>9</v>
      </c>
      <c r="Q37" s="31">
        <v>10</v>
      </c>
      <c r="R37" s="31">
        <v>10</v>
      </c>
      <c r="S37" s="20">
        <v>48</v>
      </c>
      <c r="T37" s="20"/>
      <c r="U37" s="20"/>
      <c r="V37" s="20"/>
    </row>
    <row r="38" spans="1:22" ht="15.75">
      <c r="A38" s="20"/>
      <c r="B38" s="20" t="s">
        <v>393</v>
      </c>
      <c r="C38" s="20"/>
      <c r="D38" s="20"/>
      <c r="E38" s="20"/>
      <c r="F38" s="20"/>
      <c r="G38" s="20">
        <v>5</v>
      </c>
      <c r="H38" s="20">
        <v>10</v>
      </c>
      <c r="I38" s="20">
        <v>8</v>
      </c>
      <c r="J38" s="20">
        <v>4</v>
      </c>
      <c r="K38" s="20">
        <v>9</v>
      </c>
      <c r="L38" s="20">
        <v>7</v>
      </c>
      <c r="M38" s="20">
        <v>9</v>
      </c>
      <c r="N38" s="20">
        <v>11</v>
      </c>
      <c r="O38" s="20">
        <v>9</v>
      </c>
      <c r="P38" s="20">
        <v>13</v>
      </c>
      <c r="Q38" s="20"/>
      <c r="R38" s="20"/>
      <c r="S38" s="20">
        <v>84</v>
      </c>
      <c r="T38" s="20">
        <v>-26</v>
      </c>
      <c r="U38" s="20"/>
      <c r="V38" s="20"/>
    </row>
    <row r="39" spans="1:22" ht="15.75">
      <c r="A39" s="20"/>
      <c r="B39" s="20" t="s">
        <v>395</v>
      </c>
      <c r="C39" s="20"/>
      <c r="D39" s="20"/>
      <c r="E39" s="20"/>
      <c r="F39" s="20"/>
      <c r="G39" s="26">
        <v>0.74</v>
      </c>
      <c r="H39" s="26">
        <v>2.4700000000000002</v>
      </c>
      <c r="I39" s="26">
        <v>1.78</v>
      </c>
      <c r="J39" s="26">
        <v>0.04</v>
      </c>
      <c r="K39" s="26">
        <v>1.34</v>
      </c>
      <c r="L39" s="26">
        <v>0.82</v>
      </c>
      <c r="M39" s="26">
        <v>0.88</v>
      </c>
      <c r="N39" s="26">
        <v>1.21</v>
      </c>
      <c r="O39" s="26">
        <v>-0.03</v>
      </c>
      <c r="P39" s="26">
        <v>0.4</v>
      </c>
      <c r="Q39" s="20"/>
      <c r="R39" s="20"/>
      <c r="S39" s="26">
        <v>0.76</v>
      </c>
      <c r="T39" s="20"/>
      <c r="U39" s="20"/>
      <c r="V39" s="20"/>
    </row>
    <row r="40" spans="1:22" ht="15.75">
      <c r="A40" s="20"/>
      <c r="B40" s="20" t="s">
        <v>396</v>
      </c>
      <c r="C40" s="20"/>
      <c r="D40" s="20"/>
      <c r="E40" s="26">
        <v>1.89</v>
      </c>
      <c r="F40" s="20"/>
      <c r="G40" s="34" t="s">
        <v>409</v>
      </c>
      <c r="H40" s="34" t="s">
        <v>394</v>
      </c>
      <c r="I40" s="34" t="s">
        <v>394</v>
      </c>
      <c r="J40" s="34" t="s">
        <v>394</v>
      </c>
      <c r="K40" s="34" t="s">
        <v>394</v>
      </c>
      <c r="L40" s="34" t="s">
        <v>394</v>
      </c>
      <c r="M40" s="34" t="s">
        <v>394</v>
      </c>
      <c r="N40" s="34" t="s">
        <v>394</v>
      </c>
      <c r="O40" s="34" t="s">
        <v>394</v>
      </c>
      <c r="P40" s="34" t="s">
        <v>394</v>
      </c>
      <c r="Q40" s="26">
        <v>-1</v>
      </c>
      <c r="R40" s="26">
        <v>-1</v>
      </c>
      <c r="S40" s="20" t="e">
        <v>#DIV/0!</v>
      </c>
      <c r="T40" s="20"/>
      <c r="U40" s="20"/>
      <c r="V40" s="20"/>
    </row>
    <row r="41" spans="1:22" ht="15.75">
      <c r="A41" s="20"/>
      <c r="B41" s="23"/>
      <c r="C41" s="24"/>
      <c r="D41" s="24"/>
      <c r="E41" s="24"/>
      <c r="F41" s="20"/>
      <c r="G41" s="25">
        <v>46023</v>
      </c>
      <c r="H41" s="25">
        <v>46054</v>
      </c>
      <c r="I41" s="24" t="s">
        <v>397</v>
      </c>
      <c r="J41" s="25">
        <v>46113</v>
      </c>
      <c r="K41" s="24" t="s">
        <v>398</v>
      </c>
      <c r="L41" s="25">
        <v>46174</v>
      </c>
      <c r="M41" s="25">
        <v>46204</v>
      </c>
      <c r="N41" s="25">
        <v>46235</v>
      </c>
      <c r="O41" s="25">
        <v>46266</v>
      </c>
      <c r="P41" s="24" t="s">
        <v>399</v>
      </c>
      <c r="Q41" s="25">
        <v>46327</v>
      </c>
      <c r="R41" s="24" t="s">
        <v>400</v>
      </c>
      <c r="S41" s="22" t="s">
        <v>389</v>
      </c>
      <c r="T41" s="22" t="s">
        <v>390</v>
      </c>
      <c r="U41" s="20"/>
      <c r="V41" s="20"/>
    </row>
    <row r="42" spans="1:22" ht="45">
      <c r="A42" s="20"/>
      <c r="B42" s="23" t="s">
        <v>401</v>
      </c>
      <c r="C42" s="22" t="s">
        <v>402</v>
      </c>
      <c r="D42" s="22"/>
      <c r="E42" s="24">
        <v>6</v>
      </c>
      <c r="F42" s="20"/>
      <c r="G42" s="20">
        <v>6</v>
      </c>
      <c r="H42" s="20">
        <v>11</v>
      </c>
      <c r="I42" s="20">
        <v>9</v>
      </c>
      <c r="J42" s="20">
        <v>4</v>
      </c>
      <c r="K42" s="20">
        <v>10</v>
      </c>
      <c r="L42" s="20">
        <v>8</v>
      </c>
      <c r="M42" s="20">
        <v>10</v>
      </c>
      <c r="N42" s="20">
        <v>12</v>
      </c>
      <c r="O42" s="20">
        <v>10</v>
      </c>
      <c r="P42" s="20">
        <v>10</v>
      </c>
      <c r="Q42" s="20">
        <v>11</v>
      </c>
      <c r="R42" s="20">
        <v>11</v>
      </c>
      <c r="S42" s="20"/>
      <c r="T42" s="213">
        <v>110</v>
      </c>
      <c r="U42" s="20"/>
      <c r="V42" s="20"/>
    </row>
    <row r="43" spans="1:22" ht="15.75" customHeight="1">
      <c r="A43" s="20"/>
      <c r="B43" s="27"/>
      <c r="C43" s="28" t="s">
        <v>403</v>
      </c>
      <c r="D43" s="28"/>
      <c r="E43" s="33"/>
      <c r="F43" s="20"/>
      <c r="G43" s="26">
        <v>0.1</v>
      </c>
      <c r="H43" s="26">
        <v>0.1</v>
      </c>
      <c r="I43" s="26">
        <v>0.1</v>
      </c>
      <c r="J43" s="26">
        <v>0.1</v>
      </c>
      <c r="K43" s="26">
        <v>0.1</v>
      </c>
      <c r="L43" s="26">
        <v>0.1</v>
      </c>
      <c r="M43" s="26">
        <v>0.1</v>
      </c>
      <c r="N43" s="26">
        <v>0.1</v>
      </c>
      <c r="O43" s="26">
        <v>0.1</v>
      </c>
      <c r="P43" s="26">
        <v>0.1</v>
      </c>
      <c r="Q43" s="26">
        <v>0.1</v>
      </c>
      <c r="R43" s="26">
        <v>0.1</v>
      </c>
      <c r="S43" s="20"/>
      <c r="T43" s="26">
        <v>0.1</v>
      </c>
      <c r="U43" s="20"/>
      <c r="V43" s="20"/>
    </row>
    <row r="44" spans="1:22" ht="60">
      <c r="A44" s="20"/>
      <c r="B44" s="23" t="s">
        <v>404</v>
      </c>
      <c r="C44" s="22" t="s">
        <v>402</v>
      </c>
      <c r="D44" s="22"/>
      <c r="E44" s="24">
        <v>18</v>
      </c>
      <c r="F44" s="20"/>
      <c r="G44" s="20">
        <v>13</v>
      </c>
      <c r="H44" s="20">
        <v>18</v>
      </c>
      <c r="I44" s="20">
        <v>16</v>
      </c>
      <c r="J44" s="20">
        <v>11</v>
      </c>
      <c r="K44" s="20">
        <v>17</v>
      </c>
      <c r="L44" s="20">
        <v>15</v>
      </c>
      <c r="M44" s="20">
        <v>17</v>
      </c>
      <c r="N44" s="20">
        <v>19</v>
      </c>
      <c r="O44" s="20">
        <v>17</v>
      </c>
      <c r="P44" s="20">
        <v>17</v>
      </c>
      <c r="Q44" s="20">
        <v>18</v>
      </c>
      <c r="R44" s="20">
        <v>18</v>
      </c>
      <c r="S44" s="20"/>
      <c r="T44" s="213">
        <v>194</v>
      </c>
      <c r="U44" s="20"/>
      <c r="V44" s="20"/>
    </row>
    <row r="45" spans="1:22" ht="15.75" customHeight="1">
      <c r="A45" s="20"/>
      <c r="B45" s="27"/>
      <c r="C45" s="28" t="s">
        <v>403</v>
      </c>
      <c r="D45" s="28"/>
      <c r="E45" s="33"/>
      <c r="F45" s="20"/>
      <c r="G45" s="26">
        <v>1.5</v>
      </c>
      <c r="H45" s="26">
        <v>0.8</v>
      </c>
      <c r="I45" s="26">
        <v>0.98</v>
      </c>
      <c r="J45" s="26">
        <v>1.85</v>
      </c>
      <c r="K45" s="26">
        <v>0.88</v>
      </c>
      <c r="L45" s="26">
        <v>1.1000000000000001</v>
      </c>
      <c r="M45" s="26">
        <v>0.88</v>
      </c>
      <c r="N45" s="26">
        <v>0.76</v>
      </c>
      <c r="O45" s="26">
        <v>0.9</v>
      </c>
      <c r="P45" s="26">
        <v>0.88</v>
      </c>
      <c r="Q45" s="26">
        <v>0.8</v>
      </c>
      <c r="R45" s="26">
        <v>0.8</v>
      </c>
      <c r="S45" s="20"/>
      <c r="T45" s="26">
        <v>0.94</v>
      </c>
      <c r="U45" s="20"/>
      <c r="V45" s="20"/>
    </row>
    <row r="46" spans="1:22" ht="15.7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spans="1:22" ht="15.7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1:22" ht="15.75">
      <c r="A48" s="20"/>
      <c r="B48" s="21" t="s">
        <v>410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spans="1:22" ht="15.75">
      <c r="A49" s="20"/>
      <c r="B49" s="20"/>
      <c r="C49" s="20"/>
      <c r="D49" s="20"/>
      <c r="E49" s="20"/>
      <c r="F49" s="20"/>
      <c r="G49" s="22" t="s">
        <v>367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0"/>
      <c r="T49" s="20"/>
      <c r="U49" s="20"/>
      <c r="V49" s="20"/>
    </row>
    <row r="50" spans="1:22" ht="30">
      <c r="A50" s="213" t="s">
        <v>411</v>
      </c>
      <c r="B50" s="23" t="s">
        <v>412</v>
      </c>
      <c r="C50" s="24"/>
      <c r="D50" s="24"/>
      <c r="E50" s="24" t="s">
        <v>379</v>
      </c>
      <c r="F50" s="20"/>
      <c r="G50" s="25">
        <v>45292</v>
      </c>
      <c r="H50" s="25">
        <v>45323</v>
      </c>
      <c r="I50" s="24" t="s">
        <v>380</v>
      </c>
      <c r="J50" s="25">
        <v>45383</v>
      </c>
      <c r="K50" s="24" t="s">
        <v>381</v>
      </c>
      <c r="L50" s="25">
        <v>45444</v>
      </c>
      <c r="M50" s="25">
        <v>45474</v>
      </c>
      <c r="N50" s="25">
        <v>45505</v>
      </c>
      <c r="O50" s="25">
        <v>45536</v>
      </c>
      <c r="P50" s="24" t="s">
        <v>382</v>
      </c>
      <c r="Q50" s="25">
        <v>45597</v>
      </c>
      <c r="R50" s="24" t="s">
        <v>383</v>
      </c>
      <c r="S50" s="20"/>
      <c r="T50" s="20"/>
      <c r="U50" s="20"/>
      <c r="V50" s="20"/>
    </row>
    <row r="51" spans="1:22" ht="15.75">
      <c r="A51" s="20"/>
      <c r="B51" s="20"/>
      <c r="C51" s="20"/>
      <c r="D51" s="20"/>
      <c r="E51" s="20">
        <v>397</v>
      </c>
      <c r="F51" s="20"/>
      <c r="G51" s="30">
        <v>34</v>
      </c>
      <c r="H51" s="30">
        <v>30</v>
      </c>
      <c r="I51" s="30">
        <v>26</v>
      </c>
      <c r="J51" s="30">
        <v>38</v>
      </c>
      <c r="K51" s="30">
        <v>27</v>
      </c>
      <c r="L51" s="30">
        <v>23</v>
      </c>
      <c r="M51" s="30">
        <v>29</v>
      </c>
      <c r="N51" s="30">
        <v>26</v>
      </c>
      <c r="O51" s="30">
        <v>34</v>
      </c>
      <c r="P51" s="30">
        <v>36</v>
      </c>
      <c r="Q51" s="30">
        <v>50</v>
      </c>
      <c r="R51" s="30">
        <v>44</v>
      </c>
      <c r="S51" s="20"/>
      <c r="T51" s="20"/>
      <c r="U51" s="20"/>
      <c r="V51" s="20"/>
    </row>
    <row r="52" spans="1:22" ht="30" customHeight="1">
      <c r="A52" s="20"/>
      <c r="B52" s="23" t="s">
        <v>412</v>
      </c>
      <c r="C52" s="24" t="s">
        <v>273</v>
      </c>
      <c r="D52" s="24" t="s">
        <v>384</v>
      </c>
      <c r="E52" s="24">
        <v>2025</v>
      </c>
      <c r="F52" s="20"/>
      <c r="G52" s="25">
        <v>45658</v>
      </c>
      <c r="H52" s="25">
        <v>45689</v>
      </c>
      <c r="I52" s="24" t="s">
        <v>385</v>
      </c>
      <c r="J52" s="25">
        <v>45748</v>
      </c>
      <c r="K52" s="24" t="s">
        <v>386</v>
      </c>
      <c r="L52" s="25">
        <v>45809</v>
      </c>
      <c r="M52" s="25">
        <v>45839</v>
      </c>
      <c r="N52" s="25">
        <v>45870</v>
      </c>
      <c r="O52" s="25">
        <v>45901</v>
      </c>
      <c r="P52" s="24" t="s">
        <v>387</v>
      </c>
      <c r="Q52" s="25">
        <v>45962</v>
      </c>
      <c r="R52" s="24" t="s">
        <v>388</v>
      </c>
      <c r="S52" s="22" t="s">
        <v>389</v>
      </c>
      <c r="T52" s="22" t="s">
        <v>390</v>
      </c>
      <c r="U52" s="20" t="s">
        <v>413</v>
      </c>
      <c r="V52" s="22" t="s">
        <v>391</v>
      </c>
    </row>
    <row r="53" spans="1:22" ht="15" customHeight="1">
      <c r="A53" s="20"/>
      <c r="B53" s="23"/>
      <c r="C53" s="24"/>
      <c r="D53" s="24"/>
      <c r="E53" s="24" t="s">
        <v>367</v>
      </c>
      <c r="F53" s="20"/>
      <c r="G53" s="25"/>
      <c r="H53" s="25"/>
      <c r="I53" s="24"/>
      <c r="J53" s="25"/>
      <c r="K53" s="24"/>
      <c r="L53" s="25"/>
      <c r="M53" s="25"/>
      <c r="N53" s="25"/>
      <c r="O53" s="25"/>
      <c r="P53" s="24"/>
      <c r="Q53" s="25"/>
      <c r="R53" s="24"/>
      <c r="S53" s="22"/>
      <c r="T53" s="22"/>
      <c r="U53" s="20"/>
      <c r="V53" s="22"/>
    </row>
    <row r="54" spans="1:22" ht="15.75">
      <c r="A54" s="20"/>
      <c r="B54" s="20" t="s">
        <v>392</v>
      </c>
      <c r="C54" s="20">
        <v>397</v>
      </c>
      <c r="D54" s="31">
        <v>673</v>
      </c>
      <c r="E54" s="20">
        <v>800</v>
      </c>
      <c r="F54" s="20"/>
      <c r="G54" s="20">
        <v>32</v>
      </c>
      <c r="H54" s="20">
        <v>40</v>
      </c>
      <c r="I54" s="20">
        <v>48</v>
      </c>
      <c r="J54" s="20">
        <v>48</v>
      </c>
      <c r="K54" s="20">
        <v>52</v>
      </c>
      <c r="L54" s="20">
        <v>60</v>
      </c>
      <c r="M54" s="20">
        <v>64</v>
      </c>
      <c r="N54" s="20">
        <v>60</v>
      </c>
      <c r="O54" s="20">
        <v>56</v>
      </c>
      <c r="P54" s="31">
        <v>59</v>
      </c>
      <c r="Q54" s="31">
        <v>82</v>
      </c>
      <c r="R54" s="31">
        <v>72</v>
      </c>
      <c r="S54" s="20">
        <v>460</v>
      </c>
      <c r="T54" s="20">
        <v>213</v>
      </c>
      <c r="U54" s="20"/>
      <c r="V54" s="20"/>
    </row>
    <row r="55" spans="1:22" ht="15.75">
      <c r="A55" s="20"/>
      <c r="B55" s="20" t="s">
        <v>393</v>
      </c>
      <c r="C55" s="20"/>
      <c r="D55" s="20"/>
      <c r="E55" s="20"/>
      <c r="F55" s="20"/>
      <c r="G55" s="20">
        <v>61</v>
      </c>
      <c r="H55" s="20">
        <v>58</v>
      </c>
      <c r="I55" s="20">
        <v>55</v>
      </c>
      <c r="J55" s="20">
        <v>43</v>
      </c>
      <c r="K55" s="20">
        <v>50</v>
      </c>
      <c r="L55" s="20">
        <v>45</v>
      </c>
      <c r="M55" s="20">
        <v>48</v>
      </c>
      <c r="N55" s="20">
        <v>48</v>
      </c>
      <c r="O55" s="20">
        <v>52</v>
      </c>
      <c r="P55" s="20"/>
      <c r="Q55" s="20"/>
      <c r="R55" s="20"/>
      <c r="S55" s="20">
        <v>460</v>
      </c>
      <c r="T55" s="20">
        <v>340</v>
      </c>
      <c r="U55" s="20">
        <v>140</v>
      </c>
      <c r="V55" s="20"/>
    </row>
    <row r="56" spans="1:22" ht="15.75">
      <c r="A56" s="20"/>
      <c r="B56" s="20" t="s">
        <v>395</v>
      </c>
      <c r="C56" s="20"/>
      <c r="D56" s="20"/>
      <c r="E56" s="20"/>
      <c r="F56" s="20"/>
      <c r="G56" s="26">
        <v>0.91</v>
      </c>
      <c r="H56" s="26">
        <v>0.45</v>
      </c>
      <c r="I56" s="26">
        <v>0.15</v>
      </c>
      <c r="J56" s="26">
        <v>-0.1</v>
      </c>
      <c r="K56" s="26">
        <v>-0.04</v>
      </c>
      <c r="L56" s="26">
        <v>-0.25</v>
      </c>
      <c r="M56" s="26">
        <v>-0.25</v>
      </c>
      <c r="N56" s="26">
        <v>-0.2</v>
      </c>
      <c r="O56" s="26">
        <v>-7.0000000000000007E-2</v>
      </c>
      <c r="P56" s="20"/>
      <c r="Q56" s="20"/>
      <c r="R56" s="20"/>
      <c r="S56" s="26">
        <v>0</v>
      </c>
      <c r="T56" s="20"/>
      <c r="U56" s="20"/>
      <c r="V56" s="20"/>
    </row>
    <row r="57" spans="1:22" ht="15.75">
      <c r="A57" s="20"/>
      <c r="B57" s="20" t="s">
        <v>396</v>
      </c>
      <c r="C57" s="20"/>
      <c r="D57" s="20"/>
      <c r="E57" s="26">
        <v>1.02</v>
      </c>
      <c r="F57" s="20"/>
      <c r="G57" s="26">
        <v>0.79</v>
      </c>
      <c r="H57" s="26">
        <v>0.93</v>
      </c>
      <c r="I57" s="26">
        <v>1.1200000000000001</v>
      </c>
      <c r="J57" s="26">
        <v>0.13</v>
      </c>
      <c r="K57" s="26">
        <v>0.85</v>
      </c>
      <c r="L57" s="26">
        <v>0.96</v>
      </c>
      <c r="M57" s="26">
        <v>0.66</v>
      </c>
      <c r="N57" s="26">
        <v>0.86</v>
      </c>
      <c r="O57" s="26">
        <v>0.53</v>
      </c>
      <c r="P57" s="26">
        <v>-1</v>
      </c>
      <c r="Q57" s="26">
        <v>-1</v>
      </c>
      <c r="R57" s="26">
        <v>-1</v>
      </c>
      <c r="S57" s="26">
        <v>0.98</v>
      </c>
      <c r="T57" s="20"/>
      <c r="U57" s="20"/>
      <c r="V57" s="20"/>
    </row>
    <row r="58" spans="1:22" ht="15.75">
      <c r="A58" s="20"/>
      <c r="B58" s="20"/>
      <c r="C58" s="20"/>
      <c r="D58" s="35"/>
      <c r="E58" s="26">
        <v>0.7</v>
      </c>
      <c r="F58" s="20"/>
      <c r="G58" s="20"/>
      <c r="H58" s="20"/>
      <c r="I58" s="20"/>
      <c r="J58" s="20"/>
      <c r="K58" s="20"/>
      <c r="L58" s="20"/>
      <c r="M58" s="20"/>
      <c r="N58" s="20"/>
      <c r="O58" s="36"/>
      <c r="P58" s="36"/>
      <c r="Q58" s="36"/>
      <c r="R58" s="36"/>
      <c r="S58" s="20"/>
      <c r="T58" s="20"/>
      <c r="U58" s="20"/>
      <c r="V58" s="20"/>
    </row>
    <row r="59" spans="1:22" ht="15.75">
      <c r="A59" s="20"/>
      <c r="B59" s="23"/>
      <c r="C59" s="24"/>
      <c r="D59" s="24"/>
      <c r="E59" s="24"/>
      <c r="F59" s="20"/>
      <c r="G59" s="25">
        <v>46023</v>
      </c>
      <c r="H59" s="25">
        <v>46054</v>
      </c>
      <c r="I59" s="24" t="s">
        <v>397</v>
      </c>
      <c r="J59" s="25">
        <v>46113</v>
      </c>
      <c r="K59" s="24" t="s">
        <v>398</v>
      </c>
      <c r="L59" s="25">
        <v>46174</v>
      </c>
      <c r="M59" s="25">
        <v>46204</v>
      </c>
      <c r="N59" s="25">
        <v>46235</v>
      </c>
      <c r="O59" s="25">
        <v>46266</v>
      </c>
      <c r="P59" s="24" t="s">
        <v>399</v>
      </c>
      <c r="Q59" s="25">
        <v>46327</v>
      </c>
      <c r="R59" s="24" t="s">
        <v>400</v>
      </c>
      <c r="S59" s="22" t="s">
        <v>389</v>
      </c>
      <c r="T59" s="22" t="s">
        <v>390</v>
      </c>
      <c r="U59" s="20"/>
      <c r="V59" s="20"/>
    </row>
    <row r="60" spans="1:22" ht="45">
      <c r="A60" s="20"/>
      <c r="B60" s="23" t="s">
        <v>401</v>
      </c>
      <c r="C60" s="22" t="s">
        <v>402</v>
      </c>
      <c r="D60" s="22"/>
      <c r="E60" s="24">
        <v>160</v>
      </c>
      <c r="F60" s="20"/>
      <c r="G60" s="20">
        <v>68</v>
      </c>
      <c r="H60" s="20">
        <v>64</v>
      </c>
      <c r="I60" s="20">
        <v>61</v>
      </c>
      <c r="J60" s="20">
        <v>48</v>
      </c>
      <c r="K60" s="20">
        <v>56</v>
      </c>
      <c r="L60" s="20">
        <v>50</v>
      </c>
      <c r="M60" s="20">
        <v>53</v>
      </c>
      <c r="N60" s="20">
        <v>54</v>
      </c>
      <c r="O60" s="20">
        <v>58</v>
      </c>
      <c r="P60" s="20">
        <v>66</v>
      </c>
      <c r="Q60" s="20">
        <v>90</v>
      </c>
      <c r="R60" s="20">
        <v>80</v>
      </c>
      <c r="S60" s="20"/>
      <c r="T60" s="213">
        <v>748</v>
      </c>
      <c r="U60" s="20"/>
      <c r="V60" s="20"/>
    </row>
    <row r="61" spans="1:22" ht="15.75" customHeight="1">
      <c r="A61" s="20"/>
      <c r="B61" s="27"/>
      <c r="C61" s="28" t="s">
        <v>403</v>
      </c>
      <c r="D61" s="28"/>
      <c r="E61" s="33"/>
      <c r="F61" s="20"/>
      <c r="G61" s="26">
        <v>0.11</v>
      </c>
      <c r="H61" s="26">
        <v>0.11</v>
      </c>
      <c r="I61" s="26">
        <v>0.11</v>
      </c>
      <c r="J61" s="26">
        <v>0.11</v>
      </c>
      <c r="K61" s="26">
        <v>0.11</v>
      </c>
      <c r="L61" s="26">
        <v>0.11</v>
      </c>
      <c r="M61" s="26">
        <v>0.11</v>
      </c>
      <c r="N61" s="26">
        <v>0.11</v>
      </c>
      <c r="O61" s="26">
        <v>0.11</v>
      </c>
      <c r="P61" s="26">
        <v>0.11</v>
      </c>
      <c r="Q61" s="26">
        <v>0.11</v>
      </c>
      <c r="R61" s="26">
        <v>0.12</v>
      </c>
      <c r="S61" s="20"/>
      <c r="T61" s="26">
        <v>0.11</v>
      </c>
      <c r="U61" s="20"/>
      <c r="V61" s="20"/>
    </row>
    <row r="62" spans="1:22" ht="60">
      <c r="A62" s="20"/>
      <c r="B62" s="23" t="s">
        <v>404</v>
      </c>
      <c r="C62" s="22" t="s">
        <v>402</v>
      </c>
      <c r="D62" s="22"/>
      <c r="E62" s="24">
        <v>200</v>
      </c>
      <c r="F62" s="20"/>
      <c r="G62" s="20">
        <v>72</v>
      </c>
      <c r="H62" s="20">
        <v>68</v>
      </c>
      <c r="I62" s="20">
        <v>67</v>
      </c>
      <c r="J62" s="20">
        <v>54</v>
      </c>
      <c r="K62" s="20">
        <v>67</v>
      </c>
      <c r="L62" s="20">
        <v>60</v>
      </c>
      <c r="M62" s="20">
        <v>64</v>
      </c>
      <c r="N62" s="20">
        <v>65</v>
      </c>
      <c r="O62" s="20">
        <v>70</v>
      </c>
      <c r="P62" s="20">
        <v>80</v>
      </c>
      <c r="Q62" s="20">
        <v>99</v>
      </c>
      <c r="R62" s="20">
        <v>92</v>
      </c>
      <c r="S62" s="20"/>
      <c r="T62" s="213">
        <v>859</v>
      </c>
      <c r="U62" s="20"/>
      <c r="V62" s="20"/>
    </row>
    <row r="63" spans="1:22" ht="15.75" customHeight="1">
      <c r="A63" s="20"/>
      <c r="B63" s="27"/>
      <c r="C63" s="28" t="s">
        <v>403</v>
      </c>
      <c r="D63" s="28"/>
      <c r="E63" s="33"/>
      <c r="F63" s="20"/>
      <c r="G63" s="26">
        <v>0.18</v>
      </c>
      <c r="H63" s="26">
        <v>0.18</v>
      </c>
      <c r="I63" s="26">
        <v>0.22</v>
      </c>
      <c r="J63" s="26">
        <v>0.26</v>
      </c>
      <c r="K63" s="26">
        <v>0.34</v>
      </c>
      <c r="L63" s="26">
        <v>0.34</v>
      </c>
      <c r="M63" s="26">
        <v>0.34</v>
      </c>
      <c r="N63" s="26">
        <v>0.34</v>
      </c>
      <c r="O63" s="26">
        <v>0.34</v>
      </c>
      <c r="P63" s="26">
        <v>0.34</v>
      </c>
      <c r="Q63" s="26">
        <v>0.22</v>
      </c>
      <c r="R63" s="26">
        <v>0.28000000000000003</v>
      </c>
      <c r="S63" s="20"/>
      <c r="T63" s="26">
        <v>0.28000000000000003</v>
      </c>
      <c r="U63" s="20"/>
      <c r="V63" s="20"/>
    </row>
    <row r="64" spans="1:22" ht="15.75">
      <c r="A64" s="20"/>
      <c r="B64" s="37"/>
      <c r="C64" s="38"/>
      <c r="D64" s="38"/>
      <c r="E64" s="3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1:22" ht="15.75">
      <c r="A65" s="20"/>
      <c r="B65" s="23" t="s">
        <v>414</v>
      </c>
      <c r="C65" s="24"/>
      <c r="D65" s="40">
        <v>1145</v>
      </c>
      <c r="E65" s="40">
        <v>1196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ht="15.75">
      <c r="A66" s="20"/>
      <c r="B66" s="20" t="s">
        <v>415</v>
      </c>
      <c r="C66" s="20"/>
      <c r="D66" s="20"/>
      <c r="E66" s="20">
        <v>723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spans="1:22" ht="15.75">
      <c r="A67" s="20"/>
      <c r="B67" s="20"/>
      <c r="C67" s="20"/>
      <c r="D67" s="20"/>
      <c r="E67" s="26">
        <v>0.63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spans="1:22" ht="15.7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spans="1:22" ht="15.75">
      <c r="A69" s="20"/>
      <c r="B69" s="32" t="s">
        <v>416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spans="1:22" ht="15.75">
      <c r="A70" s="20"/>
      <c r="B70" s="31" t="s">
        <v>417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spans="1:22" ht="15.7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spans="1:22" ht="15.7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spans="1:22" ht="16.5" thickBot="1">
      <c r="A73" s="20"/>
      <c r="B73" s="20"/>
      <c r="C73" s="19"/>
      <c r="D73" s="19" t="s">
        <v>418</v>
      </c>
      <c r="E73" s="19"/>
      <c r="F73" s="19"/>
      <c r="G73" s="19"/>
      <c r="H73" s="19"/>
      <c r="I73" s="19"/>
      <c r="J73" s="19"/>
      <c r="K73" s="19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spans="1:22" ht="15.75">
      <c r="A74" s="20"/>
      <c r="B74" s="41"/>
      <c r="C74" s="19">
        <v>2024</v>
      </c>
      <c r="D74" s="19" t="s">
        <v>419</v>
      </c>
      <c r="E74" s="19" t="s">
        <v>420</v>
      </c>
      <c r="F74" s="19"/>
      <c r="G74" s="214" t="s">
        <v>421</v>
      </c>
      <c r="H74" s="19" t="s">
        <v>422</v>
      </c>
      <c r="I74" s="19" t="s">
        <v>423</v>
      </c>
      <c r="J74" s="214" t="s">
        <v>424</v>
      </c>
      <c r="K74" s="19" t="s">
        <v>425</v>
      </c>
      <c r="L74" s="214" t="s">
        <v>426</v>
      </c>
      <c r="M74" s="19" t="s">
        <v>425</v>
      </c>
      <c r="N74" s="20"/>
      <c r="O74" s="20"/>
      <c r="P74" s="20"/>
      <c r="Q74" s="20"/>
      <c r="R74" s="20"/>
      <c r="S74" s="20"/>
      <c r="T74" s="20"/>
      <c r="U74" s="20"/>
      <c r="V74" s="20"/>
    </row>
    <row r="75" spans="1:22" ht="15.75">
      <c r="A75" s="20"/>
      <c r="B75" s="41" t="s">
        <v>427</v>
      </c>
      <c r="C75" s="20">
        <v>306</v>
      </c>
      <c r="D75" s="20">
        <v>338</v>
      </c>
      <c r="E75" s="26">
        <v>0.11</v>
      </c>
      <c r="F75" s="20"/>
      <c r="G75" s="42">
        <v>372</v>
      </c>
      <c r="H75" s="26">
        <v>0.22</v>
      </c>
      <c r="I75" s="26">
        <v>0.1</v>
      </c>
      <c r="J75" s="42">
        <v>406</v>
      </c>
      <c r="K75" s="26">
        <v>0.09</v>
      </c>
      <c r="L75" s="42">
        <v>477</v>
      </c>
      <c r="M75" s="26">
        <v>0.28000000000000003</v>
      </c>
      <c r="N75" s="20"/>
      <c r="O75" s="20"/>
      <c r="P75" s="20"/>
      <c r="Q75" s="20"/>
      <c r="R75" s="20"/>
      <c r="S75" s="20"/>
      <c r="T75" s="20"/>
      <c r="U75" s="20"/>
      <c r="V75" s="20"/>
    </row>
    <row r="76" spans="1:22" ht="15.75">
      <c r="A76" s="20"/>
      <c r="B76" s="41" t="s">
        <v>428</v>
      </c>
      <c r="C76" s="20">
        <v>20</v>
      </c>
      <c r="D76" s="20">
        <v>58</v>
      </c>
      <c r="E76" s="26">
        <v>1.89</v>
      </c>
      <c r="F76" s="20"/>
      <c r="G76" s="42">
        <v>100</v>
      </c>
      <c r="H76" s="26">
        <v>4.0199999999999996</v>
      </c>
      <c r="I76" s="26">
        <v>0.74</v>
      </c>
      <c r="J76" s="42">
        <v>110</v>
      </c>
      <c r="K76" s="26">
        <v>0.1</v>
      </c>
      <c r="L76" s="42">
        <v>194</v>
      </c>
      <c r="M76" s="26">
        <v>0.94</v>
      </c>
      <c r="N76" s="20"/>
      <c r="O76" s="20"/>
      <c r="P76" s="20"/>
      <c r="Q76" s="20"/>
      <c r="R76" s="20"/>
      <c r="S76" s="20"/>
      <c r="T76" s="20"/>
      <c r="U76" s="20"/>
      <c r="V76" s="20"/>
    </row>
    <row r="77" spans="1:22" ht="15.75">
      <c r="A77" s="20"/>
      <c r="B77" s="41" t="s">
        <v>411</v>
      </c>
      <c r="C77" s="20">
        <v>397</v>
      </c>
      <c r="D77" s="20">
        <v>800</v>
      </c>
      <c r="E77" s="26">
        <v>1.02</v>
      </c>
      <c r="F77" s="20"/>
      <c r="G77" s="42">
        <v>673</v>
      </c>
      <c r="H77" s="26">
        <v>0.7</v>
      </c>
      <c r="I77" s="26">
        <v>-0.16</v>
      </c>
      <c r="J77" s="42">
        <v>748</v>
      </c>
      <c r="K77" s="26">
        <v>0.11</v>
      </c>
      <c r="L77" s="42">
        <v>859</v>
      </c>
      <c r="M77" s="26">
        <v>0.28000000000000003</v>
      </c>
      <c r="N77" s="20"/>
      <c r="O77" s="20"/>
      <c r="P77" s="20"/>
      <c r="Q77" s="20"/>
      <c r="R77" s="20"/>
      <c r="S77" s="20"/>
      <c r="T77" s="20"/>
      <c r="U77" s="20"/>
      <c r="V77" s="20"/>
    </row>
    <row r="78" spans="1:22" ht="16.5" thickBot="1">
      <c r="A78" s="20"/>
      <c r="B78" s="41"/>
      <c r="C78" s="20"/>
      <c r="D78" s="20"/>
      <c r="E78" s="20"/>
      <c r="F78" s="20"/>
      <c r="G78" s="42"/>
      <c r="H78" s="20"/>
      <c r="I78" s="20"/>
      <c r="J78" s="42"/>
      <c r="K78" s="20"/>
      <c r="L78" s="42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spans="1:22" ht="16.5" thickBot="1">
      <c r="A79" s="20"/>
      <c r="B79" s="215" t="s">
        <v>429</v>
      </c>
      <c r="C79" s="216">
        <v>723</v>
      </c>
      <c r="D79" s="217">
        <v>1196</v>
      </c>
      <c r="E79" s="216"/>
      <c r="F79" s="216"/>
      <c r="G79" s="218">
        <v>1145</v>
      </c>
      <c r="H79" s="219">
        <v>0.57999999999999996</v>
      </c>
      <c r="I79" s="219">
        <v>-0.04</v>
      </c>
      <c r="J79" s="218">
        <v>1264</v>
      </c>
      <c r="K79" s="219">
        <v>0.1</v>
      </c>
      <c r="L79" s="218">
        <v>1530</v>
      </c>
      <c r="M79" s="220">
        <v>0.34</v>
      </c>
      <c r="N79" s="20"/>
      <c r="O79" s="20"/>
      <c r="P79" s="20"/>
      <c r="Q79" s="20"/>
      <c r="R79" s="20"/>
      <c r="S79" s="20"/>
      <c r="T79" s="20"/>
      <c r="U79" s="20"/>
      <c r="V79" s="20"/>
    </row>
    <row r="80" spans="1:22" ht="16.5" thickBot="1">
      <c r="A80" s="20"/>
      <c r="B80" s="215" t="s">
        <v>430</v>
      </c>
      <c r="C80" s="216">
        <v>12</v>
      </c>
      <c r="D80" s="216"/>
      <c r="E80" s="216"/>
      <c r="F80" s="216"/>
      <c r="G80" s="221">
        <v>220</v>
      </c>
      <c r="H80" s="216"/>
      <c r="I80" s="216"/>
      <c r="J80" s="221">
        <v>220</v>
      </c>
      <c r="K80" s="216"/>
      <c r="L80" s="221">
        <v>326</v>
      </c>
      <c r="M80" s="222"/>
      <c r="N80" s="20"/>
      <c r="O80" s="20"/>
      <c r="P80" s="20"/>
      <c r="Q80" s="20"/>
      <c r="R80" s="20"/>
      <c r="S80" s="20"/>
      <c r="T80" s="20"/>
      <c r="U80" s="20"/>
      <c r="V80" s="20"/>
    </row>
    <row r="81" spans="1:22" ht="15.75">
      <c r="A81" s="20"/>
      <c r="B81" s="41"/>
      <c r="C81" s="20"/>
      <c r="D81" s="20"/>
      <c r="E81" s="20"/>
      <c r="F81" s="20"/>
      <c r="G81" s="42"/>
      <c r="H81" s="20"/>
      <c r="I81" s="20"/>
      <c r="J81" s="42"/>
      <c r="K81" s="20"/>
      <c r="L81" s="42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 ht="15.75">
      <c r="A82" s="20"/>
      <c r="B82" s="223" t="s">
        <v>431</v>
      </c>
      <c r="C82" s="224"/>
      <c r="D82" s="224"/>
      <c r="E82" s="224"/>
      <c r="F82" s="224"/>
      <c r="G82" s="225">
        <v>422</v>
      </c>
      <c r="H82" s="224"/>
      <c r="I82" s="224"/>
      <c r="J82" s="225">
        <v>119</v>
      </c>
      <c r="K82" s="224"/>
      <c r="L82" s="225">
        <v>266</v>
      </c>
      <c r="M82" s="224"/>
      <c r="N82" s="20"/>
      <c r="O82" s="20"/>
      <c r="P82" s="20"/>
      <c r="Q82" s="20"/>
      <c r="R82" s="20"/>
      <c r="S82" s="20"/>
      <c r="T82" s="20"/>
      <c r="U82" s="20"/>
      <c r="V82" s="20"/>
    </row>
    <row r="83" spans="1:22" ht="16.5" thickBot="1">
      <c r="A83" s="20"/>
      <c r="B83" s="223" t="s">
        <v>432</v>
      </c>
      <c r="C83" s="224"/>
      <c r="D83" s="224"/>
      <c r="E83" s="224"/>
      <c r="F83" s="224"/>
      <c r="G83" s="226">
        <v>208</v>
      </c>
      <c r="H83" s="224"/>
      <c r="I83" s="224"/>
      <c r="J83" s="226" t="s">
        <v>394</v>
      </c>
      <c r="K83" s="224"/>
      <c r="L83" s="226">
        <v>106</v>
      </c>
      <c r="M83" s="224"/>
      <c r="N83" s="20"/>
      <c r="O83" s="20"/>
      <c r="P83" s="20"/>
      <c r="Q83" s="20"/>
      <c r="R83" s="20"/>
      <c r="S83" s="20"/>
      <c r="T83" s="20"/>
      <c r="U83" s="20"/>
      <c r="V83" s="20"/>
    </row>
  </sheetData>
  <pageMargins left="0.7" right="0.7" top="0.75" bottom="0.75" header="0.3" footer="0.3"/>
  <pageSetup paperSize="9"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CF0F-D392-4520-88EE-8FD705CAB6B3}">
  <sheetPr>
    <tabColor theme="1"/>
  </sheetPr>
  <dimension ref="A1"/>
  <sheetViews>
    <sheetView showGridLines="0" workbookViewId="0"/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4AC0-0F5A-4313-92D8-0D65FFDA47C0}">
  <sheetPr>
    <tabColor rgb="FF92D050"/>
  </sheetPr>
  <dimension ref="B1:Y43"/>
  <sheetViews>
    <sheetView showGridLines="0" topLeftCell="A19" workbookViewId="0">
      <selection activeCell="H43" sqref="H43"/>
    </sheetView>
  </sheetViews>
  <sheetFormatPr defaultColWidth="8.85546875" defaultRowHeight="15"/>
  <cols>
    <col min="2" max="2" width="23.140625" bestFit="1" customWidth="1"/>
  </cols>
  <sheetData>
    <row r="1" spans="2:25">
      <c r="C1" t="s">
        <v>433</v>
      </c>
      <c r="D1" t="s">
        <v>433</v>
      </c>
      <c r="E1" t="s">
        <v>433</v>
      </c>
      <c r="H1" t="s">
        <v>433</v>
      </c>
      <c r="I1" t="s">
        <v>433</v>
      </c>
      <c r="J1" t="s">
        <v>433</v>
      </c>
    </row>
    <row r="2" spans="2:25">
      <c r="C2">
        <v>2026</v>
      </c>
      <c r="D2">
        <v>2027</v>
      </c>
      <c r="E2">
        <v>2028</v>
      </c>
      <c r="H2">
        <v>2026</v>
      </c>
      <c r="I2">
        <v>2027</v>
      </c>
      <c r="J2">
        <v>2028</v>
      </c>
      <c r="N2" s="183">
        <v>46023</v>
      </c>
      <c r="O2" s="183">
        <v>46054</v>
      </c>
      <c r="P2" s="183">
        <v>46082</v>
      </c>
      <c r="Q2" s="183">
        <v>46113</v>
      </c>
      <c r="R2" s="183">
        <v>46143</v>
      </c>
      <c r="S2" s="183">
        <v>46174</v>
      </c>
      <c r="T2" s="183">
        <v>46204</v>
      </c>
      <c r="U2" s="183">
        <v>46235</v>
      </c>
      <c r="V2" s="183">
        <v>46266</v>
      </c>
      <c r="W2" s="183">
        <v>46296</v>
      </c>
      <c r="X2" s="183">
        <v>46327</v>
      </c>
      <c r="Y2" s="183">
        <v>46357</v>
      </c>
    </row>
    <row r="3" spans="2:25">
      <c r="B3" s="45" t="s">
        <v>228</v>
      </c>
      <c r="C3" s="10">
        <v>0.85</v>
      </c>
      <c r="D3" s="10">
        <f>C3+0.25%</f>
        <v>0.85249999999999992</v>
      </c>
      <c r="E3" s="10">
        <f>D3+0.25%</f>
        <v>0.85499999999999987</v>
      </c>
      <c r="H3" s="46">
        <f>-'Sales Budget Summary'!F4*(1-COGS!C3)</f>
        <v>-704.84250000000009</v>
      </c>
      <c r="I3" s="46">
        <f>-'Sales Budget Summary'!G4*(1-COGS!D3)</f>
        <v>-727.74988125000039</v>
      </c>
      <c r="J3" s="46">
        <f>-'Sales Budget Summary'!H4*(1-COGS!E3)</f>
        <v>-744.03174300000069</v>
      </c>
      <c r="N3" s="46">
        <f>-'Sales Budget Summary'!L4*(1-$C3)</f>
        <v>-46.440975000000002</v>
      </c>
      <c r="O3" s="46">
        <f>-'Sales Budget Summary'!M4*(1-$C3)</f>
        <v>-55.145400000000009</v>
      </c>
      <c r="P3" s="46">
        <f>-'Sales Budget Summary'!N4*(1-$C3)</f>
        <v>-68.41425000000001</v>
      </c>
      <c r="Q3" s="46">
        <f>-'Sales Budget Summary'!O4*(1-$C3)</f>
        <v>-58.462612500000006</v>
      </c>
      <c r="R3" s="46">
        <f>-'Sales Budget Summary'!P4*(1-$C3)</f>
        <v>-61.77982500000001</v>
      </c>
      <c r="S3" s="46">
        <f>-'Sales Budget Summary'!Q4*(1-$C3)</f>
        <v>-57.215400000000002</v>
      </c>
      <c r="T3" s="46">
        <f>-'Sales Budget Summary'!R4*(1-$C3)</f>
        <v>-57.215400000000002</v>
      </c>
      <c r="U3" s="46">
        <f>-'Sales Budget Summary'!S4*(1-$C3)</f>
        <v>-47.263762500000006</v>
      </c>
      <c r="V3" s="46">
        <f>-'Sales Budget Summary'!T4*(1-$C3)</f>
        <v>-67.167037500000006</v>
      </c>
      <c r="W3" s="46">
        <f>-'Sales Budget Summary'!U4*(1-$C3)</f>
        <v>-72.55425000000001</v>
      </c>
      <c r="X3" s="46">
        <f>-'Sales Budget Summary'!V4*(1-$C3)</f>
        <v>-62.602612500000014</v>
      </c>
      <c r="Y3" s="46">
        <f>-'Sales Budget Summary'!W4*(1-$C3)</f>
        <v>-50.580975000000009</v>
      </c>
    </row>
    <row r="4" spans="2:25">
      <c r="B4" s="45" t="s">
        <v>229</v>
      </c>
      <c r="C4" s="10">
        <v>0.85</v>
      </c>
      <c r="D4" s="10">
        <f t="shared" ref="D4:E7" si="0">C4+0.25%</f>
        <v>0.85249999999999992</v>
      </c>
      <c r="E4" s="10">
        <f t="shared" si="0"/>
        <v>0.85499999999999987</v>
      </c>
      <c r="H4" s="46">
        <f>-'Sales Budget Summary'!F5*(1-COGS!C4)</f>
        <v>-286.93500000000006</v>
      </c>
      <c r="I4" s="46">
        <f>-'Sales Budget Summary'!G5*(1-COGS!D4)</f>
        <v>-296.26038750000015</v>
      </c>
      <c r="J4" s="46">
        <f>-'Sales Budget Summary'!H5*(1-COGS!E4)</f>
        <v>-302.88858600000032</v>
      </c>
      <c r="N4" s="46">
        <f>-'Sales Budget Summary'!L5*(1-$C4)</f>
        <v>-18.636450000000004</v>
      </c>
      <c r="O4" s="46">
        <f>-'Sales Budget Summary'!M5*(1-$C4)</f>
        <v>-22.333800000000004</v>
      </c>
      <c r="P4" s="46">
        <f>-'Sales Budget Summary'!N5*(1-$C4)</f>
        <v>-27.658500000000004</v>
      </c>
      <c r="Q4" s="46">
        <f>-'Sales Budget Summary'!O5*(1-$C4)</f>
        <v>-23.664975000000005</v>
      </c>
      <c r="R4" s="46">
        <f>-'Sales Budget Summary'!P5*(1-$C4)</f>
        <v>-24.996150000000004</v>
      </c>
      <c r="S4" s="46">
        <f>-'Sales Budget Summary'!Q5*(1-$C4)</f>
        <v>-23.368800000000004</v>
      </c>
      <c r="T4" s="46">
        <f>-'Sales Budget Summary'!R5*(1-$C4)</f>
        <v>-23.368800000000004</v>
      </c>
      <c r="U4" s="46">
        <f>-'Sales Budget Summary'!S5*(1-$C4)</f>
        <v>-19.375275000000002</v>
      </c>
      <c r="V4" s="46">
        <f>-'Sales Budget Summary'!T5*(1-$C4)</f>
        <v>-27.362325000000006</v>
      </c>
      <c r="W4" s="46">
        <f>-'Sales Budget Summary'!U5*(1-$C4)</f>
        <v>-29.728500000000004</v>
      </c>
      <c r="X4" s="46">
        <f>-'Sales Budget Summary'!V5*(1-$C4)</f>
        <v>-25.734975000000002</v>
      </c>
      <c r="Y4" s="46">
        <f>-'Sales Budget Summary'!W5*(1-$C4)</f>
        <v>-20.706450000000004</v>
      </c>
    </row>
    <row r="5" spans="2:25">
      <c r="B5" s="45" t="s">
        <v>230</v>
      </c>
      <c r="C5" s="10">
        <v>0.85</v>
      </c>
      <c r="D5" s="10">
        <f t="shared" si="0"/>
        <v>0.85249999999999992</v>
      </c>
      <c r="E5" s="10">
        <f t="shared" si="0"/>
        <v>0.85499999999999987</v>
      </c>
      <c r="H5" s="46">
        <f>-'Sales Budget Summary'!F6*(1-COGS!C5)</f>
        <v>-115.76250000000002</v>
      </c>
      <c r="I5" s="46">
        <f>-'Sales Budget Summary'!G6*(1-COGS!D5)</f>
        <v>-122.93977500000007</v>
      </c>
      <c r="J5" s="46">
        <f>-'Sales Budget Summary'!H6*(1-COGS!E5)</f>
        <v>-129.31597350000013</v>
      </c>
      <c r="N5" s="46">
        <f>-'Sales Budget Summary'!L6*(1-$C5)</f>
        <v>-7.2633750000000017</v>
      </c>
      <c r="O5" s="46">
        <f>-'Sales Budget Summary'!M6*(1-$C5)</f>
        <v>-8.9010000000000016</v>
      </c>
      <c r="P5" s="46">
        <f>-'Sales Budget Summary'!N6*(1-$C5)</f>
        <v>-10.976250000000002</v>
      </c>
      <c r="Q5" s="46">
        <f>-'Sales Budget Summary'!O6*(1-$C5)</f>
        <v>-9.4198125000000026</v>
      </c>
      <c r="R5" s="46">
        <f>-'Sales Budget Summary'!P6*(1-$C5)</f>
        <v>-9.938625</v>
      </c>
      <c r="S5" s="46">
        <f>-'Sales Budget Summary'!Q6*(1-$C5)</f>
        <v>-9.5010000000000012</v>
      </c>
      <c r="T5" s="46">
        <f>-'Sales Budget Summary'!R6*(1-$C5)</f>
        <v>-9.5010000000000012</v>
      </c>
      <c r="U5" s="46">
        <f>-'Sales Budget Summary'!S6*(1-$C5)</f>
        <v>-7.9445625000000009</v>
      </c>
      <c r="V5" s="46">
        <f>-'Sales Budget Summary'!T6*(1-$C5)</f>
        <v>-11.057437500000002</v>
      </c>
      <c r="W5" s="46">
        <f>-'Sales Budget Summary'!U6*(1-$C5)</f>
        <v>-12.176250000000001</v>
      </c>
      <c r="X5" s="46">
        <f>-'Sales Budget Summary'!V6*(1-$C5)</f>
        <v>-10.619812500000002</v>
      </c>
      <c r="Y5" s="46">
        <f>-'Sales Budget Summary'!W6*(1-$C5)</f>
        <v>-8.4633750000000028</v>
      </c>
    </row>
    <row r="6" spans="2:25">
      <c r="B6" s="45" t="s">
        <v>231</v>
      </c>
      <c r="C6" s="10">
        <v>0.85</v>
      </c>
      <c r="D6" s="10">
        <f t="shared" si="0"/>
        <v>0.85249999999999992</v>
      </c>
      <c r="E6" s="10">
        <f t="shared" si="0"/>
        <v>0.85499999999999987</v>
      </c>
      <c r="H6" s="46">
        <f>-'Sales Budget Summary'!F7*(1-COGS!C6)</f>
        <v>-34.125000000000007</v>
      </c>
      <c r="I6" s="46">
        <f>-'Sales Budget Summary'!G7*(1-COGS!D6)</f>
        <v>-46.978750000000026</v>
      </c>
      <c r="J6" s="46">
        <f>-'Sales Budget Summary'!H7*(1-COGS!E6)</f>
        <v>-60.037250000000057</v>
      </c>
      <c r="N6" s="46">
        <f>-'Sales Budget Summary'!L7*(1-$C6)</f>
        <v>-1.8637500000000007</v>
      </c>
      <c r="O6" s="46">
        <f>-'Sales Budget Summary'!M7*(1-$C6)</f>
        <v>-2.5050000000000003</v>
      </c>
      <c r="P6" s="46">
        <f>-'Sales Budget Summary'!N7*(1-$C6)</f>
        <v>-3.0375000000000005</v>
      </c>
      <c r="Q6" s="46">
        <f>-'Sales Budget Summary'!O7*(1-$C6)</f>
        <v>-2.6381250000000001</v>
      </c>
      <c r="R6" s="46">
        <f>-'Sales Budget Summary'!P7*(1-$C6)</f>
        <v>-2.7712500000000007</v>
      </c>
      <c r="S6" s="46">
        <f>-'Sales Budget Summary'!Q7*(1-$C6)</f>
        <v>-2.8800000000000003</v>
      </c>
      <c r="T6" s="46">
        <f>-'Sales Budget Summary'!R7*(1-$C6)</f>
        <v>-2.8800000000000003</v>
      </c>
      <c r="U6" s="46">
        <f>-'Sales Budget Summary'!S7*(1-$C6)</f>
        <v>-2.4806250000000007</v>
      </c>
      <c r="V6" s="46">
        <f>-'Sales Budget Summary'!T7*(1-$C6)</f>
        <v>-3.2793750000000004</v>
      </c>
      <c r="W6" s="46">
        <f>-'Sales Budget Summary'!U7*(1-$C6)</f>
        <v>-3.7875000000000005</v>
      </c>
      <c r="X6" s="46">
        <f>-'Sales Budget Summary'!V7*(1-$C6)</f>
        <v>-3.3881250000000005</v>
      </c>
      <c r="Y6" s="46">
        <f>-'Sales Budget Summary'!W7*(1-$C6)</f>
        <v>-2.6137500000000005</v>
      </c>
    </row>
    <row r="7" spans="2:25">
      <c r="B7" s="45" t="s">
        <v>232</v>
      </c>
      <c r="C7" s="10">
        <v>0.85</v>
      </c>
      <c r="D7" s="10">
        <f t="shared" si="0"/>
        <v>0.85249999999999992</v>
      </c>
      <c r="E7" s="10">
        <f t="shared" si="0"/>
        <v>0.85499999999999987</v>
      </c>
      <c r="H7" s="46">
        <f>-'Sales Budget Summary'!F8*(1-COGS!C7)</f>
        <v>-23.846250000000001</v>
      </c>
      <c r="I7" s="46">
        <f>-'Sales Budget Summary'!G8*(1-COGS!D7)</f>
        <v>-42.207862500000019</v>
      </c>
      <c r="J7" s="46">
        <f>-'Sales Budget Summary'!H8*(1-COGS!E7)</f>
        <v>-66.387960000000049</v>
      </c>
      <c r="N7" s="46">
        <f>-'Sales Budget Summary'!L8*(1-$C7)</f>
        <v>-0.61923750000000033</v>
      </c>
      <c r="O7" s="46">
        <f>-'Sales Budget Summary'!M8*(1-$C7)</f>
        <v>-1.4577000000000002</v>
      </c>
      <c r="P7" s="46">
        <f>-'Sales Budget Summary'!N8*(1-$C7)</f>
        <v>-1.6346250000000004</v>
      </c>
      <c r="Q7" s="46">
        <f>-'Sales Budget Summary'!O8*(1-$C7)</f>
        <v>-1.5019312500000002</v>
      </c>
      <c r="R7" s="46">
        <f>-'Sales Budget Summary'!P8*(1-$C7)</f>
        <v>-1.5461625000000003</v>
      </c>
      <c r="S7" s="46">
        <f>-'Sales Budget Summary'!Q8*(1-$C7)</f>
        <v>-2.2077000000000004</v>
      </c>
      <c r="T7" s="46">
        <f>-'Sales Budget Summary'!R8*(1-$C7)</f>
        <v>-2.2077000000000004</v>
      </c>
      <c r="U7" s="46">
        <f>-'Sales Budget Summary'!S8*(1-$C7)</f>
        <v>-2.0750062500000004</v>
      </c>
      <c r="V7" s="46">
        <f>-'Sales Budget Summary'!T8*(1-$C7)</f>
        <v>-2.3403937500000005</v>
      </c>
      <c r="W7" s="46">
        <f>-'Sales Budget Summary'!U8*(1-$C7)</f>
        <v>-3.1346250000000007</v>
      </c>
      <c r="X7" s="46">
        <f>-'Sales Budget Summary'!V8*(1-$C7)</f>
        <v>-3.0019312500000006</v>
      </c>
      <c r="Y7" s="46">
        <f>-'Sales Budget Summary'!W8*(1-$C7)</f>
        <v>-2.1192375000000001</v>
      </c>
    </row>
    <row r="8" spans="2:25">
      <c r="B8" s="45" t="s">
        <v>233</v>
      </c>
      <c r="C8" s="10">
        <v>0.85</v>
      </c>
      <c r="D8" s="10">
        <f t="shared" ref="D8" si="1">C8+0.25%</f>
        <v>0.85249999999999992</v>
      </c>
      <c r="E8" s="10">
        <f t="shared" ref="E8" si="2">D8+0.25%</f>
        <v>0.85499999999999987</v>
      </c>
      <c r="H8" s="46">
        <f>-'Sales Budget Summary'!F9*(1-COGS!C8)</f>
        <v>-10.125000000000002</v>
      </c>
      <c r="I8" s="46">
        <f>-'Sales Budget Summary'!G9*(1-COGS!D8)</f>
        <v>-19.912500000000009</v>
      </c>
      <c r="J8" s="46">
        <f>-'Sales Budget Summary'!H9*(1-COGS!E8)</f>
        <v>-35.235000000000028</v>
      </c>
      <c r="N8" s="46">
        <f>-'Sales Budget Summary'!L9*(1-$C8)</f>
        <v>-0.18375000000000008</v>
      </c>
      <c r="O8" s="46">
        <f>-'Sales Budget Summary'!M9*(1-$C8)</f>
        <v>-0.58500000000000008</v>
      </c>
      <c r="P8" s="46">
        <f>-'Sales Budget Summary'!N9*(1-$C8)</f>
        <v>-0.63750000000000007</v>
      </c>
      <c r="Q8" s="46">
        <f>-'Sales Budget Summary'!O9*(1-$C8)</f>
        <v>-0.59812500000000002</v>
      </c>
      <c r="R8" s="46">
        <f>-'Sales Budget Summary'!P9*(1-$C8)</f>
        <v>-0.61125000000000007</v>
      </c>
      <c r="S8" s="46">
        <f>-'Sales Budget Summary'!Q9*(1-$C8)</f>
        <v>-0.96000000000000019</v>
      </c>
      <c r="T8" s="46">
        <f>-'Sales Budget Summary'!R9*(1-$C8)</f>
        <v>-0.96000000000000019</v>
      </c>
      <c r="U8" s="46">
        <f>-'Sales Budget Summary'!S9*(1-$C8)</f>
        <v>-0.92062500000000014</v>
      </c>
      <c r="V8" s="46">
        <f>-'Sales Budget Summary'!T9*(1-$C8)</f>
        <v>-0.99937500000000012</v>
      </c>
      <c r="W8" s="46">
        <f>-'Sales Budget Summary'!U9*(1-$C8)</f>
        <v>-1.3875000000000002</v>
      </c>
      <c r="X8" s="46">
        <f>-'Sales Budget Summary'!V9*(1-$C8)</f>
        <v>-1.3481250000000002</v>
      </c>
      <c r="Y8" s="46">
        <f>-'Sales Budget Summary'!W9*(1-$C8)</f>
        <v>-0.93375000000000008</v>
      </c>
    </row>
    <row r="9" spans="2:25">
      <c r="B9" s="47" t="s">
        <v>31</v>
      </c>
      <c r="C9" s="10"/>
      <c r="H9" s="48">
        <f>SUM(H3:H8)</f>
        <v>-1175.6362500000002</v>
      </c>
      <c r="I9" s="48">
        <f t="shared" ref="I9:J9" si="3">SUM(I3:I8)</f>
        <v>-1256.0491562500004</v>
      </c>
      <c r="J9" s="48">
        <f t="shared" si="3"/>
        <v>-1337.8965125000013</v>
      </c>
      <c r="N9" s="48">
        <f t="shared" ref="N9:Y9" si="4">SUM(N3:N8)</f>
        <v>-75.007537499999998</v>
      </c>
      <c r="O9" s="48">
        <f t="shared" si="4"/>
        <v>-90.927900000000008</v>
      </c>
      <c r="P9" s="48">
        <f t="shared" si="4"/>
        <v>-112.35862500000002</v>
      </c>
      <c r="Q9" s="48">
        <f t="shared" si="4"/>
        <v>-96.285581250000007</v>
      </c>
      <c r="R9" s="48">
        <f t="shared" si="4"/>
        <v>-101.64326250000001</v>
      </c>
      <c r="S9" s="48">
        <f t="shared" si="4"/>
        <v>-96.132900000000006</v>
      </c>
      <c r="T9" s="48">
        <f t="shared" si="4"/>
        <v>-96.132900000000006</v>
      </c>
      <c r="U9" s="48">
        <f t="shared" si="4"/>
        <v>-80.05985625000001</v>
      </c>
      <c r="V9" s="48">
        <f t="shared" si="4"/>
        <v>-112.20594375000003</v>
      </c>
      <c r="W9" s="48">
        <f t="shared" si="4"/>
        <v>-122.76862500000001</v>
      </c>
      <c r="X9" s="48">
        <f t="shared" si="4"/>
        <v>-106.69558125</v>
      </c>
      <c r="Y9" s="48">
        <f t="shared" si="4"/>
        <v>-85.417537500000009</v>
      </c>
    </row>
    <row r="10" spans="2:25">
      <c r="B10" s="49"/>
      <c r="C10" s="10"/>
      <c r="H10" s="50"/>
      <c r="I10" s="50"/>
      <c r="J10" s="50"/>
    </row>
    <row r="11" spans="2:25">
      <c r="B11" s="44" t="s">
        <v>234</v>
      </c>
      <c r="C11" s="10">
        <v>0.8</v>
      </c>
      <c r="D11" s="10">
        <f t="shared" ref="D11:E12" si="5">C11+0.25%</f>
        <v>0.80249999999999999</v>
      </c>
      <c r="E11" s="10">
        <f t="shared" si="5"/>
        <v>0.80499999999999994</v>
      </c>
      <c r="H11" s="46">
        <f>-'Sales Budget Summary'!F12*(1-COGS!C11)</f>
        <v>-64.339999999999989</v>
      </c>
      <c r="I11" s="46">
        <f>-'Sales Budget Summary'!G12*(1-COGS!D11)</f>
        <v>-95.303624999999997</v>
      </c>
      <c r="J11" s="46">
        <f>-'Sales Budget Summary'!H12*(1-COGS!E11)</f>
        <v>-131.73615000000004</v>
      </c>
      <c r="N11" s="46">
        <f>-'Sales Budget Summary'!L12*(1-$C11)</f>
        <v>-3.8671999999999986</v>
      </c>
      <c r="O11" s="46">
        <f>-'Sales Budget Summary'!M12*(1-$C11)</f>
        <v>-4.6671999999999985</v>
      </c>
      <c r="P11" s="46">
        <f>-'Sales Budget Summary'!N12*(1-$C11)</f>
        <v>-5.150599999999999</v>
      </c>
      <c r="Q11" s="46">
        <f>-'Sales Budget Summary'!O12*(1-$C11)</f>
        <v>-5.150599999999999</v>
      </c>
      <c r="R11" s="46">
        <f>-'Sales Budget Summary'!P12*(1-$C11)</f>
        <v>-5.150599999999999</v>
      </c>
      <c r="S11" s="46">
        <f>-'Sales Budget Summary'!Q12*(1-$C11)</f>
        <v>-5.2254999999999994</v>
      </c>
      <c r="T11" s="46">
        <f>-'Sales Budget Summary'!R12*(1-$C11)</f>
        <v>-4.9837999999999987</v>
      </c>
      <c r="U11" s="46">
        <f>-'Sales Budget Summary'!S12*(1-$C11)</f>
        <v>-4.5003999999999991</v>
      </c>
      <c r="V11" s="46">
        <f>-'Sales Budget Summary'!T12*(1-$C11)</f>
        <v>-6.1922999999999986</v>
      </c>
      <c r="W11" s="46">
        <f>-'Sales Budget Summary'!U12*(1-$C11)</f>
        <v>-7.4756999999999989</v>
      </c>
      <c r="X11" s="46">
        <f>-'Sales Budget Summary'!V12*(1-$C11)</f>
        <v>-6.7505999999999986</v>
      </c>
      <c r="Y11" s="46">
        <f>-'Sales Budget Summary'!W12*(1-$C11)</f>
        <v>-5.2254999999999994</v>
      </c>
    </row>
    <row r="12" spans="2:25">
      <c r="B12" s="44" t="s">
        <v>235</v>
      </c>
      <c r="C12" s="10">
        <v>0.75</v>
      </c>
      <c r="D12" s="10">
        <f t="shared" si="5"/>
        <v>0.75249999999999995</v>
      </c>
      <c r="E12" s="10">
        <f t="shared" si="5"/>
        <v>0.75499999999999989</v>
      </c>
      <c r="H12" s="46">
        <f>-'Sales Budget Summary'!F13*(1-COGS!C12)</f>
        <v>-43.75</v>
      </c>
      <c r="I12" s="46">
        <f>-'Sales Budget Summary'!G13*(1-COGS!D12)</f>
        <v>-43.312500000000007</v>
      </c>
      <c r="J12" s="46">
        <f>-'Sales Budget Summary'!H13*(1-COGS!E12)</f>
        <v>-42.875000000000021</v>
      </c>
      <c r="N12" s="46">
        <f>-'Sales Budget Summary'!L13*(1-$C12)</f>
        <v>-3.5</v>
      </c>
      <c r="O12" s="46">
        <f>-'Sales Budget Summary'!M13*(1-$C12)</f>
        <v>-3.5</v>
      </c>
      <c r="P12" s="46">
        <f>-'Sales Budget Summary'!N13*(1-$C12)</f>
        <v>-3.9375</v>
      </c>
      <c r="Q12" s="46">
        <f>-'Sales Budget Summary'!O13*(1-$C12)</f>
        <v>-3.9375</v>
      </c>
      <c r="R12" s="46">
        <f>-'Sales Budget Summary'!P13*(1-$C12)</f>
        <v>-3.9375</v>
      </c>
      <c r="S12" s="46">
        <f>-'Sales Budget Summary'!Q13*(1-$C12)</f>
        <v>-3.28125</v>
      </c>
      <c r="T12" s="46">
        <f>-'Sales Budget Summary'!R13*(1-$C12)</f>
        <v>-3.0625000000000004</v>
      </c>
      <c r="U12" s="46">
        <f>-'Sales Budget Summary'!S13*(1-$C12)</f>
        <v>-2.625</v>
      </c>
      <c r="V12" s="46">
        <f>-'Sales Budget Summary'!T13*(1-$C12)</f>
        <v>-4.15625</v>
      </c>
      <c r="W12" s="46">
        <f>-'Sales Budget Summary'!U13*(1-$C12)</f>
        <v>-4.59375</v>
      </c>
      <c r="X12" s="46">
        <f>-'Sales Budget Summary'!V13*(1-$C12)</f>
        <v>-3.9375</v>
      </c>
      <c r="Y12" s="46">
        <f>-'Sales Budget Summary'!W13*(1-$C12)</f>
        <v>-3.28125</v>
      </c>
    </row>
    <row r="13" spans="2:25">
      <c r="B13" s="51" t="s">
        <v>236</v>
      </c>
      <c r="C13" s="10"/>
      <c r="H13" s="48">
        <f>SUM(H11:H12)</f>
        <v>-108.08999999999999</v>
      </c>
      <c r="I13" s="48">
        <f t="shared" ref="I13:J13" si="6">SUM(I11:I12)</f>
        <v>-138.61612500000001</v>
      </c>
      <c r="J13" s="48">
        <f t="shared" si="6"/>
        <v>-174.61115000000007</v>
      </c>
      <c r="N13" s="48">
        <f t="shared" ref="N13:Y13" si="7">SUM(N11:N12)</f>
        <v>-7.3671999999999986</v>
      </c>
      <c r="O13" s="48">
        <f t="shared" si="7"/>
        <v>-8.1671999999999976</v>
      </c>
      <c r="P13" s="48">
        <f t="shared" si="7"/>
        <v>-9.088099999999999</v>
      </c>
      <c r="Q13" s="48">
        <f t="shared" si="7"/>
        <v>-9.088099999999999</v>
      </c>
      <c r="R13" s="48">
        <f t="shared" si="7"/>
        <v>-9.088099999999999</v>
      </c>
      <c r="S13" s="48">
        <f t="shared" si="7"/>
        <v>-8.5067500000000003</v>
      </c>
      <c r="T13" s="48">
        <f t="shared" si="7"/>
        <v>-8.0462999999999987</v>
      </c>
      <c r="U13" s="48">
        <f t="shared" si="7"/>
        <v>-7.1253999999999991</v>
      </c>
      <c r="V13" s="48">
        <f t="shared" si="7"/>
        <v>-10.348549999999999</v>
      </c>
      <c r="W13" s="48">
        <f t="shared" si="7"/>
        <v>-12.06945</v>
      </c>
      <c r="X13" s="48">
        <f t="shared" si="7"/>
        <v>-10.688099999999999</v>
      </c>
      <c r="Y13" s="48">
        <f t="shared" si="7"/>
        <v>-8.5067500000000003</v>
      </c>
    </row>
    <row r="14" spans="2:25">
      <c r="B14" s="49"/>
      <c r="C14" s="10"/>
      <c r="H14" s="50"/>
      <c r="I14" s="50"/>
      <c r="J14" s="50"/>
    </row>
    <row r="15" spans="2:25">
      <c r="B15" s="45" t="s">
        <v>237</v>
      </c>
      <c r="C15" s="10">
        <v>0.85</v>
      </c>
      <c r="D15" s="10">
        <f t="shared" ref="D15:E16" si="8">C15+0.25%</f>
        <v>0.85249999999999992</v>
      </c>
      <c r="E15" s="10">
        <f t="shared" si="8"/>
        <v>0.85499999999999987</v>
      </c>
      <c r="H15" s="46">
        <f>-'Sales Budget Summary'!F16*(1-COGS!C15)</f>
        <v>-147.48630000000003</v>
      </c>
      <c r="I15" s="46">
        <f>-'Sales Budget Summary'!G16*(1-COGS!D15)</f>
        <v>-188.53665350000009</v>
      </c>
      <c r="J15" s="46">
        <f>-'Sales Budget Summary'!H16*(1-COGS!E15)</f>
        <v>-222.40934040000019</v>
      </c>
      <c r="N15" s="46">
        <f>-'Sales Budget Summary'!L16*(1-$C15)</f>
        <v>-9.3989040000000017</v>
      </c>
      <c r="O15" s="46">
        <f>-'Sales Budget Summary'!M16*(1-$C15)</f>
        <v>-10.898904000000003</v>
      </c>
      <c r="P15" s="46">
        <f>-'Sales Budget Summary'!N16*(1-$C15)</f>
        <v>-12.073767000000002</v>
      </c>
      <c r="Q15" s="46">
        <f>-'Sales Budget Summary'!O16*(1-$C15)</f>
        <v>-12.073767000000002</v>
      </c>
      <c r="R15" s="46">
        <f>-'Sales Budget Summary'!P16*(1-$C15)</f>
        <v>-12.073767000000002</v>
      </c>
      <c r="S15" s="46">
        <f>-'Sales Budget Summary'!Q16*(1-$C15)</f>
        <v>-12.398904000000003</v>
      </c>
      <c r="T15" s="46">
        <f>-'Sales Budget Summary'!R16*(1-$C15)</f>
        <v>-12.398904000000003</v>
      </c>
      <c r="U15" s="46">
        <f>-'Sales Budget Summary'!S16*(1-$C15)</f>
        <v>-10.049178000000003</v>
      </c>
      <c r="V15" s="46">
        <f>-'Sales Budget Summary'!T16*(1-$C15)</f>
        <v>-13.573767000000004</v>
      </c>
      <c r="W15" s="46">
        <f>-'Sales Budget Summary'!U16*(1-$C15)</f>
        <v>-16.248630000000002</v>
      </c>
      <c r="X15" s="46">
        <f>-'Sales Budget Summary'!V16*(1-$C15)</f>
        <v>-15.073767000000004</v>
      </c>
      <c r="Y15" s="46">
        <f>-'Sales Budget Summary'!W16*(1-$C15)</f>
        <v>-11.224041000000005</v>
      </c>
    </row>
    <row r="16" spans="2:25">
      <c r="B16" s="45" t="s">
        <v>64</v>
      </c>
      <c r="C16" s="10">
        <v>0.75</v>
      </c>
      <c r="D16" s="10">
        <f t="shared" si="8"/>
        <v>0.75249999999999995</v>
      </c>
      <c r="E16" s="10">
        <f t="shared" si="8"/>
        <v>0.75499999999999989</v>
      </c>
      <c r="H16" s="46">
        <f>-'Sales Budget Summary'!F17*(1-COGS!C16)</f>
        <v>-5</v>
      </c>
      <c r="I16" s="46">
        <f>-'Sales Budget Summary'!G17*(1-COGS!D16)</f>
        <v>-4.9500000000000011</v>
      </c>
      <c r="J16" s="46">
        <f>-'Sales Budget Summary'!H17*(1-COGS!E16)</f>
        <v>-4.9000000000000021</v>
      </c>
      <c r="N16" s="46">
        <f>-'Sales Budget Summary'!L17*(1-$C16)</f>
        <v>-0.4</v>
      </c>
      <c r="O16" s="46">
        <f>-'Sales Budget Summary'!M17*(1-$C16)</f>
        <v>-0.4</v>
      </c>
      <c r="P16" s="46">
        <f>-'Sales Budget Summary'!N17*(1-$C16)</f>
        <v>-0.45</v>
      </c>
      <c r="Q16" s="46">
        <f>-'Sales Budget Summary'!O17*(1-$C16)</f>
        <v>-0.45</v>
      </c>
      <c r="R16" s="46">
        <f>-'Sales Budget Summary'!P17*(1-$C16)</f>
        <v>-0.45</v>
      </c>
      <c r="S16" s="46">
        <f>-'Sales Budget Summary'!Q17*(1-$C16)</f>
        <v>-0.4</v>
      </c>
      <c r="T16" s="46">
        <f>-'Sales Budget Summary'!R17*(1-$C16)</f>
        <v>-0.4</v>
      </c>
      <c r="U16" s="46">
        <f>-'Sales Budget Summary'!S17*(1-$C16)</f>
        <v>-0.3</v>
      </c>
      <c r="V16" s="46">
        <f>-'Sales Budget Summary'!T17*(1-$C16)</f>
        <v>-0.45</v>
      </c>
      <c r="W16" s="46">
        <f>-'Sales Budget Summary'!U17*(1-$C16)</f>
        <v>-0.5</v>
      </c>
      <c r="X16" s="46">
        <f>-'Sales Budget Summary'!V17*(1-$C16)</f>
        <v>-0.45</v>
      </c>
      <c r="Y16" s="46">
        <f>-'Sales Budget Summary'!W17*(1-$C16)</f>
        <v>-0.35000000000000003</v>
      </c>
    </row>
    <row r="17" spans="2:25">
      <c r="B17" s="47" t="s">
        <v>238</v>
      </c>
      <c r="C17" s="10"/>
      <c r="H17" s="48">
        <f>SUM(H15:H16)</f>
        <v>-152.48630000000003</v>
      </c>
      <c r="I17" s="48">
        <f t="shared" ref="I17:J17" si="9">SUM(I15:I16)</f>
        <v>-193.48665350000007</v>
      </c>
      <c r="J17" s="48">
        <f t="shared" si="9"/>
        <v>-227.3093404000002</v>
      </c>
      <c r="N17" s="48">
        <f t="shared" ref="N17:Y17" si="10">SUM(N15:N16)</f>
        <v>-9.7989040000000021</v>
      </c>
      <c r="O17" s="48">
        <f t="shared" si="10"/>
        <v>-11.298904000000004</v>
      </c>
      <c r="P17" s="48">
        <f t="shared" si="10"/>
        <v>-12.523767000000001</v>
      </c>
      <c r="Q17" s="48">
        <f t="shared" si="10"/>
        <v>-12.523767000000001</v>
      </c>
      <c r="R17" s="48">
        <f t="shared" si="10"/>
        <v>-12.523767000000001</v>
      </c>
      <c r="S17" s="48">
        <f t="shared" si="10"/>
        <v>-12.798904000000004</v>
      </c>
      <c r="T17" s="48">
        <f t="shared" si="10"/>
        <v>-12.798904000000004</v>
      </c>
      <c r="U17" s="48">
        <f t="shared" si="10"/>
        <v>-10.349178000000004</v>
      </c>
      <c r="V17" s="48">
        <f t="shared" si="10"/>
        <v>-14.023767000000003</v>
      </c>
      <c r="W17" s="48">
        <f t="shared" si="10"/>
        <v>-16.748630000000002</v>
      </c>
      <c r="X17" s="48">
        <f t="shared" si="10"/>
        <v>-15.523767000000003</v>
      </c>
      <c r="Y17" s="48">
        <f t="shared" si="10"/>
        <v>-11.574041000000005</v>
      </c>
    </row>
    <row r="18" spans="2:25">
      <c r="B18" s="49"/>
      <c r="C18" s="10"/>
      <c r="H18" s="50"/>
      <c r="I18" s="50"/>
      <c r="J18" s="50"/>
    </row>
    <row r="19" spans="2:25">
      <c r="B19" s="45" t="s">
        <v>239</v>
      </c>
      <c r="C19" s="10">
        <v>0.65</v>
      </c>
      <c r="D19" s="10">
        <f t="shared" ref="D19:E25" si="11">C19+0.25%</f>
        <v>0.65249999999999997</v>
      </c>
      <c r="E19" s="10">
        <f t="shared" si="11"/>
        <v>0.65499999999999992</v>
      </c>
      <c r="H19" s="46">
        <f>-'Sales Budget Summary'!F20*(1-COGS!C19)</f>
        <v>-150.5</v>
      </c>
      <c r="I19" s="46">
        <f>-'Sales Budget Summary'!G20*(1-COGS!D19)</f>
        <v>-152.9</v>
      </c>
      <c r="J19" s="46">
        <f>-'Sales Budget Summary'!H20*(1-COGS!E19)</f>
        <v>-155.25000000000003</v>
      </c>
      <c r="N19" s="46">
        <f>-'Sales Budget Summary'!L20*(1-$C19)</f>
        <v>-13.545</v>
      </c>
      <c r="O19" s="46">
        <f>-'Sales Budget Summary'!M20*(1-$C19)</f>
        <v>-13.545</v>
      </c>
      <c r="P19" s="46">
        <f>-'Sales Budget Summary'!N20*(1-$C19)</f>
        <v>-13.545</v>
      </c>
      <c r="Q19" s="46">
        <f>-'Sales Budget Summary'!O20*(1-$C19)</f>
        <v>-13.545</v>
      </c>
      <c r="R19" s="46">
        <f>-'Sales Budget Summary'!P20*(1-$C19)</f>
        <v>-9.0299999999999994</v>
      </c>
      <c r="S19" s="46">
        <f>-'Sales Budget Summary'!Q20*(1-$C19)</f>
        <v>-15.049999999999999</v>
      </c>
      <c r="T19" s="46">
        <f>-'Sales Budget Summary'!R20*(1-$C19)</f>
        <v>-6.02</v>
      </c>
      <c r="U19" s="46">
        <f>-'Sales Budget Summary'!S20*(1-$C19)</f>
        <v>-6.02</v>
      </c>
      <c r="V19" s="46">
        <f>-'Sales Budget Summary'!T20*(1-$C19)</f>
        <v>-12.04</v>
      </c>
      <c r="W19" s="46">
        <f>-'Sales Budget Summary'!U20*(1-$C19)</f>
        <v>-18.059999999999999</v>
      </c>
      <c r="X19" s="46">
        <f>-'Sales Budget Summary'!V20*(1-$C19)</f>
        <v>-15.049999999999999</v>
      </c>
      <c r="Y19" s="46">
        <f>-'Sales Budget Summary'!W20*(1-$C19)</f>
        <v>-15.049999999999999</v>
      </c>
    </row>
    <row r="20" spans="2:25">
      <c r="B20" s="45" t="s">
        <v>240</v>
      </c>
      <c r="C20" s="10">
        <v>0.65</v>
      </c>
      <c r="D20" s="10">
        <f t="shared" si="11"/>
        <v>0.65249999999999997</v>
      </c>
      <c r="E20" s="10">
        <f t="shared" si="11"/>
        <v>0.65499999999999992</v>
      </c>
      <c r="H20" s="46">
        <f>-'Sales Budget Summary'!F21*(1-COGS!C20)</f>
        <v>-218.75</v>
      </c>
      <c r="I20" s="46">
        <f>-'Sales Budget Summary'!G21*(1-COGS!D20)</f>
        <v>-225.87500000000003</v>
      </c>
      <c r="J20" s="46">
        <f>-'Sales Budget Summary'!H21*(1-COGS!E20)</f>
        <v>-232.87500000000006</v>
      </c>
      <c r="N20" s="46">
        <f>-'Sales Budget Summary'!L21*(1-$C20)</f>
        <v>0</v>
      </c>
      <c r="O20" s="46">
        <f>-'Sales Budget Summary'!M21*(1-$C20)</f>
        <v>-35</v>
      </c>
      <c r="P20" s="46">
        <f>-'Sales Budget Summary'!N21*(1-$C20)</f>
        <v>-26.25</v>
      </c>
      <c r="Q20" s="46">
        <f>-'Sales Budget Summary'!O21*(1-$C20)</f>
        <v>0</v>
      </c>
      <c r="R20" s="46">
        <f>-'Sales Budget Summary'!P21*(1-$C20)</f>
        <v>-26.25</v>
      </c>
      <c r="S20" s="46">
        <f>-'Sales Budget Summary'!Q21*(1-$C20)</f>
        <v>-26.25</v>
      </c>
      <c r="T20" s="46">
        <f>-'Sales Budget Summary'!R21*(1-$C20)</f>
        <v>0</v>
      </c>
      <c r="U20" s="46">
        <f>-'Sales Budget Summary'!S21*(1-$C20)</f>
        <v>-21.875</v>
      </c>
      <c r="V20" s="46">
        <f>-'Sales Budget Summary'!T21*(1-$C20)</f>
        <v>0</v>
      </c>
      <c r="W20" s="46">
        <f>-'Sales Budget Summary'!U21*(1-$C20)</f>
        <v>-30.625000000000004</v>
      </c>
      <c r="X20" s="46">
        <f>-'Sales Budget Summary'!V21*(1-$C20)</f>
        <v>-26.25</v>
      </c>
      <c r="Y20" s="46">
        <f>-'Sales Budget Summary'!W21*(1-$C20)</f>
        <v>-26.25</v>
      </c>
    </row>
    <row r="21" spans="2:25">
      <c r="B21" s="45" t="s">
        <v>241</v>
      </c>
      <c r="C21" s="10">
        <v>0.67</v>
      </c>
      <c r="D21" s="10">
        <f t="shared" si="11"/>
        <v>0.67249999999999999</v>
      </c>
      <c r="E21" s="10">
        <f t="shared" si="11"/>
        <v>0.67499999999999993</v>
      </c>
      <c r="H21" s="46">
        <f>-'Sales Budget Summary'!F22*(1-COGS!C21)</f>
        <v>-115.49999999999999</v>
      </c>
      <c r="I21" s="46">
        <f>-'Sales Budget Summary'!G22*(1-COGS!D21)</f>
        <v>-124.45</v>
      </c>
      <c r="J21" s="46">
        <f>-'Sales Budget Summary'!H22*(1-COGS!E21)</f>
        <v>-136.50000000000003</v>
      </c>
      <c r="N21" s="46">
        <f>-'Sales Budget Summary'!L22*(1-$C21)</f>
        <v>0</v>
      </c>
      <c r="O21" s="46">
        <f>-'Sales Budget Summary'!M22*(1-$C21)</f>
        <v>-23.099999999999998</v>
      </c>
      <c r="P21" s="46">
        <f>-'Sales Budget Summary'!N22*(1-$C21)</f>
        <v>0</v>
      </c>
      <c r="Q21" s="46">
        <f>-'Sales Budget Summary'!O22*(1-$C21)</f>
        <v>0</v>
      </c>
      <c r="R21" s="46">
        <f>-'Sales Budget Summary'!P22*(1-$C21)</f>
        <v>-28.874999999999996</v>
      </c>
      <c r="S21" s="46">
        <f>-'Sales Budget Summary'!Q22*(1-$C21)</f>
        <v>0</v>
      </c>
      <c r="T21" s="46">
        <f>-'Sales Budget Summary'!R22*(1-$C21)</f>
        <v>0</v>
      </c>
      <c r="U21" s="46">
        <f>-'Sales Budget Summary'!S22*(1-$C21)</f>
        <v>-34.65</v>
      </c>
      <c r="V21" s="46">
        <f>-'Sales Budget Summary'!T22*(1-$C21)</f>
        <v>0</v>
      </c>
      <c r="W21" s="46">
        <f>-'Sales Budget Summary'!U22*(1-$C21)</f>
        <v>0</v>
      </c>
      <c r="X21" s="46">
        <f>-'Sales Budget Summary'!V22*(1-$C21)</f>
        <v>-28.874999999999996</v>
      </c>
      <c r="Y21" s="46">
        <f>-'Sales Budget Summary'!W22*(1-$C21)</f>
        <v>0</v>
      </c>
    </row>
    <row r="22" spans="2:25">
      <c r="B22" s="45" t="s">
        <v>242</v>
      </c>
      <c r="C22" s="10">
        <v>0.65</v>
      </c>
      <c r="D22" s="10">
        <f t="shared" si="11"/>
        <v>0.65249999999999997</v>
      </c>
      <c r="E22" s="10">
        <f t="shared" si="11"/>
        <v>0.65499999999999992</v>
      </c>
      <c r="H22" s="46">
        <f>-'Sales Budget Summary'!F23*(1-COGS!C22)</f>
        <v>-160.125</v>
      </c>
      <c r="I22" s="46">
        <f>-'Sales Budget Summary'!G23*(1-COGS!D22)</f>
        <v>-180.70000000000002</v>
      </c>
      <c r="J22" s="46">
        <f>-'Sales Budget Summary'!H23*(1-COGS!E22)</f>
        <v>-215.62500000000006</v>
      </c>
      <c r="N22" s="46">
        <f>-'Sales Budget Summary'!L23*(1-$C22)</f>
        <v>-12.81</v>
      </c>
      <c r="O22" s="46">
        <f>-'Sales Budget Summary'!M23*(1-$C22)</f>
        <v>-11.208750000000002</v>
      </c>
      <c r="P22" s="46">
        <f>-'Sales Budget Summary'!N23*(1-$C22)</f>
        <v>-16.012499999999999</v>
      </c>
      <c r="Q22" s="46">
        <f>-'Sales Budget Summary'!O23*(1-$C22)</f>
        <v>-14.411249999999997</v>
      </c>
      <c r="R22" s="46">
        <f>-'Sales Budget Summary'!P23*(1-$C22)</f>
        <v>-14.411249999999997</v>
      </c>
      <c r="S22" s="46">
        <f>-'Sales Budget Summary'!Q23*(1-$C22)</f>
        <v>-12.81</v>
      </c>
      <c r="T22" s="46">
        <f>-'Sales Budget Summary'!R23*(1-$C22)</f>
        <v>-12.81</v>
      </c>
      <c r="U22" s="46">
        <f>-'Sales Budget Summary'!S23*(1-$C22)</f>
        <v>-9.6074999999999999</v>
      </c>
      <c r="V22" s="46">
        <f>-'Sales Budget Summary'!T23*(1-$C22)</f>
        <v>-14.411249999999997</v>
      </c>
      <c r="W22" s="46">
        <f>-'Sales Budget Summary'!U23*(1-$C22)</f>
        <v>-16.012499999999999</v>
      </c>
      <c r="X22" s="46">
        <f>-'Sales Budget Summary'!V23*(1-$C22)</f>
        <v>-14.411249999999997</v>
      </c>
      <c r="Y22" s="46">
        <f>-'Sales Budget Summary'!W23*(1-$C22)</f>
        <v>-11.208750000000002</v>
      </c>
    </row>
    <row r="23" spans="2:25">
      <c r="B23" s="45" t="s">
        <v>243</v>
      </c>
      <c r="C23" s="10">
        <v>0.65</v>
      </c>
      <c r="D23" s="10">
        <f t="shared" si="11"/>
        <v>0.65249999999999997</v>
      </c>
      <c r="E23" s="10">
        <f t="shared" si="11"/>
        <v>0.65499999999999992</v>
      </c>
      <c r="H23" s="46">
        <f>-'Sales Budget Summary'!F24*(1-COGS!C23)</f>
        <v>-10.5</v>
      </c>
      <c r="I23" s="46">
        <f>-'Sales Budget Summary'!G24*(1-COGS!D23)</f>
        <v>-13.900000000000002</v>
      </c>
      <c r="J23" s="46">
        <f>-'Sales Budget Summary'!H24*(1-COGS!E23)</f>
        <v>-17.250000000000004</v>
      </c>
      <c r="N23" s="46">
        <f>-'Sales Budget Summary'!L24*(1-$C23)</f>
        <v>-0.84</v>
      </c>
      <c r="O23" s="46">
        <f>-'Sales Budget Summary'!M24*(1-$C23)</f>
        <v>-0.73499999999999999</v>
      </c>
      <c r="P23" s="46">
        <f>-'Sales Budget Summary'!N24*(1-$C23)</f>
        <v>-1.0499999999999998</v>
      </c>
      <c r="Q23" s="46">
        <f>-'Sales Budget Summary'!O24*(1-$C23)</f>
        <v>-0.94499999999999995</v>
      </c>
      <c r="R23" s="46">
        <f>-'Sales Budget Summary'!P24*(1-$C23)</f>
        <v>-0.94499999999999995</v>
      </c>
      <c r="S23" s="46">
        <f>-'Sales Budget Summary'!Q24*(1-$C23)</f>
        <v>-0.84</v>
      </c>
      <c r="T23" s="46">
        <f>-'Sales Budget Summary'!R24*(1-$C23)</f>
        <v>-0.84</v>
      </c>
      <c r="U23" s="46">
        <f>-'Sales Budget Summary'!S24*(1-$C23)</f>
        <v>-0.63</v>
      </c>
      <c r="V23" s="46">
        <f>-'Sales Budget Summary'!T24*(1-$C23)</f>
        <v>-0.94499999999999995</v>
      </c>
      <c r="W23" s="46">
        <f>-'Sales Budget Summary'!U24*(1-$C23)</f>
        <v>-1.0499999999999998</v>
      </c>
      <c r="X23" s="46">
        <f>-'Sales Budget Summary'!V24*(1-$C23)</f>
        <v>-0.94499999999999995</v>
      </c>
      <c r="Y23" s="46">
        <f>-'Sales Budget Summary'!W24*(1-$C23)</f>
        <v>-0.73499999999999999</v>
      </c>
    </row>
    <row r="24" spans="2:25">
      <c r="B24" s="45" t="s">
        <v>244</v>
      </c>
      <c r="C24" s="10">
        <v>0.65</v>
      </c>
      <c r="D24" s="10">
        <f t="shared" si="11"/>
        <v>0.65249999999999997</v>
      </c>
      <c r="E24" s="10">
        <f t="shared" si="11"/>
        <v>0.65499999999999992</v>
      </c>
      <c r="H24" s="46">
        <f>-'Sales Budget Summary'!F25*(1-COGS!C24)</f>
        <v>-7</v>
      </c>
      <c r="I24" s="46">
        <f>-'Sales Budget Summary'!G25*(1-COGS!D24)</f>
        <v>-17.375</v>
      </c>
      <c r="J24" s="46">
        <f>-'Sales Budget Summary'!H25*(1-COGS!E24)</f>
        <v>-34.500000000000007</v>
      </c>
      <c r="N24" s="46">
        <f>-'Sales Budget Summary'!L25*(1-$C24)</f>
        <v>0</v>
      </c>
      <c r="O24" s="46">
        <f>-'Sales Budget Summary'!M25*(1-$C24)</f>
        <v>0</v>
      </c>
      <c r="P24" s="46">
        <f>-'Sales Budget Summary'!N25*(1-$C24)</f>
        <v>0</v>
      </c>
      <c r="Q24" s="46">
        <f>-'Sales Budget Summary'!O25*(1-$C24)</f>
        <v>0</v>
      </c>
      <c r="R24" s="46">
        <f>-'Sales Budget Summary'!P25*(1-$C24)</f>
        <v>0</v>
      </c>
      <c r="S24" s="46">
        <f>-'Sales Budget Summary'!Q25*(1-$C24)</f>
        <v>-0.7</v>
      </c>
      <c r="T24" s="46">
        <f>-'Sales Budget Summary'!R25*(1-$C24)</f>
        <v>-0.7</v>
      </c>
      <c r="U24" s="46">
        <f>-'Sales Budget Summary'!S25*(1-$C24)</f>
        <v>-0.7</v>
      </c>
      <c r="V24" s="46">
        <f>-'Sales Budget Summary'!T25*(1-$C24)</f>
        <v>-1.0499999999999998</v>
      </c>
      <c r="W24" s="46">
        <f>-'Sales Budget Summary'!U25*(1-$C24)</f>
        <v>-1.0499999999999998</v>
      </c>
      <c r="X24" s="46">
        <f>-'Sales Budget Summary'!V25*(1-$C24)</f>
        <v>-1.4</v>
      </c>
      <c r="Y24" s="46">
        <f>-'Sales Budget Summary'!W25*(1-$C24)</f>
        <v>-1.4</v>
      </c>
    </row>
    <row r="25" spans="2:25">
      <c r="B25" s="45" t="s">
        <v>245</v>
      </c>
      <c r="C25" s="10">
        <v>0.85</v>
      </c>
      <c r="D25" s="10">
        <f t="shared" si="11"/>
        <v>0.85249999999999992</v>
      </c>
      <c r="E25" s="10">
        <f t="shared" si="11"/>
        <v>0.85499999999999987</v>
      </c>
      <c r="H25" s="46">
        <f>-'Sales Budget Summary'!F26*(1-COGS!C25)</f>
        <v>-4.8000000000000007</v>
      </c>
      <c r="I25" s="46">
        <f>-'Sales Budget Summary'!G26*(1-COGS!D25)</f>
        <v>-5.3100000000000023</v>
      </c>
      <c r="J25" s="46">
        <f>-'Sales Budget Summary'!H26*(1-COGS!E25)</f>
        <v>-5.8000000000000052</v>
      </c>
      <c r="N25" s="46">
        <f>-'Sales Budget Summary'!L26*(1-$C25)</f>
        <v>-0.38400000000000006</v>
      </c>
      <c r="O25" s="46">
        <f>-'Sales Budget Summary'!M26*(1-$C25)</f>
        <v>-0.38400000000000006</v>
      </c>
      <c r="P25" s="46">
        <f>-'Sales Budget Summary'!N26*(1-$C25)</f>
        <v>-0.43200000000000005</v>
      </c>
      <c r="Q25" s="46">
        <f>-'Sales Budget Summary'!O26*(1-$C25)</f>
        <v>-0.43200000000000005</v>
      </c>
      <c r="R25" s="46">
        <f>-'Sales Budget Summary'!P26*(1-$C25)</f>
        <v>-0.43200000000000005</v>
      </c>
      <c r="S25" s="46">
        <f>-'Sales Budget Summary'!Q26*(1-$C25)</f>
        <v>-0.36000000000000004</v>
      </c>
      <c r="T25" s="46">
        <f>-'Sales Budget Summary'!R26*(1-$C25)</f>
        <v>-0.33600000000000008</v>
      </c>
      <c r="U25" s="46">
        <f>-'Sales Budget Summary'!S26*(1-$C25)</f>
        <v>-0.28800000000000003</v>
      </c>
      <c r="V25" s="46">
        <f>-'Sales Budget Summary'!T26*(1-$C25)</f>
        <v>-0.45600000000000007</v>
      </c>
      <c r="W25" s="46">
        <f>-'Sales Budget Summary'!U26*(1-$C25)</f>
        <v>-0.504</v>
      </c>
      <c r="X25" s="46">
        <f>-'Sales Budget Summary'!V26*(1-$C25)</f>
        <v>-0.43200000000000005</v>
      </c>
      <c r="Y25" s="46">
        <f>-'Sales Budget Summary'!W26*(1-$C25)</f>
        <v>-0.36000000000000004</v>
      </c>
    </row>
    <row r="26" spans="2:25">
      <c r="B26" s="47" t="s">
        <v>100</v>
      </c>
      <c r="C26" s="10"/>
      <c r="H26" s="48">
        <f>SUM(H19:H25)</f>
        <v>-667.17499999999995</v>
      </c>
      <c r="I26" s="48">
        <f t="shared" ref="I26:J26" si="12">SUM(I19:I25)</f>
        <v>-720.51</v>
      </c>
      <c r="J26" s="48">
        <f t="shared" si="12"/>
        <v>-797.80000000000018</v>
      </c>
      <c r="N26" s="48">
        <f t="shared" ref="N26:Y26" si="13">SUM(N19:N25)</f>
        <v>-27.579000000000001</v>
      </c>
      <c r="O26" s="48">
        <f t="shared" si="13"/>
        <v>-83.972749999999991</v>
      </c>
      <c r="P26" s="48">
        <f t="shared" si="13"/>
        <v>-57.289500000000004</v>
      </c>
      <c r="Q26" s="48">
        <f t="shared" si="13"/>
        <v>-29.333249999999996</v>
      </c>
      <c r="R26" s="48">
        <f t="shared" si="13"/>
        <v>-79.943249999999992</v>
      </c>
      <c r="S26" s="48">
        <f t="shared" si="13"/>
        <v>-56.010000000000005</v>
      </c>
      <c r="T26" s="48">
        <f t="shared" si="13"/>
        <v>-20.705999999999996</v>
      </c>
      <c r="U26" s="48">
        <f t="shared" si="13"/>
        <v>-73.770499999999998</v>
      </c>
      <c r="V26" s="48">
        <f t="shared" si="13"/>
        <v>-28.902249999999995</v>
      </c>
      <c r="W26" s="48">
        <f t="shared" si="13"/>
        <v>-67.301500000000004</v>
      </c>
      <c r="X26" s="48">
        <f t="shared" si="13"/>
        <v>-87.363249999999994</v>
      </c>
      <c r="Y26" s="48">
        <f t="shared" si="13"/>
        <v>-55.003749999999997</v>
      </c>
    </row>
    <row r="27" spans="2:25">
      <c r="B27" s="49"/>
      <c r="C27" s="10"/>
      <c r="H27" s="56"/>
      <c r="I27" s="56"/>
      <c r="J27" s="56"/>
    </row>
    <row r="28" spans="2:25" ht="15.75" thickBot="1">
      <c r="B28" s="52" t="s">
        <v>246</v>
      </c>
      <c r="C28" s="10"/>
      <c r="H28" s="53">
        <f>SUM(H9,H13,H17,H26)</f>
        <v>-2103.3875500000004</v>
      </c>
      <c r="I28" s="53">
        <f t="shared" ref="I28:J28" si="14">SUM(I9,I13,I17,I26)</f>
        <v>-2308.6619347500005</v>
      </c>
      <c r="J28" s="53">
        <f t="shared" si="14"/>
        <v>-2537.6170029000018</v>
      </c>
      <c r="N28" s="53">
        <f t="shared" ref="N28:Y28" si="15">SUM(N9,N13,N17,N26)</f>
        <v>-119.75264150000001</v>
      </c>
      <c r="O28" s="53">
        <f t="shared" si="15"/>
        <v>-194.36675400000001</v>
      </c>
      <c r="P28" s="53">
        <f t="shared" si="15"/>
        <v>-191.25999200000001</v>
      </c>
      <c r="Q28" s="53">
        <f t="shared" si="15"/>
        <v>-147.23069825000002</v>
      </c>
      <c r="R28" s="53">
        <f t="shared" si="15"/>
        <v>-203.19837949999999</v>
      </c>
      <c r="S28" s="53">
        <f t="shared" si="15"/>
        <v>-173.448554</v>
      </c>
      <c r="T28" s="53">
        <f t="shared" si="15"/>
        <v>-137.68410400000002</v>
      </c>
      <c r="U28" s="53">
        <f t="shared" si="15"/>
        <v>-171.30493425000003</v>
      </c>
      <c r="V28" s="53">
        <f t="shared" si="15"/>
        <v>-165.48051075000001</v>
      </c>
      <c r="W28" s="53">
        <f t="shared" si="15"/>
        <v>-218.888205</v>
      </c>
      <c r="X28" s="53">
        <f t="shared" si="15"/>
        <v>-220.27069824999998</v>
      </c>
      <c r="Y28" s="53">
        <f t="shared" si="15"/>
        <v>-160.50207850000001</v>
      </c>
    </row>
    <row r="29" spans="2:25">
      <c r="C29" s="10"/>
    </row>
    <row r="30" spans="2:25">
      <c r="B30" t="s">
        <v>247</v>
      </c>
      <c r="C30" s="10">
        <v>0.6</v>
      </c>
      <c r="D30" s="10">
        <f t="shared" ref="D30:E32" si="16">C30+0.25%</f>
        <v>0.60249999999999992</v>
      </c>
      <c r="E30" s="10">
        <f t="shared" si="16"/>
        <v>0.60499999999999987</v>
      </c>
      <c r="H30" s="46">
        <f>-'Sales Budget Summary'!F31*(1-COGS!C30)</f>
        <v>-320</v>
      </c>
      <c r="I30" s="46">
        <f>-'Sales Budget Summary'!G31*(1-COGS!D30)</f>
        <v>-477.00000000000011</v>
      </c>
      <c r="J30" s="46">
        <f>-'Sales Budget Summary'!H31*(1-COGS!E30)</f>
        <v>-632.00000000000023</v>
      </c>
      <c r="N30" s="46">
        <f>-'Sales Budget Summary'!L31*(1-$C30)</f>
        <v>-9.6000000000000014</v>
      </c>
      <c r="O30" s="46">
        <f>-'Sales Budget Summary'!M31*(1-$C30)</f>
        <v>-9.6000000000000014</v>
      </c>
      <c r="P30" s="46">
        <f>-'Sales Budget Summary'!N31*(1-$C30)</f>
        <v>-10.56</v>
      </c>
      <c r="Q30" s="46">
        <f>-'Sales Budget Summary'!O31*(1-$C30)</f>
        <v>-13.76</v>
      </c>
      <c r="R30" s="46">
        <f>-'Sales Budget Summary'!P31*(1-$C30)</f>
        <v>-25.6</v>
      </c>
      <c r="S30" s="46">
        <f>-'Sales Budget Summary'!Q31*(1-$C30)</f>
        <v>-19.200000000000003</v>
      </c>
      <c r="T30" s="46">
        <f>-'Sales Budget Summary'!R31*(1-$C30)</f>
        <v>-19.200000000000003</v>
      </c>
      <c r="U30" s="46">
        <f>-'Sales Budget Summary'!S31*(1-$C30)</f>
        <v>-19.200000000000003</v>
      </c>
      <c r="V30" s="46">
        <f>-'Sales Budget Summary'!T31*(1-$C30)</f>
        <v>-80</v>
      </c>
      <c r="W30" s="46">
        <f>-'Sales Budget Summary'!U31*(1-$C30)</f>
        <v>-48</v>
      </c>
      <c r="X30" s="46">
        <f>-'Sales Budget Summary'!V31*(1-$C30)</f>
        <v>-32</v>
      </c>
      <c r="Y30" s="46">
        <f>-'Sales Budget Summary'!W31*(1-$C30)</f>
        <v>-32</v>
      </c>
    </row>
    <row r="31" spans="2:25">
      <c r="B31" t="s">
        <v>248</v>
      </c>
      <c r="C31" s="10">
        <v>0.65</v>
      </c>
      <c r="D31" s="10">
        <f t="shared" si="16"/>
        <v>0.65249999999999997</v>
      </c>
      <c r="E31" s="10">
        <f t="shared" si="16"/>
        <v>0.65499999999999992</v>
      </c>
      <c r="H31" s="46">
        <f>-'Sales Budget Summary'!F32*(1-COGS!C31)</f>
        <v>-70</v>
      </c>
      <c r="I31" s="46">
        <f>-'Sales Budget Summary'!G32*(1-COGS!D31)</f>
        <v>-104.25000000000001</v>
      </c>
      <c r="J31" s="46">
        <f>-'Sales Budget Summary'!H32*(1-COGS!E31)</f>
        <v>-172.50000000000003</v>
      </c>
      <c r="N31" s="46">
        <f>-'Sales Budget Summary'!L32*(1-$C31)</f>
        <v>-6.3</v>
      </c>
      <c r="O31" s="46">
        <f>-'Sales Budget Summary'!M32*(1-$C31)</f>
        <v>-6.3</v>
      </c>
      <c r="P31" s="46">
        <f>-'Sales Budget Summary'!N32*(1-$C31)</f>
        <v>-6.3</v>
      </c>
      <c r="Q31" s="46">
        <f>-'Sales Budget Summary'!O32*(1-$C31)</f>
        <v>-6.3</v>
      </c>
      <c r="R31" s="46">
        <f>-'Sales Budget Summary'!P32*(1-$C31)</f>
        <v>-4.1999999999999993</v>
      </c>
      <c r="S31" s="46">
        <f>-'Sales Budget Summary'!Q32*(1-$C31)</f>
        <v>-7</v>
      </c>
      <c r="T31" s="46">
        <f>-'Sales Budget Summary'!R32*(1-$C31)</f>
        <v>-2.8</v>
      </c>
      <c r="U31" s="46">
        <f>-'Sales Budget Summary'!S32*(1-$C31)</f>
        <v>-2.8</v>
      </c>
      <c r="V31" s="46">
        <f>-'Sales Budget Summary'!T32*(1-$C31)</f>
        <v>-5.6</v>
      </c>
      <c r="W31" s="46">
        <f>-'Sales Budget Summary'!U32*(1-$C31)</f>
        <v>-8.3999999999999986</v>
      </c>
      <c r="X31" s="46">
        <f>-'Sales Budget Summary'!V32*(1-$C31)</f>
        <v>-7</v>
      </c>
      <c r="Y31" s="46">
        <f>-'Sales Budget Summary'!W32*(1-$C31)</f>
        <v>-7</v>
      </c>
    </row>
    <row r="32" spans="2:25">
      <c r="B32" t="s">
        <v>249</v>
      </c>
      <c r="C32" s="10">
        <v>0.67</v>
      </c>
      <c r="D32" s="10">
        <f t="shared" si="16"/>
        <v>0.67249999999999999</v>
      </c>
      <c r="E32" s="10">
        <f t="shared" si="16"/>
        <v>0.67499999999999993</v>
      </c>
      <c r="H32" s="46">
        <f>-'Sales Budget Summary'!F33*(1-COGS!C32)</f>
        <v>-47.849999999999994</v>
      </c>
      <c r="I32" s="46">
        <f>-'Sales Budget Summary'!G33*(1-COGS!D32)</f>
        <v>-73.6875</v>
      </c>
      <c r="J32" s="46">
        <f>-'Sales Budget Summary'!H33*(1-COGS!E32)</f>
        <v>-121.87500000000003</v>
      </c>
      <c r="N32" s="46">
        <f>-'Sales Budget Summary'!L33*(1-$C32)</f>
        <v>0</v>
      </c>
      <c r="O32" s="46">
        <f>-'Sales Budget Summary'!M33*(1-$C32)</f>
        <v>0</v>
      </c>
      <c r="P32" s="46">
        <f>-'Sales Budget Summary'!N33*(1-$C32)</f>
        <v>0</v>
      </c>
      <c r="Q32" s="46">
        <f>-'Sales Budget Summary'!O33*(1-$C32)</f>
        <v>0</v>
      </c>
      <c r="R32" s="46">
        <f>-'Sales Budget Summary'!P33*(1-$C32)</f>
        <v>0</v>
      </c>
      <c r="S32" s="46">
        <f>-'Sales Budget Summary'!Q33*(1-$C32)</f>
        <v>-4.7849999999999993</v>
      </c>
      <c r="T32" s="46">
        <f>-'Sales Budget Summary'!R33*(1-$C32)</f>
        <v>-4.7849999999999993</v>
      </c>
      <c r="U32" s="46">
        <f>-'Sales Budget Summary'!S33*(1-$C32)</f>
        <v>-4.7849999999999993</v>
      </c>
      <c r="V32" s="46">
        <f>-'Sales Budget Summary'!T33*(1-$C32)</f>
        <v>-7.1774999999999993</v>
      </c>
      <c r="W32" s="46">
        <f>-'Sales Budget Summary'!U33*(1-$C32)</f>
        <v>-7.1774999999999993</v>
      </c>
      <c r="X32" s="46">
        <f>-'Sales Budget Summary'!V33*(1-$C32)</f>
        <v>-9.5699999999999985</v>
      </c>
      <c r="Y32" s="46">
        <f>-'Sales Budget Summary'!W33*(1-$C32)</f>
        <v>-9.5699999999999985</v>
      </c>
    </row>
    <row r="33" spans="2:25">
      <c r="C33" s="10"/>
    </row>
    <row r="34" spans="2:25" ht="15.75" thickBot="1">
      <c r="B34" s="52" t="s">
        <v>250</v>
      </c>
      <c r="C34" s="10"/>
      <c r="H34" s="53">
        <f>SUM(H30:H32)</f>
        <v>-437.85</v>
      </c>
      <c r="I34" s="53">
        <f t="shared" ref="I34:J34" si="17">SUM(I30:I32)</f>
        <v>-654.93750000000011</v>
      </c>
      <c r="J34" s="53">
        <f t="shared" si="17"/>
        <v>-926.37500000000023</v>
      </c>
      <c r="N34" s="53">
        <f t="shared" ref="N34:Y34" si="18">SUM(N30:N32)</f>
        <v>-15.900000000000002</v>
      </c>
      <c r="O34" s="53">
        <f t="shared" si="18"/>
        <v>-15.900000000000002</v>
      </c>
      <c r="P34" s="53">
        <f t="shared" si="18"/>
        <v>-16.86</v>
      </c>
      <c r="Q34" s="53">
        <f t="shared" si="18"/>
        <v>-20.059999999999999</v>
      </c>
      <c r="R34" s="53">
        <f t="shared" si="18"/>
        <v>-29.8</v>
      </c>
      <c r="S34" s="53">
        <f t="shared" si="18"/>
        <v>-30.985000000000003</v>
      </c>
      <c r="T34" s="53">
        <f t="shared" si="18"/>
        <v>-26.785000000000004</v>
      </c>
      <c r="U34" s="53">
        <f t="shared" si="18"/>
        <v>-26.785000000000004</v>
      </c>
      <c r="V34" s="53">
        <f t="shared" si="18"/>
        <v>-92.777499999999989</v>
      </c>
      <c r="W34" s="53">
        <f t="shared" si="18"/>
        <v>-63.577500000000001</v>
      </c>
      <c r="X34" s="53">
        <f t="shared" si="18"/>
        <v>-48.57</v>
      </c>
      <c r="Y34" s="53">
        <f t="shared" si="18"/>
        <v>-48.57</v>
      </c>
    </row>
    <row r="35" spans="2:25">
      <c r="C35" s="10"/>
    </row>
    <row r="36" spans="2:25">
      <c r="B36" t="s">
        <v>251</v>
      </c>
      <c r="C36" s="10">
        <v>0.92</v>
      </c>
      <c r="D36" s="10">
        <f t="shared" ref="D36:E39" si="19">C36+0.25%</f>
        <v>0.92249999999999999</v>
      </c>
      <c r="E36" s="10">
        <f t="shared" si="19"/>
        <v>0.92499999999999993</v>
      </c>
      <c r="H36" s="46">
        <f>-'Sales Budget Summary'!F37*(1-COGS!C36)</f>
        <v>-59.839999999999968</v>
      </c>
      <c r="I36" s="46">
        <f>-'Sales Budget Summary'!G37*(1-COGS!D36)</f>
        <v>-63.767000000000017</v>
      </c>
      <c r="J36" s="46">
        <f>-'Sales Budget Summary'!H37*(1-COGS!E36)</f>
        <v>-66.64680000000007</v>
      </c>
      <c r="N36" s="46">
        <f>-'Sales Budget Summary'!L37*(1-$C36)</f>
        <v>-5.4399999999999977</v>
      </c>
      <c r="O36" s="46">
        <f>-'Sales Budget Summary'!M37*(1-$C36)</f>
        <v>-5.1199999999999974</v>
      </c>
      <c r="P36" s="46">
        <f>-'Sales Budget Summary'!N37*(1-$C36)</f>
        <v>-4.8799999999999972</v>
      </c>
      <c r="Q36" s="46">
        <f>-'Sales Budget Summary'!O37*(1-$C36)</f>
        <v>-3.8399999999999981</v>
      </c>
      <c r="R36" s="46">
        <f>-'Sales Budget Summary'!P37*(1-$C36)</f>
        <v>-4.4799999999999978</v>
      </c>
      <c r="S36" s="46">
        <f>-'Sales Budget Summary'!Q37*(1-$C36)</f>
        <v>-3.9999999999999982</v>
      </c>
      <c r="T36" s="46">
        <f>-'Sales Budget Summary'!R37*(1-$C36)</f>
        <v>-4.2399999999999975</v>
      </c>
      <c r="U36" s="46">
        <f>-'Sales Budget Summary'!S37*(1-$C36)</f>
        <v>-4.3199999999999976</v>
      </c>
      <c r="V36" s="46">
        <f>-'Sales Budget Summary'!T37*(1-$C36)</f>
        <v>-4.6399999999999979</v>
      </c>
      <c r="W36" s="46">
        <f>-'Sales Budget Summary'!U37*(1-$C36)</f>
        <v>-5.2799999999999976</v>
      </c>
      <c r="X36" s="46">
        <f>-'Sales Budget Summary'!V37*(1-$C36)</f>
        <v>-7.1999999999999966</v>
      </c>
      <c r="Y36" s="46">
        <f>-'Sales Budget Summary'!W37*(1-$C36)</f>
        <v>-6.3999999999999968</v>
      </c>
    </row>
    <row r="37" spans="2:25">
      <c r="B37" t="s">
        <v>252</v>
      </c>
      <c r="C37" s="10">
        <v>0.92</v>
      </c>
      <c r="D37" s="10">
        <f t="shared" si="19"/>
        <v>0.92249999999999999</v>
      </c>
      <c r="E37" s="10">
        <f t="shared" si="19"/>
        <v>0.92499999999999993</v>
      </c>
      <c r="H37" s="46">
        <f>-'Sales Budget Summary'!F38*(1-COGS!C37)</f>
        <v>-32.479999999999983</v>
      </c>
      <c r="I37" s="46">
        <f>-'Sales Budget Summary'!G38*(1-COGS!D37)</f>
        <v>-34.611500000000007</v>
      </c>
      <c r="J37" s="46">
        <f>-'Sales Budget Summary'!H38*(1-COGS!E37)</f>
        <v>-36.174600000000034</v>
      </c>
      <c r="N37" s="46">
        <f>-'Sales Budget Summary'!L38*(1-$C37)</f>
        <v>-2.4799999999999986</v>
      </c>
      <c r="O37" s="46">
        <f>-'Sales Budget Summary'!M38*(1-$C37)</f>
        <v>-2.4799999999999986</v>
      </c>
      <c r="P37" s="46">
        <f>-'Sales Budget Summary'!N38*(1-$C37)</f>
        <v>-2.7199999999999989</v>
      </c>
      <c r="Q37" s="46">
        <f>-'Sales Budget Summary'!O38*(1-$C37)</f>
        <v>-2.5599999999999987</v>
      </c>
      <c r="R37" s="46">
        <f>-'Sales Budget Summary'!P38*(1-$C37)</f>
        <v>-2.7199999999999989</v>
      </c>
      <c r="S37" s="46">
        <f>-'Sales Budget Summary'!Q38*(1-$C37)</f>
        <v>-2.6399999999999988</v>
      </c>
      <c r="T37" s="46">
        <f>-'Sales Budget Summary'!R38*(1-$C37)</f>
        <v>-2.7199999999999989</v>
      </c>
      <c r="U37" s="46">
        <f>-'Sales Budget Summary'!S38*(1-$C37)</f>
        <v>-2.4799999999999986</v>
      </c>
      <c r="V37" s="46">
        <f>-'Sales Budget Summary'!T38*(1-$C37)</f>
        <v>-2.7999999999999985</v>
      </c>
      <c r="W37" s="46">
        <f>-'Sales Budget Summary'!U38*(1-$C37)</f>
        <v>-2.7999999999999985</v>
      </c>
      <c r="X37" s="46">
        <f>-'Sales Budget Summary'!V38*(1-$C37)</f>
        <v>-2.8799999999999986</v>
      </c>
      <c r="Y37" s="46">
        <f>-'Sales Budget Summary'!W38*(1-$C37)</f>
        <v>-3.1999999999999984</v>
      </c>
    </row>
    <row r="38" spans="2:25">
      <c r="B38" t="s">
        <v>137</v>
      </c>
      <c r="C38" s="10">
        <v>0.92</v>
      </c>
      <c r="D38" s="10">
        <f t="shared" si="19"/>
        <v>0.92249999999999999</v>
      </c>
      <c r="E38" s="10">
        <f t="shared" si="19"/>
        <v>0.92499999999999993</v>
      </c>
      <c r="H38" s="46">
        <f>-'Sales Budget Summary'!F39*(1-COGS!C38)</f>
        <v>-8.7999999999999954</v>
      </c>
      <c r="I38" s="46">
        <f>-'Sales Budget Summary'!G39*(1-COGS!D38)</f>
        <v>-9.3775000000000031</v>
      </c>
      <c r="J38" s="46">
        <f>-'Sales Budget Summary'!H39*(1-COGS!E38)</f>
        <v>-9.8010000000000108</v>
      </c>
      <c r="N38" s="46">
        <f>-'Sales Budget Summary'!L39*(1-$C38)</f>
        <v>-0.47999999999999976</v>
      </c>
      <c r="O38" s="46">
        <f>-'Sales Budget Summary'!M39*(1-$C38)</f>
        <v>-0.87999999999999956</v>
      </c>
      <c r="P38" s="46">
        <f>-'Sales Budget Summary'!N39*(1-$C38)</f>
        <v>-0.71999999999999964</v>
      </c>
      <c r="Q38" s="46">
        <f>-'Sales Budget Summary'!O39*(1-$C38)</f>
        <v>-0.31999999999999984</v>
      </c>
      <c r="R38" s="46">
        <f>-'Sales Budget Summary'!P39*(1-$C38)</f>
        <v>-0.7999999999999996</v>
      </c>
      <c r="S38" s="46">
        <f>-'Sales Budget Summary'!Q39*(1-$C38)</f>
        <v>-0.63999999999999968</v>
      </c>
      <c r="T38" s="46">
        <f>-'Sales Budget Summary'!R39*(1-$C38)</f>
        <v>-0.7999999999999996</v>
      </c>
      <c r="U38" s="46">
        <f>-'Sales Budget Summary'!S39*(1-$C38)</f>
        <v>-0.95999999999999952</v>
      </c>
      <c r="V38" s="46">
        <f>-'Sales Budget Summary'!T39*(1-$C38)</f>
        <v>-0.7999999999999996</v>
      </c>
      <c r="W38" s="46">
        <f>-'Sales Budget Summary'!U39*(1-$C38)</f>
        <v>-0.7999999999999996</v>
      </c>
      <c r="X38" s="46">
        <f>-'Sales Budget Summary'!V39*(1-$C38)</f>
        <v>-0.87999999999999956</v>
      </c>
      <c r="Y38" s="46">
        <f>-'Sales Budget Summary'!W39*(1-$C38)</f>
        <v>-0.87999999999999956</v>
      </c>
    </row>
    <row r="39" spans="2:25">
      <c r="B39" t="s">
        <v>253</v>
      </c>
      <c r="C39" s="10">
        <v>0.75</v>
      </c>
      <c r="D39" s="10">
        <f t="shared" si="19"/>
        <v>0.75249999999999995</v>
      </c>
      <c r="E39" s="10">
        <f t="shared" si="19"/>
        <v>0.75499999999999989</v>
      </c>
      <c r="H39" s="46">
        <f>-'Sales Budget Summary'!F40*(1-COGS!C39)</f>
        <v>-8.7452761999999993</v>
      </c>
      <c r="I39" s="46">
        <f>-'Sales Budget Summary'!G40*(1-COGS!D39)</f>
        <v>-8.6578234380000012</v>
      </c>
      <c r="J39" s="46">
        <f>-'Sales Budget Summary'!H40*(1-COGS!E39)</f>
        <v>-8.5703706760000031</v>
      </c>
      <c r="N39" s="46">
        <f>-'Sales Budget Summary'!L40*(1-$C39)</f>
        <v>-0.72877301666666661</v>
      </c>
      <c r="O39" s="46">
        <f>-'Sales Budget Summary'!M40*(1-$C39)</f>
        <v>-0.72877301666666661</v>
      </c>
      <c r="P39" s="46">
        <f>-'Sales Budget Summary'!N40*(1-$C39)</f>
        <v>-0.72877301666666661</v>
      </c>
      <c r="Q39" s="46">
        <f>-'Sales Budget Summary'!O40*(1-$C39)</f>
        <v>-0.72877301666666661</v>
      </c>
      <c r="R39" s="46">
        <f>-'Sales Budget Summary'!P40*(1-$C39)</f>
        <v>-0.72877301666666661</v>
      </c>
      <c r="S39" s="46">
        <f>-'Sales Budget Summary'!Q40*(1-$C39)</f>
        <v>-0.72877301666666661</v>
      </c>
      <c r="T39" s="46">
        <f>-'Sales Budget Summary'!R40*(1-$C39)</f>
        <v>-0.72877301666666661</v>
      </c>
      <c r="U39" s="46">
        <f>-'Sales Budget Summary'!S40*(1-$C39)</f>
        <v>-0.72877301666666661</v>
      </c>
      <c r="V39" s="46">
        <f>-'Sales Budget Summary'!T40*(1-$C39)</f>
        <v>-0.72877301666666661</v>
      </c>
      <c r="W39" s="46">
        <f>-'Sales Budget Summary'!U40*(1-$C39)</f>
        <v>-0.72877301666666661</v>
      </c>
      <c r="X39" s="46">
        <f>-'Sales Budget Summary'!V40*(1-$C39)</f>
        <v>-0.72877301666666661</v>
      </c>
      <c r="Y39" s="46">
        <f>-'Sales Budget Summary'!W40*(1-$C39)</f>
        <v>-0.72877301666666661</v>
      </c>
    </row>
    <row r="41" spans="2:25" ht="15.75" thickBot="1">
      <c r="B41" s="52" t="s">
        <v>254</v>
      </c>
      <c r="H41" s="53">
        <f>SUM(H36:H39)</f>
        <v>-109.86527619999995</v>
      </c>
      <c r="I41" s="53">
        <f t="shared" ref="I41:J41" si="20">SUM(I36:I39)</f>
        <v>-116.41382343800004</v>
      </c>
      <c r="J41" s="53">
        <f t="shared" si="20"/>
        <v>-121.19277067600012</v>
      </c>
      <c r="N41" s="53">
        <f t="shared" ref="N41:Y41" si="21">SUM(N36:N39)</f>
        <v>-9.1287730166666634</v>
      </c>
      <c r="O41" s="53">
        <f t="shared" si="21"/>
        <v>-9.2087730166666617</v>
      </c>
      <c r="P41" s="53">
        <f t="shared" si="21"/>
        <v>-9.0487730166666616</v>
      </c>
      <c r="Q41" s="53">
        <f t="shared" si="21"/>
        <v>-7.4487730166666637</v>
      </c>
      <c r="R41" s="53">
        <f t="shared" si="21"/>
        <v>-8.7287730166666631</v>
      </c>
      <c r="S41" s="53">
        <f t="shared" si="21"/>
        <v>-8.0087730166666624</v>
      </c>
      <c r="T41" s="53">
        <f t="shared" si="21"/>
        <v>-8.4887730166666628</v>
      </c>
      <c r="U41" s="53">
        <f t="shared" si="21"/>
        <v>-8.4887730166666628</v>
      </c>
      <c r="V41" s="53">
        <f t="shared" si="21"/>
        <v>-8.9687730166666615</v>
      </c>
      <c r="W41" s="53">
        <f t="shared" si="21"/>
        <v>-9.6087730166666621</v>
      </c>
      <c r="X41" s="53">
        <f t="shared" si="21"/>
        <v>-11.68877301666666</v>
      </c>
      <c r="Y41" s="53">
        <f t="shared" si="21"/>
        <v>-11.20877301666666</v>
      </c>
    </row>
    <row r="42" spans="2:25">
      <c r="H42" s="30"/>
      <c r="I42" s="30"/>
      <c r="J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2:25" ht="16.5" thickBot="1">
      <c r="B43" s="54" t="s">
        <v>255</v>
      </c>
      <c r="H43" s="55">
        <f>SUM(H28,H34,H41)</f>
        <v>-2651.1028262000004</v>
      </c>
      <c r="I43" s="55">
        <f t="shared" ref="I43:J43" si="22">SUM(I28,I34,I41)</f>
        <v>-3080.0132581880007</v>
      </c>
      <c r="J43" s="55">
        <f t="shared" si="22"/>
        <v>-3585.1847735760025</v>
      </c>
      <c r="N43" s="55">
        <f t="shared" ref="N43:Y43" si="23">SUM(N28,N34,N41)</f>
        <v>-144.78141451666667</v>
      </c>
      <c r="O43" s="55">
        <f t="shared" si="23"/>
        <v>-219.47552701666669</v>
      </c>
      <c r="P43" s="55">
        <f t="shared" si="23"/>
        <v>-217.1687650166667</v>
      </c>
      <c r="Q43" s="55">
        <f t="shared" si="23"/>
        <v>-174.73947126666667</v>
      </c>
      <c r="R43" s="55">
        <f t="shared" si="23"/>
        <v>-241.72715251666665</v>
      </c>
      <c r="S43" s="55">
        <f t="shared" si="23"/>
        <v>-212.44232701666667</v>
      </c>
      <c r="T43" s="55">
        <f t="shared" si="23"/>
        <v>-172.95787701666669</v>
      </c>
      <c r="U43" s="55">
        <f t="shared" si="23"/>
        <v>-206.5787072666667</v>
      </c>
      <c r="V43" s="55">
        <f t="shared" si="23"/>
        <v>-267.22678376666664</v>
      </c>
      <c r="W43" s="55">
        <f t="shared" si="23"/>
        <v>-292.07447801666666</v>
      </c>
      <c r="X43" s="55">
        <f t="shared" si="23"/>
        <v>-280.52947126666669</v>
      </c>
      <c r="Y43" s="55">
        <f t="shared" si="23"/>
        <v>-220.28085151666667</v>
      </c>
    </row>
  </sheetData>
  <pageMargins left="0.7" right="0.7" top="0.75" bottom="0.75" header="0.3" footer="0.3"/>
  <pageSetup paperSize="9" orientation="portrait" horizontalDpi="0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C259-4B3B-4E6D-937A-38C0493BA861}">
  <sheetPr>
    <tabColor rgb="FF92D050"/>
  </sheetPr>
  <dimension ref="B1:AT44"/>
  <sheetViews>
    <sheetView showGridLines="0" topLeftCell="A13" workbookViewId="0">
      <selection activeCell="AI44" sqref="AI44:AT44"/>
    </sheetView>
  </sheetViews>
  <sheetFormatPr defaultColWidth="8.85546875" defaultRowHeight="15"/>
  <cols>
    <col min="2" max="2" width="23.140625" bestFit="1" customWidth="1"/>
    <col min="3" max="3" width="22" bestFit="1" customWidth="1"/>
    <col min="4" max="4" width="15.42578125" customWidth="1"/>
  </cols>
  <sheetData>
    <row r="1" spans="2:46">
      <c r="K1" t="s">
        <v>434</v>
      </c>
      <c r="L1" t="s">
        <v>434</v>
      </c>
      <c r="M1" t="s">
        <v>434</v>
      </c>
      <c r="N1" t="s">
        <v>434</v>
      </c>
      <c r="P1" t="s">
        <v>163</v>
      </c>
      <c r="Q1" t="s">
        <v>163</v>
      </c>
      <c r="R1" t="s">
        <v>163</v>
      </c>
      <c r="S1" t="s">
        <v>163</v>
      </c>
    </row>
    <row r="2" spans="2:46">
      <c r="K2" t="s">
        <v>433</v>
      </c>
      <c r="L2" t="s">
        <v>433</v>
      </c>
      <c r="M2" t="s">
        <v>433</v>
      </c>
      <c r="P2" t="s">
        <v>433</v>
      </c>
      <c r="Q2" t="s">
        <v>433</v>
      </c>
      <c r="R2" t="s">
        <v>433</v>
      </c>
      <c r="V2" t="s">
        <v>434</v>
      </c>
      <c r="W2" t="s">
        <v>434</v>
      </c>
      <c r="X2" t="s">
        <v>434</v>
      </c>
      <c r="Y2" t="s">
        <v>434</v>
      </c>
      <c r="Z2" t="s">
        <v>434</v>
      </c>
      <c r="AA2" t="s">
        <v>434</v>
      </c>
      <c r="AB2" t="s">
        <v>434</v>
      </c>
      <c r="AC2" t="s">
        <v>434</v>
      </c>
      <c r="AD2" t="s">
        <v>434</v>
      </c>
      <c r="AE2" t="s">
        <v>434</v>
      </c>
      <c r="AF2" t="s">
        <v>434</v>
      </c>
      <c r="AG2" t="s">
        <v>434</v>
      </c>
      <c r="AI2" t="s">
        <v>163</v>
      </c>
      <c r="AJ2" t="s">
        <v>163</v>
      </c>
      <c r="AK2" t="s">
        <v>163</v>
      </c>
      <c r="AL2" t="s">
        <v>163</v>
      </c>
      <c r="AM2" t="s">
        <v>163</v>
      </c>
      <c r="AN2" t="s">
        <v>163</v>
      </c>
      <c r="AO2" t="s">
        <v>163</v>
      </c>
      <c r="AP2" t="s">
        <v>163</v>
      </c>
      <c r="AQ2" t="s">
        <v>163</v>
      </c>
      <c r="AR2" t="s">
        <v>163</v>
      </c>
      <c r="AS2" t="s">
        <v>163</v>
      </c>
      <c r="AT2" t="s">
        <v>163</v>
      </c>
    </row>
    <row r="3" spans="2:46">
      <c r="C3" t="s">
        <v>434</v>
      </c>
      <c r="D3" t="s">
        <v>163</v>
      </c>
      <c r="K3">
        <v>2026</v>
      </c>
      <c r="L3">
        <v>2027</v>
      </c>
      <c r="M3">
        <v>2028</v>
      </c>
      <c r="P3">
        <v>2026</v>
      </c>
      <c r="Q3">
        <v>2027</v>
      </c>
      <c r="R3">
        <v>2028</v>
      </c>
      <c r="V3" s="183">
        <v>46023</v>
      </c>
      <c r="W3" s="183">
        <v>46054</v>
      </c>
      <c r="X3" s="183">
        <v>46082</v>
      </c>
      <c r="Y3" s="183">
        <v>46113</v>
      </c>
      <c r="Z3" s="183">
        <v>46143</v>
      </c>
      <c r="AA3" s="183">
        <v>46174</v>
      </c>
      <c r="AB3" s="183">
        <v>46204</v>
      </c>
      <c r="AC3" s="183">
        <v>46235</v>
      </c>
      <c r="AD3" s="183">
        <v>46266</v>
      </c>
      <c r="AE3" s="183">
        <v>46296</v>
      </c>
      <c r="AF3" s="183">
        <v>46327</v>
      </c>
      <c r="AG3" s="183">
        <v>46357</v>
      </c>
      <c r="AI3" s="183">
        <v>46023</v>
      </c>
      <c r="AJ3" s="183">
        <v>46054</v>
      </c>
      <c r="AK3" s="183">
        <v>46082</v>
      </c>
      <c r="AL3" s="183">
        <v>46113</v>
      </c>
      <c r="AM3" s="183">
        <v>46143</v>
      </c>
      <c r="AN3" s="183">
        <v>46174</v>
      </c>
      <c r="AO3" s="183">
        <v>46204</v>
      </c>
      <c r="AP3" s="183">
        <v>46235</v>
      </c>
      <c r="AQ3" s="183">
        <v>46266</v>
      </c>
      <c r="AR3" s="183">
        <v>46296</v>
      </c>
      <c r="AS3" s="183">
        <v>46327</v>
      </c>
      <c r="AT3" s="183">
        <v>46357</v>
      </c>
    </row>
    <row r="4" spans="2:46">
      <c r="B4" s="45" t="s">
        <v>228</v>
      </c>
      <c r="C4" s="57">
        <v>0.01</v>
      </c>
      <c r="D4" s="57">
        <v>2.5000000000000001E-2</v>
      </c>
      <c r="K4" s="46">
        <f>-'Sales Budget Summary'!F4*'Other COS'!$C4</f>
        <v>-46.9895</v>
      </c>
      <c r="L4" s="46">
        <f>-'Sales Budget Summary'!G4*'Other COS'!$C4</f>
        <v>-49.338975000000005</v>
      </c>
      <c r="M4" s="46">
        <f>-'Sales Budget Summary'!H4*'Other COS'!$C4</f>
        <v>-51.312534000000007</v>
      </c>
      <c r="P4" s="46">
        <f>IFERROR(K4/$C4*$D4, 0)</f>
        <v>-117.47375</v>
      </c>
      <c r="Q4" s="46">
        <f>IFERROR(L4/$C4*$D4, 0)</f>
        <v>-123.34743750000001</v>
      </c>
      <c r="R4" s="46">
        <f>IFERROR(M4/$C4*$D4, 0)</f>
        <v>-128.28133500000001</v>
      </c>
      <c r="V4" s="46">
        <f>-'Sales Budget Summary'!L4*$C4</f>
        <v>-3.0960649999999998</v>
      </c>
      <c r="W4" s="46">
        <f>-'Sales Budget Summary'!M4*$C4</f>
        <v>-3.6763600000000003</v>
      </c>
      <c r="X4" s="46">
        <f>-'Sales Budget Summary'!N4*$C4</f>
        <v>-4.5609500000000001</v>
      </c>
      <c r="Y4" s="46">
        <f>-'Sales Budget Summary'!O4*$C4</f>
        <v>-3.8975075000000001</v>
      </c>
      <c r="Z4" s="46">
        <f>-'Sales Budget Summary'!P4*$C4</f>
        <v>-4.1186550000000004</v>
      </c>
      <c r="AA4" s="46">
        <f>-'Sales Budget Summary'!Q4*$C4</f>
        <v>-3.8143599999999998</v>
      </c>
      <c r="AB4" s="46">
        <f>-'Sales Budget Summary'!R4*$C4</f>
        <v>-3.8143599999999998</v>
      </c>
      <c r="AC4" s="46">
        <f>-'Sales Budget Summary'!S4*$C4</f>
        <v>-3.1509174999999998</v>
      </c>
      <c r="AD4" s="46">
        <f>-'Sales Budget Summary'!T4*$C4</f>
        <v>-4.4778025000000001</v>
      </c>
      <c r="AE4" s="46">
        <f>-'Sales Budget Summary'!U4*$C4</f>
        <v>-4.8369499999999999</v>
      </c>
      <c r="AF4" s="46">
        <f>-'Sales Budget Summary'!V4*$C4</f>
        <v>-4.1735075000000004</v>
      </c>
      <c r="AG4" s="46">
        <f>-'Sales Budget Summary'!W4*$C4</f>
        <v>-3.3720650000000001</v>
      </c>
      <c r="AI4">
        <f>-'Sales Budget Summary'!L4*$D4</f>
        <v>-7.7401625000000003</v>
      </c>
      <c r="AJ4">
        <f>-'Sales Budget Summary'!M4*$D4</f>
        <v>-9.190900000000001</v>
      </c>
      <c r="AK4">
        <f>-'Sales Budget Summary'!N4*$D4</f>
        <v>-11.402375000000001</v>
      </c>
      <c r="AL4">
        <f>-'Sales Budget Summary'!O4*$D4</f>
        <v>-9.743768750000001</v>
      </c>
      <c r="AM4">
        <f>-'Sales Budget Summary'!P4*$D4</f>
        <v>-10.296637500000001</v>
      </c>
      <c r="AN4">
        <f>-'Sales Budget Summary'!Q4*$D4</f>
        <v>-9.5358999999999998</v>
      </c>
      <c r="AO4">
        <f>-'Sales Budget Summary'!R4*$D4</f>
        <v>-9.5358999999999998</v>
      </c>
      <c r="AP4">
        <f>-'Sales Budget Summary'!S4*$D4</f>
        <v>-7.8772937499999998</v>
      </c>
      <c r="AQ4">
        <f>-'Sales Budget Summary'!T4*$D4</f>
        <v>-11.194506250000002</v>
      </c>
      <c r="AR4">
        <f>-'Sales Budget Summary'!U4*$D4</f>
        <v>-12.092375000000001</v>
      </c>
      <c r="AS4">
        <f>-'Sales Budget Summary'!V4*$D4</f>
        <v>-10.43376875</v>
      </c>
      <c r="AT4">
        <f>-'Sales Budget Summary'!W4*$D4</f>
        <v>-8.4301624999999998</v>
      </c>
    </row>
    <row r="5" spans="2:46">
      <c r="B5" s="45" t="s">
        <v>229</v>
      </c>
      <c r="C5" s="57">
        <v>0.01</v>
      </c>
      <c r="D5" s="57">
        <v>2.5000000000000001E-2</v>
      </c>
      <c r="K5" s="46">
        <f>-'Sales Budget Summary'!F5*'Other COS'!$C5</f>
        <v>-19.129000000000001</v>
      </c>
      <c r="L5" s="46">
        <f>-'Sales Budget Summary'!G5*'Other COS'!$C5</f>
        <v>-20.085450000000002</v>
      </c>
      <c r="M5" s="46">
        <f>-'Sales Budget Summary'!H5*'Other COS'!$C5</f>
        <v>-20.888868000000002</v>
      </c>
      <c r="P5" s="46">
        <f t="shared" ref="P5:P9" si="0">IFERROR(K5/$C5*$D5, 0)</f>
        <v>-47.822500000000005</v>
      </c>
      <c r="Q5" s="46">
        <f t="shared" ref="Q5:Q9" si="1">IFERROR(L5/$C5*$D5, 0)</f>
        <v>-50.213625000000008</v>
      </c>
      <c r="R5" s="46">
        <f t="shared" ref="R5:R9" si="2">IFERROR(M5/$C5*$D5, 0)</f>
        <v>-52.222170000000006</v>
      </c>
      <c r="V5" s="46">
        <f>-'Sales Budget Summary'!L5*$C5</f>
        <v>-1.2424300000000001</v>
      </c>
      <c r="W5" s="46">
        <f>-'Sales Budget Summary'!M5*$C5</f>
        <v>-1.48892</v>
      </c>
      <c r="X5" s="46">
        <f>-'Sales Budget Summary'!N5*$C5</f>
        <v>-1.8438999999999999</v>
      </c>
      <c r="Y5" s="46">
        <f>-'Sales Budget Summary'!O5*$C5</f>
        <v>-1.5776650000000001</v>
      </c>
      <c r="Z5" s="46">
        <f>-'Sales Budget Summary'!P5*$C5</f>
        <v>-1.6664099999999999</v>
      </c>
      <c r="AA5" s="46">
        <f>-'Sales Budget Summary'!Q5*$C5</f>
        <v>-1.55792</v>
      </c>
      <c r="AB5" s="46">
        <f>-'Sales Budget Summary'!R5*$C5</f>
        <v>-1.55792</v>
      </c>
      <c r="AC5" s="46">
        <f>-'Sales Budget Summary'!S5*$C5</f>
        <v>-1.291685</v>
      </c>
      <c r="AD5" s="46">
        <f>-'Sales Budget Summary'!T5*$C5</f>
        <v>-1.8241550000000002</v>
      </c>
      <c r="AE5" s="46">
        <f>-'Sales Budget Summary'!U5*$C5</f>
        <v>-1.9819</v>
      </c>
      <c r="AF5" s="46">
        <f>-'Sales Budget Summary'!V5*$C5</f>
        <v>-1.715665</v>
      </c>
      <c r="AG5" s="46">
        <f>-'Sales Budget Summary'!W5*$C5</f>
        <v>-1.38043</v>
      </c>
      <c r="AI5">
        <f>-'Sales Budget Summary'!L5*$D5</f>
        <v>-3.1060750000000006</v>
      </c>
      <c r="AJ5">
        <f>-'Sales Budget Summary'!M5*$D5</f>
        <v>-3.7223000000000002</v>
      </c>
      <c r="AK5">
        <f>-'Sales Budget Summary'!N5*$D5</f>
        <v>-4.60975</v>
      </c>
      <c r="AL5">
        <f>-'Sales Budget Summary'!O5*$D5</f>
        <v>-3.9441625000000005</v>
      </c>
      <c r="AM5">
        <f>-'Sales Budget Summary'!P5*$D5</f>
        <v>-4.1660250000000003</v>
      </c>
      <c r="AN5">
        <f>-'Sales Budget Summary'!Q5*$D5</f>
        <v>-3.8948</v>
      </c>
      <c r="AO5">
        <f>-'Sales Budget Summary'!R5*$D5</f>
        <v>-3.8948</v>
      </c>
      <c r="AP5">
        <f>-'Sales Budget Summary'!S5*$D5</f>
        <v>-3.2292125</v>
      </c>
      <c r="AQ5">
        <f>-'Sales Budget Summary'!T5*$D5</f>
        <v>-4.5603875</v>
      </c>
      <c r="AR5">
        <f>-'Sales Budget Summary'!U5*$D5</f>
        <v>-4.9547500000000007</v>
      </c>
      <c r="AS5">
        <f>-'Sales Budget Summary'!V5*$D5</f>
        <v>-4.2891624999999998</v>
      </c>
      <c r="AT5">
        <f>-'Sales Budget Summary'!W5*$D5</f>
        <v>-3.4510750000000003</v>
      </c>
    </row>
    <row r="6" spans="2:46">
      <c r="B6" s="45" t="s">
        <v>230</v>
      </c>
      <c r="C6" s="57">
        <v>0.01</v>
      </c>
      <c r="D6" s="57">
        <v>2.5000000000000001E-2</v>
      </c>
      <c r="K6" s="46">
        <f>-'Sales Budget Summary'!F6*'Other COS'!$C6</f>
        <v>-7.7175000000000002</v>
      </c>
      <c r="L6" s="46">
        <f>-'Sales Budget Summary'!G6*'Other COS'!$C6</f>
        <v>-8.3349000000000011</v>
      </c>
      <c r="M6" s="46">
        <f>-'Sales Budget Summary'!H6*'Other COS'!$C6</f>
        <v>-8.9183430000000019</v>
      </c>
      <c r="P6" s="46">
        <f t="shared" si="0"/>
        <v>-19.293750000000003</v>
      </c>
      <c r="Q6" s="46">
        <f t="shared" si="1"/>
        <v>-20.837250000000004</v>
      </c>
      <c r="R6" s="46">
        <f t="shared" si="2"/>
        <v>-22.295857500000007</v>
      </c>
      <c r="V6" s="46">
        <f>-'Sales Budget Summary'!L6*$C6</f>
        <v>-0.48422500000000007</v>
      </c>
      <c r="W6" s="46">
        <f>-'Sales Budget Summary'!M6*$C6</f>
        <v>-0.59340000000000004</v>
      </c>
      <c r="X6" s="46">
        <f>-'Sales Budget Summary'!N6*$C6</f>
        <v>-0.73175000000000001</v>
      </c>
      <c r="Y6" s="46">
        <f>-'Sales Budget Summary'!O6*$C6</f>
        <v>-0.62798750000000003</v>
      </c>
      <c r="Z6" s="46">
        <f>-'Sales Budget Summary'!P6*$C6</f>
        <v>-0.66257499999999991</v>
      </c>
      <c r="AA6" s="46">
        <f>-'Sales Budget Summary'!Q6*$C6</f>
        <v>-0.63340000000000007</v>
      </c>
      <c r="AB6" s="46">
        <f>-'Sales Budget Summary'!R6*$C6</f>
        <v>-0.63340000000000007</v>
      </c>
      <c r="AC6" s="46">
        <f>-'Sales Budget Summary'!S6*$C6</f>
        <v>-0.52963749999999998</v>
      </c>
      <c r="AD6" s="46">
        <f>-'Sales Budget Summary'!T6*$C6</f>
        <v>-0.73716250000000005</v>
      </c>
      <c r="AE6" s="46">
        <f>-'Sales Budget Summary'!U6*$C6</f>
        <v>-0.81174999999999997</v>
      </c>
      <c r="AF6" s="46">
        <f>-'Sales Budget Summary'!V6*$C6</f>
        <v>-0.70798749999999999</v>
      </c>
      <c r="AG6" s="46">
        <f>-'Sales Budget Summary'!W6*$C6</f>
        <v>-0.56422500000000009</v>
      </c>
      <c r="AI6">
        <f>-'Sales Budget Summary'!L6*$D6</f>
        <v>-1.2105625000000002</v>
      </c>
      <c r="AJ6">
        <f>-'Sales Budget Summary'!M6*$D6</f>
        <v>-1.4835000000000003</v>
      </c>
      <c r="AK6">
        <f>-'Sales Budget Summary'!N6*$D6</f>
        <v>-1.829375</v>
      </c>
      <c r="AL6">
        <f>-'Sales Budget Summary'!O6*$D6</f>
        <v>-1.5699687500000001</v>
      </c>
      <c r="AM6">
        <f>-'Sales Budget Summary'!P6*$D6</f>
        <v>-1.6564375</v>
      </c>
      <c r="AN6">
        <f>-'Sales Budget Summary'!Q6*$D6</f>
        <v>-1.5835000000000001</v>
      </c>
      <c r="AO6">
        <f>-'Sales Budget Summary'!R6*$D6</f>
        <v>-1.5835000000000001</v>
      </c>
      <c r="AP6">
        <f>-'Sales Budget Summary'!S6*$D6</f>
        <v>-1.3240937500000001</v>
      </c>
      <c r="AQ6">
        <f>-'Sales Budget Summary'!T6*$D6</f>
        <v>-1.8429062500000002</v>
      </c>
      <c r="AR6">
        <f>-'Sales Budget Summary'!U6*$D6</f>
        <v>-2.0293749999999999</v>
      </c>
      <c r="AS6">
        <f>-'Sales Budget Summary'!V6*$D6</f>
        <v>-1.7699687500000001</v>
      </c>
      <c r="AT6">
        <f>-'Sales Budget Summary'!W6*$D6</f>
        <v>-1.4105625000000002</v>
      </c>
    </row>
    <row r="7" spans="2:46">
      <c r="B7" s="45" t="s">
        <v>231</v>
      </c>
      <c r="C7" s="57">
        <v>0.01</v>
      </c>
      <c r="D7" s="57">
        <v>2.5000000000000001E-2</v>
      </c>
      <c r="K7" s="46">
        <f>-'Sales Budget Summary'!F7*'Other COS'!$C7</f>
        <v>-2.2749999999999999</v>
      </c>
      <c r="L7" s="46">
        <f>-'Sales Budget Summary'!G7*'Other COS'!$C7</f>
        <v>-3.1850000000000001</v>
      </c>
      <c r="M7" s="46">
        <f>-'Sales Budget Summary'!H7*'Other COS'!$C7</f>
        <v>-4.1405000000000003</v>
      </c>
      <c r="P7" s="46">
        <f t="shared" si="0"/>
        <v>-5.6875</v>
      </c>
      <c r="Q7" s="46">
        <f t="shared" si="1"/>
        <v>-7.9625000000000004</v>
      </c>
      <c r="R7" s="46">
        <f t="shared" si="2"/>
        <v>-10.35125</v>
      </c>
      <c r="V7" s="46">
        <f>-'Sales Budget Summary'!L7*$C7</f>
        <v>-0.12425000000000003</v>
      </c>
      <c r="W7" s="46">
        <f>-'Sales Budget Summary'!M7*$C7</f>
        <v>-0.16700000000000001</v>
      </c>
      <c r="X7" s="46">
        <f>-'Sales Budget Summary'!N7*$C7</f>
        <v>-0.20250000000000001</v>
      </c>
      <c r="Y7" s="46">
        <f>-'Sales Budget Summary'!O7*$C7</f>
        <v>-0.17587499999999998</v>
      </c>
      <c r="Z7" s="46">
        <f>-'Sales Budget Summary'!P7*$C7</f>
        <v>-0.18475000000000003</v>
      </c>
      <c r="AA7" s="46">
        <f>-'Sales Budget Summary'!Q7*$C7</f>
        <v>-0.192</v>
      </c>
      <c r="AB7" s="46">
        <f>-'Sales Budget Summary'!R7*$C7</f>
        <v>-0.192</v>
      </c>
      <c r="AC7" s="46">
        <f>-'Sales Budget Summary'!S7*$C7</f>
        <v>-0.16537500000000002</v>
      </c>
      <c r="AD7" s="46">
        <f>-'Sales Budget Summary'!T7*$C7</f>
        <v>-0.21862500000000001</v>
      </c>
      <c r="AE7" s="46">
        <f>-'Sales Budget Summary'!U7*$C7</f>
        <v>-0.2525</v>
      </c>
      <c r="AF7" s="46">
        <f>-'Sales Budget Summary'!V7*$C7</f>
        <v>-0.22587499999999999</v>
      </c>
      <c r="AG7" s="46">
        <f>-'Sales Budget Summary'!W7*$C7</f>
        <v>-0.17425000000000002</v>
      </c>
      <c r="AI7">
        <f>-'Sales Budget Summary'!L7*$D7</f>
        <v>-0.3106250000000001</v>
      </c>
      <c r="AJ7">
        <f>-'Sales Budget Summary'!M7*$D7</f>
        <v>-0.41749999999999998</v>
      </c>
      <c r="AK7">
        <f>-'Sales Budget Summary'!N7*$D7</f>
        <v>-0.50624999999999998</v>
      </c>
      <c r="AL7">
        <f>-'Sales Budget Summary'!O7*$D7</f>
        <v>-0.43968750000000001</v>
      </c>
      <c r="AM7">
        <f>-'Sales Budget Summary'!P7*$D7</f>
        <v>-0.46187500000000004</v>
      </c>
      <c r="AN7">
        <f>-'Sales Budget Summary'!Q7*$D7</f>
        <v>-0.48</v>
      </c>
      <c r="AO7">
        <f>-'Sales Budget Summary'!R7*$D7</f>
        <v>-0.48</v>
      </c>
      <c r="AP7">
        <f>-'Sales Budget Summary'!S7*$D7</f>
        <v>-0.41343750000000007</v>
      </c>
      <c r="AQ7">
        <f>-'Sales Budget Summary'!T7*$D7</f>
        <v>-0.54656250000000006</v>
      </c>
      <c r="AR7">
        <f>-'Sales Budget Summary'!U7*$D7</f>
        <v>-0.63125000000000009</v>
      </c>
      <c r="AS7">
        <f>-'Sales Budget Summary'!V7*$D7</f>
        <v>-0.56468750000000001</v>
      </c>
      <c r="AT7">
        <f>-'Sales Budget Summary'!W7*$D7</f>
        <v>-0.43562500000000004</v>
      </c>
    </row>
    <row r="8" spans="2:46">
      <c r="B8" s="45" t="s">
        <v>232</v>
      </c>
      <c r="C8" s="57">
        <v>0.01</v>
      </c>
      <c r="D8" s="57">
        <v>2.5000000000000001E-2</v>
      </c>
      <c r="K8" s="46">
        <f>-'Sales Budget Summary'!F8*'Other COS'!$C8</f>
        <v>-1.58975</v>
      </c>
      <c r="L8" s="46">
        <f>-'Sales Budget Summary'!G8*'Other COS'!$C8</f>
        <v>-2.8615499999999998</v>
      </c>
      <c r="M8" s="46">
        <f>-'Sales Budget Summary'!H8*'Other COS'!$C8</f>
        <v>-4.5784799999999999</v>
      </c>
      <c r="P8" s="46">
        <f t="shared" si="0"/>
        <v>-3.9743750000000002</v>
      </c>
      <c r="Q8" s="46">
        <f t="shared" si="1"/>
        <v>-7.1538749999999993</v>
      </c>
      <c r="R8" s="46">
        <f t="shared" si="2"/>
        <v>-11.446199999999999</v>
      </c>
      <c r="V8" s="46">
        <f>-'Sales Budget Summary'!L8*$C8</f>
        <v>-4.1282500000000014E-2</v>
      </c>
      <c r="W8" s="46">
        <f>-'Sales Budget Summary'!M8*$C8</f>
        <v>-9.7180000000000002E-2</v>
      </c>
      <c r="X8" s="46">
        <f>-'Sales Budget Summary'!N8*$C8</f>
        <v>-0.10897500000000002</v>
      </c>
      <c r="Y8" s="46">
        <f>-'Sales Budget Summary'!O8*$C8</f>
        <v>-0.10012874999999999</v>
      </c>
      <c r="Z8" s="46">
        <f>-'Sales Budget Summary'!P8*$C8</f>
        <v>-0.1030775</v>
      </c>
      <c r="AA8" s="46">
        <f>-'Sales Budget Summary'!Q8*$C8</f>
        <v>-0.14718000000000001</v>
      </c>
      <c r="AB8" s="46">
        <f>-'Sales Budget Summary'!R8*$C8</f>
        <v>-0.14718000000000001</v>
      </c>
      <c r="AC8" s="46">
        <f>-'Sales Budget Summary'!S8*$C8</f>
        <v>-0.13833375000000001</v>
      </c>
      <c r="AD8" s="46">
        <f>-'Sales Budget Summary'!T8*$C8</f>
        <v>-0.15602625000000001</v>
      </c>
      <c r="AE8" s="46">
        <f>-'Sales Budget Summary'!U8*$C8</f>
        <v>-0.20897500000000002</v>
      </c>
      <c r="AF8" s="46">
        <f>-'Sales Budget Summary'!V8*$C8</f>
        <v>-0.20012875000000002</v>
      </c>
      <c r="AG8" s="46">
        <f>-'Sales Budget Summary'!W8*$C8</f>
        <v>-0.14128250000000001</v>
      </c>
      <c r="AI8">
        <f>-'Sales Budget Summary'!L8*$D8</f>
        <v>-0.10320625000000004</v>
      </c>
      <c r="AJ8">
        <f>-'Sales Budget Summary'!M8*$D8</f>
        <v>-0.24295</v>
      </c>
      <c r="AK8">
        <f>-'Sales Budget Summary'!N8*$D8</f>
        <v>-0.27243750000000005</v>
      </c>
      <c r="AL8">
        <f>-'Sales Budget Summary'!O8*$D8</f>
        <v>-0.25032187499999997</v>
      </c>
      <c r="AM8">
        <f>-'Sales Budget Summary'!P8*$D8</f>
        <v>-0.25769375</v>
      </c>
      <c r="AN8">
        <f>-'Sales Budget Summary'!Q8*$D8</f>
        <v>-0.36795</v>
      </c>
      <c r="AO8">
        <f>-'Sales Budget Summary'!R8*$D8</f>
        <v>-0.36795</v>
      </c>
      <c r="AP8">
        <f>-'Sales Budget Summary'!S8*$D8</f>
        <v>-0.34583437500000003</v>
      </c>
      <c r="AQ8">
        <f>-'Sales Budget Summary'!T8*$D8</f>
        <v>-0.39006562500000003</v>
      </c>
      <c r="AR8">
        <f>-'Sales Budget Summary'!U8*$D8</f>
        <v>-0.5224375</v>
      </c>
      <c r="AS8">
        <f>-'Sales Budget Summary'!V8*$D8</f>
        <v>-0.50032187500000003</v>
      </c>
      <c r="AT8">
        <f>-'Sales Budget Summary'!W8*$D8</f>
        <v>-0.35320625</v>
      </c>
    </row>
    <row r="9" spans="2:46">
      <c r="B9" s="45" t="s">
        <v>233</v>
      </c>
      <c r="C9" s="57">
        <v>0.01</v>
      </c>
      <c r="D9" s="57">
        <v>2.5000000000000001E-2</v>
      </c>
      <c r="K9" s="46">
        <f>-'Sales Budget Summary'!F9*'Other COS'!$C9</f>
        <v>-0.67500000000000004</v>
      </c>
      <c r="L9" s="46">
        <f>-'Sales Budget Summary'!G9*'Other COS'!$C9</f>
        <v>-1.35</v>
      </c>
      <c r="M9" s="46">
        <f>-'Sales Budget Summary'!H9*'Other COS'!$C9</f>
        <v>-2.4300000000000002</v>
      </c>
      <c r="P9" s="46">
        <f t="shared" si="0"/>
        <v>-1.6875</v>
      </c>
      <c r="Q9" s="46">
        <f t="shared" si="1"/>
        <v>-3.375</v>
      </c>
      <c r="R9" s="46">
        <f t="shared" si="2"/>
        <v>-6.0750000000000002</v>
      </c>
      <c r="V9" s="46">
        <f>-'Sales Budget Summary'!L9*$C9</f>
        <v>-1.2250000000000004E-2</v>
      </c>
      <c r="W9" s="46">
        <f>-'Sales Budget Summary'!M9*$C9</f>
        <v>-3.9E-2</v>
      </c>
      <c r="X9" s="46">
        <f>-'Sales Budget Summary'!N9*$C9</f>
        <v>-4.2500000000000003E-2</v>
      </c>
      <c r="Y9" s="46">
        <f>-'Sales Budget Summary'!O9*$C9</f>
        <v>-3.9875000000000001E-2</v>
      </c>
      <c r="Z9" s="46">
        <f>-'Sales Budget Summary'!P9*$C9</f>
        <v>-4.0750000000000001E-2</v>
      </c>
      <c r="AA9" s="46">
        <f>-'Sales Budget Summary'!Q9*$C9</f>
        <v>-6.4000000000000001E-2</v>
      </c>
      <c r="AB9" s="46">
        <f>-'Sales Budget Summary'!R9*$C9</f>
        <v>-6.4000000000000001E-2</v>
      </c>
      <c r="AC9" s="46">
        <f>-'Sales Budget Summary'!S9*$C9</f>
        <v>-6.1375000000000006E-2</v>
      </c>
      <c r="AD9" s="46">
        <f>-'Sales Budget Summary'!T9*$C9</f>
        <v>-6.6625000000000004E-2</v>
      </c>
      <c r="AE9" s="46">
        <f>-'Sales Budget Summary'!U9*$C9</f>
        <v>-9.2499999999999999E-2</v>
      </c>
      <c r="AF9" s="46">
        <f>-'Sales Budget Summary'!V9*$C9</f>
        <v>-8.987500000000001E-2</v>
      </c>
      <c r="AG9" s="46">
        <f>-'Sales Budget Summary'!W9*$C9</f>
        <v>-6.225E-2</v>
      </c>
      <c r="AI9">
        <f>-'Sales Budget Summary'!L9*$D9</f>
        <v>-3.062500000000001E-2</v>
      </c>
      <c r="AJ9">
        <f>-'Sales Budget Summary'!M9*$D9</f>
        <v>-9.7500000000000003E-2</v>
      </c>
      <c r="AK9">
        <f>-'Sales Budget Summary'!N9*$D9</f>
        <v>-0.10625000000000001</v>
      </c>
      <c r="AL9">
        <f>-'Sales Budget Summary'!O9*$D9</f>
        <v>-9.9687499999999998E-2</v>
      </c>
      <c r="AM9">
        <f>-'Sales Budget Summary'!P9*$D9</f>
        <v>-0.10187500000000001</v>
      </c>
      <c r="AN9">
        <f>-'Sales Budget Summary'!Q9*$D9</f>
        <v>-0.16000000000000003</v>
      </c>
      <c r="AO9">
        <f>-'Sales Budget Summary'!R9*$D9</f>
        <v>-0.16000000000000003</v>
      </c>
      <c r="AP9">
        <f>-'Sales Budget Summary'!S9*$D9</f>
        <v>-0.1534375</v>
      </c>
      <c r="AQ9">
        <f>-'Sales Budget Summary'!T9*$D9</f>
        <v>-0.1665625</v>
      </c>
      <c r="AR9">
        <f>-'Sales Budget Summary'!U9*$D9</f>
        <v>-0.23125000000000001</v>
      </c>
      <c r="AS9">
        <f>-'Sales Budget Summary'!V9*$D9</f>
        <v>-0.22468750000000004</v>
      </c>
      <c r="AT9">
        <f>-'Sales Budget Summary'!W9*$D9</f>
        <v>-0.15562500000000001</v>
      </c>
    </row>
    <row r="10" spans="2:46">
      <c r="B10" s="47" t="s">
        <v>31</v>
      </c>
      <c r="K10" s="48">
        <f>SUM(K4:K9)</f>
        <v>-78.375749999999996</v>
      </c>
      <c r="L10" s="48">
        <f t="shared" ref="L10:M10" si="3">SUM(L4:L9)</f>
        <v>-85.155875000000009</v>
      </c>
      <c r="M10" s="48">
        <f t="shared" si="3"/>
        <v>-92.268725000000018</v>
      </c>
      <c r="P10" s="48">
        <f>SUM(P4:P9)</f>
        <v>-195.93937499999998</v>
      </c>
      <c r="Q10" s="48">
        <f t="shared" ref="Q10" si="4">SUM(Q4:Q9)</f>
        <v>-212.88968750000004</v>
      </c>
      <c r="R10" s="48">
        <f t="shared" ref="R10" si="5">SUM(R4:R9)</f>
        <v>-230.67181250000002</v>
      </c>
      <c r="V10" s="48">
        <f t="shared" ref="V10:AT10" si="6">SUM(V4:V9)</f>
        <v>-5.0005025000000005</v>
      </c>
      <c r="W10" s="48">
        <f t="shared" si="6"/>
        <v>-6.0618599999999994</v>
      </c>
      <c r="X10" s="48">
        <f t="shared" si="6"/>
        <v>-7.4905749999999998</v>
      </c>
      <c r="Y10" s="48">
        <f t="shared" si="6"/>
        <v>-6.4190387499999995</v>
      </c>
      <c r="Z10" s="48">
        <f t="shared" si="6"/>
        <v>-6.7762175000000004</v>
      </c>
      <c r="AA10" s="48">
        <f t="shared" si="6"/>
        <v>-6.4088599999999998</v>
      </c>
      <c r="AB10" s="48">
        <f t="shared" si="6"/>
        <v>-6.4088599999999998</v>
      </c>
      <c r="AC10" s="48">
        <f t="shared" si="6"/>
        <v>-5.3373237499999995</v>
      </c>
      <c r="AD10" s="48">
        <f t="shared" si="6"/>
        <v>-7.480396250000001</v>
      </c>
      <c r="AE10" s="48">
        <f t="shared" si="6"/>
        <v>-8.1845749999999988</v>
      </c>
      <c r="AF10" s="48">
        <f t="shared" si="6"/>
        <v>-7.1130387500000012</v>
      </c>
      <c r="AG10" s="48">
        <f t="shared" si="6"/>
        <v>-5.6945024999999996</v>
      </c>
      <c r="AI10" s="48">
        <f t="shared" si="6"/>
        <v>-12.501256250000001</v>
      </c>
      <c r="AJ10" s="48">
        <f t="shared" si="6"/>
        <v>-15.154650000000004</v>
      </c>
      <c r="AK10" s="48">
        <f t="shared" si="6"/>
        <v>-18.726437499999999</v>
      </c>
      <c r="AL10" s="48">
        <f t="shared" si="6"/>
        <v>-16.047596875000004</v>
      </c>
      <c r="AM10" s="48">
        <f t="shared" si="6"/>
        <v>-16.94054375</v>
      </c>
      <c r="AN10" s="48">
        <f t="shared" si="6"/>
        <v>-16.02215</v>
      </c>
      <c r="AO10" s="48">
        <f t="shared" si="6"/>
        <v>-16.02215</v>
      </c>
      <c r="AP10" s="48">
        <f t="shared" si="6"/>
        <v>-13.343309375</v>
      </c>
      <c r="AQ10" s="48">
        <f t="shared" si="6"/>
        <v>-18.700990624999999</v>
      </c>
      <c r="AR10" s="48">
        <f t="shared" si="6"/>
        <v>-20.461437500000002</v>
      </c>
      <c r="AS10" s="48">
        <f t="shared" si="6"/>
        <v>-17.782596875000003</v>
      </c>
      <c r="AT10" s="48">
        <f t="shared" si="6"/>
        <v>-14.236256250000002</v>
      </c>
    </row>
    <row r="11" spans="2:46">
      <c r="B11" s="49"/>
      <c r="K11" s="50"/>
      <c r="L11" s="50"/>
      <c r="M11" s="50"/>
      <c r="P11" s="50"/>
      <c r="Q11" s="50"/>
      <c r="R11" s="50"/>
    </row>
    <row r="12" spans="2:46">
      <c r="B12" s="44" t="s">
        <v>234</v>
      </c>
      <c r="C12" s="9">
        <v>0.08</v>
      </c>
      <c r="K12" s="46">
        <f>-'Sales Budget Summary'!F12*'Other COS'!$C12</f>
        <v>-25.736000000000001</v>
      </c>
      <c r="L12" s="46">
        <f>-'Sales Budget Summary'!G12*'Other COS'!$C12</f>
        <v>-38.603999999999999</v>
      </c>
      <c r="M12" s="46">
        <f>-'Sales Budget Summary'!H12*'Other COS'!$C12</f>
        <v>-54.045599999999993</v>
      </c>
      <c r="P12" s="46">
        <f t="shared" ref="P12:R13" si="7">IFERROR(K12/$C12*$D12, 0)</f>
        <v>0</v>
      </c>
      <c r="Q12" s="46">
        <f t="shared" si="7"/>
        <v>0</v>
      </c>
      <c r="R12" s="46">
        <f t="shared" si="7"/>
        <v>0</v>
      </c>
      <c r="V12" s="46">
        <f>-'Sales Budget Summary'!L12*$C12</f>
        <v>-1.5468799999999998</v>
      </c>
      <c r="W12" s="46">
        <f>-'Sales Budget Summary'!M12*$C12</f>
        <v>-1.8668799999999999</v>
      </c>
      <c r="X12" s="46">
        <f>-'Sales Budget Summary'!N12*$C12</f>
        <v>-2.0602399999999998</v>
      </c>
      <c r="Y12" s="46">
        <f>-'Sales Budget Summary'!O12*$C12</f>
        <v>-2.0602399999999998</v>
      </c>
      <c r="Z12" s="46">
        <f>-'Sales Budget Summary'!P12*$C12</f>
        <v>-2.0602399999999998</v>
      </c>
      <c r="AA12" s="46">
        <f>-'Sales Budget Summary'!Q12*$C12</f>
        <v>-2.0902000000000003</v>
      </c>
      <c r="AB12" s="46">
        <f>-'Sales Budget Summary'!R12*$C12</f>
        <v>-1.9935200000000002</v>
      </c>
      <c r="AC12" s="46">
        <f>-'Sales Budget Summary'!S12*$C12</f>
        <v>-1.80016</v>
      </c>
      <c r="AD12" s="46">
        <f>-'Sales Budget Summary'!T12*$C12</f>
        <v>-2.4769200000000002</v>
      </c>
      <c r="AE12" s="46">
        <f>-'Sales Budget Summary'!U12*$C12</f>
        <v>-2.9902800000000003</v>
      </c>
      <c r="AF12" s="46">
        <f>-'Sales Budget Summary'!V12*$C12</f>
        <v>-2.70024</v>
      </c>
      <c r="AG12" s="46">
        <f>-'Sales Budget Summary'!W12*$C12</f>
        <v>-2.0902000000000003</v>
      </c>
    </row>
    <row r="13" spans="2:46">
      <c r="B13" s="44" t="s">
        <v>235</v>
      </c>
      <c r="C13" s="9">
        <v>0.08</v>
      </c>
      <c r="K13" s="46">
        <f>-'Sales Budget Summary'!F13*'Other COS'!$C13</f>
        <v>-14</v>
      </c>
      <c r="L13" s="46">
        <f>-'Sales Budget Summary'!G13*'Other COS'!$C13</f>
        <v>-14</v>
      </c>
      <c r="M13" s="46">
        <f>-'Sales Budget Summary'!H13*'Other COS'!$C13</f>
        <v>-14</v>
      </c>
      <c r="P13" s="46">
        <f t="shared" si="7"/>
        <v>0</v>
      </c>
      <c r="Q13" s="46">
        <f t="shared" si="7"/>
        <v>0</v>
      </c>
      <c r="R13" s="46">
        <f t="shared" si="7"/>
        <v>0</v>
      </c>
      <c r="V13" s="46">
        <f>-'Sales Budget Summary'!L13*$C13</f>
        <v>-1.1200000000000001</v>
      </c>
      <c r="W13" s="46">
        <f>-'Sales Budget Summary'!M13*$C13</f>
        <v>-1.1200000000000001</v>
      </c>
      <c r="X13" s="46">
        <f>-'Sales Budget Summary'!N13*$C13</f>
        <v>-1.26</v>
      </c>
      <c r="Y13" s="46">
        <f>-'Sales Budget Summary'!O13*$C13</f>
        <v>-1.26</v>
      </c>
      <c r="Z13" s="46">
        <f>-'Sales Budget Summary'!P13*$C13</f>
        <v>-1.26</v>
      </c>
      <c r="AA13" s="46">
        <f>-'Sales Budget Summary'!Q13*$C13</f>
        <v>-1.05</v>
      </c>
      <c r="AB13" s="46">
        <f>-'Sales Budget Summary'!R13*$C13</f>
        <v>-0.9800000000000002</v>
      </c>
      <c r="AC13" s="46">
        <f>-'Sales Budget Summary'!S13*$C13</f>
        <v>-0.84</v>
      </c>
      <c r="AD13" s="46">
        <f>-'Sales Budget Summary'!T13*$C13</f>
        <v>-1.33</v>
      </c>
      <c r="AE13" s="46">
        <f>-'Sales Budget Summary'!U13*$C13</f>
        <v>-1.47</v>
      </c>
      <c r="AF13" s="46">
        <f>-'Sales Budget Summary'!V13*$C13</f>
        <v>-1.26</v>
      </c>
      <c r="AG13" s="46">
        <f>-'Sales Budget Summary'!W13*$C13</f>
        <v>-1.05</v>
      </c>
    </row>
    <row r="14" spans="2:46">
      <c r="B14" s="51" t="s">
        <v>236</v>
      </c>
      <c r="K14" s="48">
        <f>SUM(K12:K13)</f>
        <v>-39.736000000000004</v>
      </c>
      <c r="L14" s="48">
        <f t="shared" ref="L14:M14" si="8">SUM(L12:L13)</f>
        <v>-52.603999999999999</v>
      </c>
      <c r="M14" s="48">
        <f t="shared" si="8"/>
        <v>-68.045599999999993</v>
      </c>
      <c r="P14" s="48">
        <f>SUM(P12:P13)</f>
        <v>0</v>
      </c>
      <c r="Q14" s="48">
        <f t="shared" ref="Q14:R14" si="9">SUM(Q12:Q13)</f>
        <v>0</v>
      </c>
      <c r="R14" s="48">
        <f t="shared" si="9"/>
        <v>0</v>
      </c>
      <c r="V14" s="48">
        <f t="shared" ref="V14:AG14" si="10">SUM(V12:V13)</f>
        <v>-2.6668799999999999</v>
      </c>
      <c r="W14" s="48">
        <f t="shared" si="10"/>
        <v>-2.9868800000000002</v>
      </c>
      <c r="X14" s="48">
        <f t="shared" si="10"/>
        <v>-3.3202400000000001</v>
      </c>
      <c r="Y14" s="48">
        <f t="shared" si="10"/>
        <v>-3.3202400000000001</v>
      </c>
      <c r="Z14" s="48">
        <f t="shared" si="10"/>
        <v>-3.3202400000000001</v>
      </c>
      <c r="AA14" s="48">
        <f t="shared" si="10"/>
        <v>-3.1402000000000001</v>
      </c>
      <c r="AB14" s="48">
        <f t="shared" si="10"/>
        <v>-2.9735200000000006</v>
      </c>
      <c r="AC14" s="48">
        <f t="shared" si="10"/>
        <v>-2.6401599999999998</v>
      </c>
      <c r="AD14" s="48">
        <f t="shared" si="10"/>
        <v>-3.8069200000000003</v>
      </c>
      <c r="AE14" s="48">
        <f t="shared" si="10"/>
        <v>-4.46028</v>
      </c>
      <c r="AF14" s="48">
        <f t="shared" si="10"/>
        <v>-3.9602399999999998</v>
      </c>
      <c r="AG14" s="48">
        <f t="shared" si="10"/>
        <v>-3.1402000000000001</v>
      </c>
    </row>
    <row r="15" spans="2:46">
      <c r="B15" s="49"/>
      <c r="K15" s="50"/>
      <c r="L15" s="50"/>
      <c r="M15" s="50"/>
      <c r="P15" s="50"/>
      <c r="Q15" s="50"/>
      <c r="R15" s="50"/>
    </row>
    <row r="16" spans="2:46">
      <c r="B16" s="45" t="s">
        <v>237</v>
      </c>
      <c r="C16" s="9">
        <v>7.0000000000000007E-2</v>
      </c>
      <c r="K16" s="46">
        <f>-'Sales Budget Summary'!F16*'Other COS'!$C16</f>
        <v>-68.826940000000008</v>
      </c>
      <c r="L16" s="46">
        <f>-'Sales Budget Summary'!G16*'Other COS'!$C16</f>
        <v>-89.47502200000001</v>
      </c>
      <c r="M16" s="46">
        <f>-'Sales Budget Summary'!H16*'Other COS'!$C16</f>
        <v>-107.37002640000001</v>
      </c>
      <c r="P16" s="46">
        <f t="shared" ref="P16:R17" si="11">IFERROR(K16/$C16*$D16, 0)</f>
        <v>0</v>
      </c>
      <c r="Q16" s="46">
        <f t="shared" si="11"/>
        <v>0</v>
      </c>
      <c r="R16" s="46">
        <f t="shared" si="11"/>
        <v>0</v>
      </c>
      <c r="V16" s="46">
        <f>-'Sales Budget Summary'!L16*$C16</f>
        <v>-4.3861552000000001</v>
      </c>
      <c r="W16" s="46">
        <f>-'Sales Budget Summary'!M16*$C16</f>
        <v>-5.0861552000000012</v>
      </c>
      <c r="X16" s="46">
        <f>-'Sales Budget Summary'!N16*$C16</f>
        <v>-5.6344246000000009</v>
      </c>
      <c r="Y16" s="46">
        <f>-'Sales Budget Summary'!O16*$C16</f>
        <v>-5.6344246000000009</v>
      </c>
      <c r="Z16" s="46">
        <f>-'Sales Budget Summary'!P16*$C16</f>
        <v>-5.6344246000000009</v>
      </c>
      <c r="AA16" s="46">
        <f>-'Sales Budget Summary'!Q16*$C16</f>
        <v>-5.7861552000000014</v>
      </c>
      <c r="AB16" s="46">
        <f>-'Sales Budget Summary'!R16*$C16</f>
        <v>-5.7861552000000014</v>
      </c>
      <c r="AC16" s="46">
        <f>-'Sales Budget Summary'!S16*$C16</f>
        <v>-4.6896164000000011</v>
      </c>
      <c r="AD16" s="46">
        <f>-'Sales Budget Summary'!T16*$C16</f>
        <v>-6.3344246000000011</v>
      </c>
      <c r="AE16" s="46">
        <f>-'Sales Budget Summary'!U16*$C16</f>
        <v>-7.582694</v>
      </c>
      <c r="AF16" s="46">
        <f>-'Sales Budget Summary'!V16*$C16</f>
        <v>-7.0344246000000012</v>
      </c>
      <c r="AG16" s="46">
        <f>-'Sales Budget Summary'!W16*$C16</f>
        <v>-5.2378858000000017</v>
      </c>
    </row>
    <row r="17" spans="2:46">
      <c r="B17" s="45" t="s">
        <v>64</v>
      </c>
      <c r="C17" s="9">
        <v>7.0000000000000007E-2</v>
      </c>
      <c r="K17" s="46">
        <f>-'Sales Budget Summary'!F17*'Other COS'!$C17</f>
        <v>-1.4000000000000001</v>
      </c>
      <c r="L17" s="46">
        <f>-'Sales Budget Summary'!G17*'Other COS'!$C17</f>
        <v>-1.4000000000000001</v>
      </c>
      <c r="M17" s="46">
        <f>-'Sales Budget Summary'!H17*'Other COS'!$C17</f>
        <v>-1.4000000000000001</v>
      </c>
      <c r="P17" s="46">
        <f t="shared" si="11"/>
        <v>0</v>
      </c>
      <c r="Q17" s="46">
        <f t="shared" si="11"/>
        <v>0</v>
      </c>
      <c r="R17" s="46">
        <f t="shared" si="11"/>
        <v>0</v>
      </c>
      <c r="V17" s="46">
        <f>-'Sales Budget Summary'!L17*$C17</f>
        <v>-0.11200000000000002</v>
      </c>
      <c r="W17" s="46">
        <f>-'Sales Budget Summary'!M17*$C17</f>
        <v>-0.11200000000000002</v>
      </c>
      <c r="X17" s="46">
        <f>-'Sales Budget Summary'!N17*$C17</f>
        <v>-0.12600000000000003</v>
      </c>
      <c r="Y17" s="46">
        <f>-'Sales Budget Summary'!O17*$C17</f>
        <v>-0.12600000000000003</v>
      </c>
      <c r="Z17" s="46">
        <f>-'Sales Budget Summary'!P17*$C17</f>
        <v>-0.12600000000000003</v>
      </c>
      <c r="AA17" s="46">
        <f>-'Sales Budget Summary'!Q17*$C17</f>
        <v>-0.11200000000000002</v>
      </c>
      <c r="AB17" s="46">
        <f>-'Sales Budget Summary'!R17*$C17</f>
        <v>-0.11200000000000002</v>
      </c>
      <c r="AC17" s="46">
        <f>-'Sales Budget Summary'!S17*$C17</f>
        <v>-8.4000000000000005E-2</v>
      </c>
      <c r="AD17" s="46">
        <f>-'Sales Budget Summary'!T17*$C17</f>
        <v>-0.12600000000000003</v>
      </c>
      <c r="AE17" s="46">
        <f>-'Sales Budget Summary'!U17*$C17</f>
        <v>-0.14000000000000001</v>
      </c>
      <c r="AF17" s="46">
        <f>-'Sales Budget Summary'!V17*$C17</f>
        <v>-0.12600000000000003</v>
      </c>
      <c r="AG17" s="46">
        <f>-'Sales Budget Summary'!W17*$C17</f>
        <v>-9.8000000000000018E-2</v>
      </c>
    </row>
    <row r="18" spans="2:46">
      <c r="B18" s="47" t="s">
        <v>238</v>
      </c>
      <c r="K18" s="48">
        <f>SUM(K16:K17)</f>
        <v>-70.226940000000013</v>
      </c>
      <c r="L18" s="48">
        <f t="shared" ref="L18:M18" si="12">SUM(L16:L17)</f>
        <v>-90.875022000000016</v>
      </c>
      <c r="M18" s="48">
        <f t="shared" si="12"/>
        <v>-108.77002640000002</v>
      </c>
      <c r="P18" s="48">
        <f>SUM(P16:P17)</f>
        <v>0</v>
      </c>
      <c r="Q18" s="48">
        <f t="shared" ref="Q18:R18" si="13">SUM(Q16:Q17)</f>
        <v>0</v>
      </c>
      <c r="R18" s="48">
        <f t="shared" si="13"/>
        <v>0</v>
      </c>
      <c r="V18" s="48">
        <f t="shared" ref="V18:AG18" si="14">SUM(V16:V17)</f>
        <v>-4.4981552000000002</v>
      </c>
      <c r="W18" s="48">
        <f t="shared" si="14"/>
        <v>-5.1981552000000013</v>
      </c>
      <c r="X18" s="48">
        <f t="shared" si="14"/>
        <v>-5.7604246000000012</v>
      </c>
      <c r="Y18" s="48">
        <f t="shared" si="14"/>
        <v>-5.7604246000000012</v>
      </c>
      <c r="Z18" s="48">
        <f t="shared" si="14"/>
        <v>-5.7604246000000012</v>
      </c>
      <c r="AA18" s="48">
        <f t="shared" si="14"/>
        <v>-5.8981552000000015</v>
      </c>
      <c r="AB18" s="48">
        <f t="shared" si="14"/>
        <v>-5.8981552000000015</v>
      </c>
      <c r="AC18" s="48">
        <f t="shared" si="14"/>
        <v>-4.7736164000000008</v>
      </c>
      <c r="AD18" s="48">
        <f t="shared" si="14"/>
        <v>-6.4604246000000014</v>
      </c>
      <c r="AE18" s="48">
        <f t="shared" si="14"/>
        <v>-7.7226939999999997</v>
      </c>
      <c r="AF18" s="48">
        <f t="shared" si="14"/>
        <v>-7.1604246000000016</v>
      </c>
      <c r="AG18" s="48">
        <f t="shared" si="14"/>
        <v>-5.3358858000000016</v>
      </c>
    </row>
    <row r="19" spans="2:46">
      <c r="B19" s="49"/>
      <c r="K19" s="50"/>
      <c r="L19" s="50"/>
      <c r="M19" s="50"/>
      <c r="P19" s="50"/>
      <c r="Q19" s="50"/>
      <c r="R19" s="50"/>
    </row>
    <row r="20" spans="2:46">
      <c r="B20" s="45" t="s">
        <v>239</v>
      </c>
      <c r="C20" s="9">
        <v>0</v>
      </c>
      <c r="K20" s="46">
        <f>-'Sales Budget Summary'!F20*'Other COS'!$C20</f>
        <v>0</v>
      </c>
      <c r="L20" s="46">
        <f>-'Sales Budget Summary'!G20*'Other COS'!$C20</f>
        <v>0</v>
      </c>
      <c r="M20" s="46">
        <f>-'Sales Budget Summary'!H20*'Other COS'!$C20</f>
        <v>0</v>
      </c>
      <c r="P20" s="46">
        <f t="shared" ref="P20:R26" si="15">IFERROR(K20/$C20*$D20, 0)</f>
        <v>0</v>
      </c>
      <c r="Q20" s="46">
        <f t="shared" si="15"/>
        <v>0</v>
      </c>
      <c r="R20" s="46">
        <f t="shared" si="15"/>
        <v>0</v>
      </c>
      <c r="V20" s="46">
        <f>-'Sales Budget Summary'!L20*$C20</f>
        <v>0</v>
      </c>
      <c r="W20" s="46">
        <f>-'Sales Budget Summary'!M20*$C20</f>
        <v>0</v>
      </c>
      <c r="X20" s="46">
        <f>-'Sales Budget Summary'!N20*$C20</f>
        <v>0</v>
      </c>
      <c r="Y20" s="46">
        <f>-'Sales Budget Summary'!O20*$C20</f>
        <v>0</v>
      </c>
      <c r="Z20" s="46">
        <f>-'Sales Budget Summary'!P20*$C20</f>
        <v>0</v>
      </c>
      <c r="AA20" s="46">
        <f>-'Sales Budget Summary'!Q20*$C20</f>
        <v>0</v>
      </c>
      <c r="AB20" s="46">
        <f>-'Sales Budget Summary'!R20*$C20</f>
        <v>0</v>
      </c>
      <c r="AC20" s="46">
        <f>-'Sales Budget Summary'!S20*$C20</f>
        <v>0</v>
      </c>
      <c r="AD20" s="46">
        <f>-'Sales Budget Summary'!T20*$C20</f>
        <v>0</v>
      </c>
      <c r="AE20" s="46">
        <f>-'Sales Budget Summary'!U20*$C20</f>
        <v>0</v>
      </c>
      <c r="AF20" s="46">
        <f>-'Sales Budget Summary'!V20*$C20</f>
        <v>0</v>
      </c>
      <c r="AG20" s="46">
        <f>-'Sales Budget Summary'!W20*$C20</f>
        <v>0</v>
      </c>
    </row>
    <row r="21" spans="2:46">
      <c r="B21" s="45" t="s">
        <v>240</v>
      </c>
      <c r="C21" s="9">
        <v>0.01</v>
      </c>
      <c r="K21" s="46">
        <f>-'Sales Budget Summary'!F21*'Other COS'!$C21</f>
        <v>-6.25</v>
      </c>
      <c r="L21" s="46">
        <f>-'Sales Budget Summary'!G21*'Other COS'!$C21</f>
        <v>-6.5</v>
      </c>
      <c r="M21" s="46">
        <f>-'Sales Budget Summary'!H21*'Other COS'!$C21</f>
        <v>-6.75</v>
      </c>
      <c r="P21" s="46">
        <f t="shared" si="15"/>
        <v>0</v>
      </c>
      <c r="Q21" s="46">
        <f t="shared" si="15"/>
        <v>0</v>
      </c>
      <c r="R21" s="46">
        <f t="shared" si="15"/>
        <v>0</v>
      </c>
      <c r="V21" s="46">
        <f>-'Sales Budget Summary'!L21*$C21</f>
        <v>0</v>
      </c>
      <c r="W21" s="46">
        <f>-'Sales Budget Summary'!M21*$C21</f>
        <v>-1</v>
      </c>
      <c r="X21" s="46">
        <f>-'Sales Budget Summary'!N21*$C21</f>
        <v>-0.75</v>
      </c>
      <c r="Y21" s="46">
        <f>-'Sales Budget Summary'!O21*$C21</f>
        <v>0</v>
      </c>
      <c r="Z21" s="46">
        <f>-'Sales Budget Summary'!P21*$C21</f>
        <v>-0.75</v>
      </c>
      <c r="AA21" s="46">
        <f>-'Sales Budget Summary'!Q21*$C21</f>
        <v>-0.75</v>
      </c>
      <c r="AB21" s="46">
        <f>-'Sales Budget Summary'!R21*$C21</f>
        <v>0</v>
      </c>
      <c r="AC21" s="46">
        <f>-'Sales Budget Summary'!S21*$C21</f>
        <v>-0.625</v>
      </c>
      <c r="AD21" s="46">
        <f>-'Sales Budget Summary'!T21*$C21</f>
        <v>0</v>
      </c>
      <c r="AE21" s="46">
        <f>-'Sales Budget Summary'!U21*$C21</f>
        <v>-0.87500000000000011</v>
      </c>
      <c r="AF21" s="46">
        <f>-'Sales Budget Summary'!V21*$C21</f>
        <v>-0.75</v>
      </c>
      <c r="AG21" s="46">
        <f>-'Sales Budget Summary'!W21*$C21</f>
        <v>-0.75</v>
      </c>
    </row>
    <row r="22" spans="2:46">
      <c r="B22" s="45" t="s">
        <v>241</v>
      </c>
      <c r="C22" s="9">
        <v>0.01</v>
      </c>
      <c r="K22" s="46">
        <f>-'Sales Budget Summary'!F22*'Other COS'!$C22</f>
        <v>-3.5</v>
      </c>
      <c r="L22" s="46">
        <f>-'Sales Budget Summary'!G22*'Other COS'!$C22</f>
        <v>-3.8000000000000003</v>
      </c>
      <c r="M22" s="46">
        <f>-'Sales Budget Summary'!H22*'Other COS'!$C22</f>
        <v>-4.2</v>
      </c>
      <c r="P22" s="46">
        <f t="shared" si="15"/>
        <v>0</v>
      </c>
      <c r="Q22" s="46">
        <f t="shared" si="15"/>
        <v>0</v>
      </c>
      <c r="R22" s="46">
        <f t="shared" si="15"/>
        <v>0</v>
      </c>
      <c r="V22" s="46">
        <f>-'Sales Budget Summary'!L22*$C22</f>
        <v>0</v>
      </c>
      <c r="W22" s="46">
        <f>-'Sales Budget Summary'!M22*$C22</f>
        <v>-0.70000000000000007</v>
      </c>
      <c r="X22" s="46">
        <f>-'Sales Budget Summary'!N22*$C22</f>
        <v>0</v>
      </c>
      <c r="Y22" s="46">
        <f>-'Sales Budget Summary'!O22*$C22</f>
        <v>0</v>
      </c>
      <c r="Z22" s="46">
        <f>-'Sales Budget Summary'!P22*$C22</f>
        <v>-0.875</v>
      </c>
      <c r="AA22" s="46">
        <f>-'Sales Budget Summary'!Q22*$C22</f>
        <v>0</v>
      </c>
      <c r="AB22" s="46">
        <f>-'Sales Budget Summary'!R22*$C22</f>
        <v>0</v>
      </c>
      <c r="AC22" s="46">
        <f>-'Sales Budget Summary'!S22*$C22</f>
        <v>-1.05</v>
      </c>
      <c r="AD22" s="46">
        <f>-'Sales Budget Summary'!T22*$C22</f>
        <v>0</v>
      </c>
      <c r="AE22" s="46">
        <f>-'Sales Budget Summary'!U22*$C22</f>
        <v>0</v>
      </c>
      <c r="AF22" s="46">
        <f>-'Sales Budget Summary'!V22*$C22</f>
        <v>-0.875</v>
      </c>
      <c r="AG22" s="46">
        <f>-'Sales Budget Summary'!W22*$C22</f>
        <v>0</v>
      </c>
    </row>
    <row r="23" spans="2:46">
      <c r="B23" s="45" t="s">
        <v>242</v>
      </c>
      <c r="C23" s="9">
        <v>0</v>
      </c>
      <c r="K23" s="46">
        <f>-'Sales Budget Summary'!F23*'Other COS'!$C23</f>
        <v>0</v>
      </c>
      <c r="L23" s="46">
        <f>-'Sales Budget Summary'!G23*'Other COS'!$C23</f>
        <v>0</v>
      </c>
      <c r="M23" s="46">
        <f>-'Sales Budget Summary'!H23*'Other COS'!$C23</f>
        <v>0</v>
      </c>
      <c r="P23" s="46">
        <f t="shared" si="15"/>
        <v>0</v>
      </c>
      <c r="Q23" s="46">
        <f t="shared" si="15"/>
        <v>0</v>
      </c>
      <c r="R23" s="46">
        <f t="shared" si="15"/>
        <v>0</v>
      </c>
      <c r="V23" s="46">
        <f>-'Sales Budget Summary'!L23*$C23</f>
        <v>0</v>
      </c>
      <c r="W23" s="46">
        <f>-'Sales Budget Summary'!M23*$C23</f>
        <v>0</v>
      </c>
      <c r="X23" s="46">
        <f>-'Sales Budget Summary'!N23*$C23</f>
        <v>0</v>
      </c>
      <c r="Y23" s="46">
        <f>-'Sales Budget Summary'!O23*$C23</f>
        <v>0</v>
      </c>
      <c r="Z23" s="46">
        <f>-'Sales Budget Summary'!P23*$C23</f>
        <v>0</v>
      </c>
      <c r="AA23" s="46">
        <f>-'Sales Budget Summary'!Q23*$C23</f>
        <v>0</v>
      </c>
      <c r="AB23" s="46">
        <f>-'Sales Budget Summary'!R23*$C23</f>
        <v>0</v>
      </c>
      <c r="AC23" s="46">
        <f>-'Sales Budget Summary'!S23*$C23</f>
        <v>0</v>
      </c>
      <c r="AD23" s="46">
        <f>-'Sales Budget Summary'!T23*$C23</f>
        <v>0</v>
      </c>
      <c r="AE23" s="46">
        <f>-'Sales Budget Summary'!U23*$C23</f>
        <v>0</v>
      </c>
      <c r="AF23" s="46">
        <f>-'Sales Budget Summary'!V23*$C23</f>
        <v>0</v>
      </c>
      <c r="AG23" s="46">
        <f>-'Sales Budget Summary'!W23*$C23</f>
        <v>0</v>
      </c>
    </row>
    <row r="24" spans="2:46">
      <c r="B24" s="45" t="s">
        <v>243</v>
      </c>
      <c r="C24" s="9">
        <v>0.02</v>
      </c>
      <c r="K24" s="46">
        <f>-'Sales Budget Summary'!F24*'Other COS'!$C24</f>
        <v>-0.6</v>
      </c>
      <c r="L24" s="46">
        <f>-'Sales Budget Summary'!G24*'Other COS'!$C24</f>
        <v>-0.8</v>
      </c>
      <c r="M24" s="46">
        <f>-'Sales Budget Summary'!H24*'Other COS'!$C24</f>
        <v>-1</v>
      </c>
      <c r="P24" s="46">
        <f t="shared" si="15"/>
        <v>0</v>
      </c>
      <c r="Q24" s="46">
        <f t="shared" si="15"/>
        <v>0</v>
      </c>
      <c r="R24" s="46">
        <f t="shared" si="15"/>
        <v>0</v>
      </c>
      <c r="V24" s="46">
        <f>-'Sales Budget Summary'!L24*$C24</f>
        <v>-4.8000000000000001E-2</v>
      </c>
      <c r="W24" s="46">
        <f>-'Sales Budget Summary'!M24*$C24</f>
        <v>-4.2000000000000003E-2</v>
      </c>
      <c r="X24" s="46">
        <f>-'Sales Budget Summary'!N24*$C24</f>
        <v>-0.06</v>
      </c>
      <c r="Y24" s="46">
        <f>-'Sales Budget Summary'!O24*$C24</f>
        <v>-5.4000000000000006E-2</v>
      </c>
      <c r="Z24" s="46">
        <f>-'Sales Budget Summary'!P24*$C24</f>
        <v>-5.4000000000000006E-2</v>
      </c>
      <c r="AA24" s="46">
        <f>-'Sales Budget Summary'!Q24*$C24</f>
        <v>-4.8000000000000001E-2</v>
      </c>
      <c r="AB24" s="46">
        <f>-'Sales Budget Summary'!R24*$C24</f>
        <v>-4.8000000000000001E-2</v>
      </c>
      <c r="AC24" s="46">
        <f>-'Sales Budget Summary'!S24*$C24</f>
        <v>-3.6000000000000004E-2</v>
      </c>
      <c r="AD24" s="46">
        <f>-'Sales Budget Summary'!T24*$C24</f>
        <v>-5.4000000000000006E-2</v>
      </c>
      <c r="AE24" s="46">
        <f>-'Sales Budget Summary'!U24*$C24</f>
        <v>-0.06</v>
      </c>
      <c r="AF24" s="46">
        <f>-'Sales Budget Summary'!V24*$C24</f>
        <v>-5.4000000000000006E-2</v>
      </c>
      <c r="AG24" s="46">
        <f>-'Sales Budget Summary'!W24*$C24</f>
        <v>-4.2000000000000003E-2</v>
      </c>
    </row>
    <row r="25" spans="2:46">
      <c r="B25" s="45" t="s">
        <v>244</v>
      </c>
      <c r="C25" s="9">
        <v>0.02</v>
      </c>
      <c r="K25" s="46">
        <f>-'Sales Budget Summary'!F25*'Other COS'!$C25</f>
        <v>-0.4</v>
      </c>
      <c r="L25" s="46">
        <f>-'Sales Budget Summary'!G25*'Other COS'!$C25</f>
        <v>-1</v>
      </c>
      <c r="M25" s="46">
        <f>-'Sales Budget Summary'!H25*'Other COS'!$C25</f>
        <v>-2</v>
      </c>
      <c r="P25" s="46">
        <f t="shared" si="15"/>
        <v>0</v>
      </c>
      <c r="Q25" s="46">
        <f t="shared" si="15"/>
        <v>0</v>
      </c>
      <c r="R25" s="46">
        <f t="shared" si="15"/>
        <v>0</v>
      </c>
      <c r="V25" s="46">
        <f>-'Sales Budget Summary'!L25*$C25</f>
        <v>0</v>
      </c>
      <c r="W25" s="46">
        <f>-'Sales Budget Summary'!M25*$C25</f>
        <v>0</v>
      </c>
      <c r="X25" s="46">
        <f>-'Sales Budget Summary'!N25*$C25</f>
        <v>0</v>
      </c>
      <c r="Y25" s="46">
        <f>-'Sales Budget Summary'!O25*$C25</f>
        <v>0</v>
      </c>
      <c r="Z25" s="46">
        <f>-'Sales Budget Summary'!P25*$C25</f>
        <v>0</v>
      </c>
      <c r="AA25" s="46">
        <f>-'Sales Budget Summary'!Q25*$C25</f>
        <v>-0.04</v>
      </c>
      <c r="AB25" s="46">
        <f>-'Sales Budget Summary'!R25*$C25</f>
        <v>-0.04</v>
      </c>
      <c r="AC25" s="46">
        <f>-'Sales Budget Summary'!S25*$C25</f>
        <v>-0.04</v>
      </c>
      <c r="AD25" s="46">
        <f>-'Sales Budget Summary'!T25*$C25</f>
        <v>-0.06</v>
      </c>
      <c r="AE25" s="46">
        <f>-'Sales Budget Summary'!U25*$C25</f>
        <v>-0.06</v>
      </c>
      <c r="AF25" s="46">
        <f>-'Sales Budget Summary'!V25*$C25</f>
        <v>-0.08</v>
      </c>
      <c r="AG25" s="46">
        <f>-'Sales Budget Summary'!W25*$C25</f>
        <v>-0.08</v>
      </c>
    </row>
    <row r="26" spans="2:46">
      <c r="B26" s="45" t="s">
        <v>245</v>
      </c>
      <c r="C26" s="9">
        <v>0.04</v>
      </c>
      <c r="K26" s="46">
        <f>-'Sales Budget Summary'!F26*'Other COS'!$C26</f>
        <v>-1.28</v>
      </c>
      <c r="L26" s="46">
        <f>-'Sales Budget Summary'!G26*'Other COS'!$C26</f>
        <v>-1.44</v>
      </c>
      <c r="M26" s="46">
        <f>-'Sales Budget Summary'!H26*'Other COS'!$C26</f>
        <v>-1.6</v>
      </c>
      <c r="P26" s="46">
        <f t="shared" si="15"/>
        <v>0</v>
      </c>
      <c r="Q26" s="46">
        <f t="shared" si="15"/>
        <v>0</v>
      </c>
      <c r="R26" s="46">
        <f t="shared" si="15"/>
        <v>0</v>
      </c>
      <c r="V26" s="46">
        <f>-'Sales Budget Summary'!L26*$C26</f>
        <v>-0.1024</v>
      </c>
      <c r="W26" s="46">
        <f>-'Sales Budget Summary'!M26*$C26</f>
        <v>-0.1024</v>
      </c>
      <c r="X26" s="46">
        <f>-'Sales Budget Summary'!N26*$C26</f>
        <v>-0.1152</v>
      </c>
      <c r="Y26" s="46">
        <f>-'Sales Budget Summary'!O26*$C26</f>
        <v>-0.1152</v>
      </c>
      <c r="Z26" s="46">
        <f>-'Sales Budget Summary'!P26*$C26</f>
        <v>-0.1152</v>
      </c>
      <c r="AA26" s="46">
        <f>-'Sales Budget Summary'!Q26*$C26</f>
        <v>-9.6000000000000002E-2</v>
      </c>
      <c r="AB26" s="46">
        <f>-'Sales Budget Summary'!R26*$C26</f>
        <v>-8.9600000000000013E-2</v>
      </c>
      <c r="AC26" s="46">
        <f>-'Sales Budget Summary'!S26*$C26</f>
        <v>-7.6799999999999993E-2</v>
      </c>
      <c r="AD26" s="46">
        <f>-'Sales Budget Summary'!T26*$C26</f>
        <v>-0.1216</v>
      </c>
      <c r="AE26" s="46">
        <f>-'Sales Budget Summary'!U26*$C26</f>
        <v>-0.13439999999999999</v>
      </c>
      <c r="AF26" s="46">
        <f>-'Sales Budget Summary'!V26*$C26</f>
        <v>-0.1152</v>
      </c>
      <c r="AG26" s="46">
        <f>-'Sales Budget Summary'!W26*$C26</f>
        <v>-9.6000000000000002E-2</v>
      </c>
    </row>
    <row r="27" spans="2:46">
      <c r="B27" s="47" t="s">
        <v>100</v>
      </c>
      <c r="K27" s="48">
        <f>SUM(K20:K26)</f>
        <v>-12.03</v>
      </c>
      <c r="L27" s="48">
        <f t="shared" ref="L27:M27" si="16">SUM(L20:L26)</f>
        <v>-13.540000000000001</v>
      </c>
      <c r="M27" s="48">
        <f t="shared" si="16"/>
        <v>-15.549999999999999</v>
      </c>
      <c r="P27" s="48">
        <f>SUM(P20:P26)</f>
        <v>0</v>
      </c>
      <c r="Q27" s="48">
        <f t="shared" ref="Q27:R27" si="17">SUM(Q20:Q26)</f>
        <v>0</v>
      </c>
      <c r="R27" s="48">
        <f t="shared" si="17"/>
        <v>0</v>
      </c>
      <c r="V27" s="48">
        <f t="shared" ref="V27:AG27" si="18">SUM(V20:V26)</f>
        <v>-0.15040000000000001</v>
      </c>
      <c r="W27" s="48">
        <f t="shared" si="18"/>
        <v>-1.8444000000000003</v>
      </c>
      <c r="X27" s="48">
        <f t="shared" si="18"/>
        <v>-0.92520000000000002</v>
      </c>
      <c r="Y27" s="48">
        <f t="shared" si="18"/>
        <v>-0.16920000000000002</v>
      </c>
      <c r="Z27" s="48">
        <f t="shared" si="18"/>
        <v>-1.7942</v>
      </c>
      <c r="AA27" s="48">
        <f t="shared" si="18"/>
        <v>-0.93400000000000005</v>
      </c>
      <c r="AB27" s="48">
        <f t="shared" si="18"/>
        <v>-0.17760000000000001</v>
      </c>
      <c r="AC27" s="48">
        <f t="shared" si="18"/>
        <v>-1.8278000000000001</v>
      </c>
      <c r="AD27" s="48">
        <f t="shared" si="18"/>
        <v>-0.2356</v>
      </c>
      <c r="AE27" s="48">
        <f t="shared" si="18"/>
        <v>-1.1294000000000002</v>
      </c>
      <c r="AF27" s="48">
        <f t="shared" si="18"/>
        <v>-1.8742000000000001</v>
      </c>
      <c r="AG27" s="48">
        <f t="shared" si="18"/>
        <v>-0.96799999999999997</v>
      </c>
    </row>
    <row r="28" spans="2:46">
      <c r="B28" s="49"/>
      <c r="K28" s="56"/>
      <c r="L28" s="56"/>
      <c r="M28" s="56"/>
      <c r="P28" s="56"/>
      <c r="Q28" s="56"/>
      <c r="R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</row>
    <row r="29" spans="2:46" ht="15.75" thickBot="1">
      <c r="B29" s="52" t="s">
        <v>246</v>
      </c>
      <c r="K29" s="53">
        <f>SUM(K10,K14,K18,K27)</f>
        <v>-200.36869000000002</v>
      </c>
      <c r="L29" s="53">
        <f t="shared" ref="L29:M29" si="19">SUM(L10,L14,L18,L27)</f>
        <v>-242.17489700000002</v>
      </c>
      <c r="M29" s="53">
        <f t="shared" si="19"/>
        <v>-284.63435140000001</v>
      </c>
      <c r="P29" s="53">
        <f>SUM(P10,P14,P18,P27)</f>
        <v>-195.93937499999998</v>
      </c>
      <c r="Q29" s="53">
        <f t="shared" ref="Q29:R29" si="20">SUM(Q10,Q14,Q18,Q27)</f>
        <v>-212.88968750000004</v>
      </c>
      <c r="R29" s="53">
        <f t="shared" si="20"/>
        <v>-230.67181250000002</v>
      </c>
      <c r="V29" s="53">
        <f t="shared" ref="V29:AT29" si="21">SUM(V10,V14,V18,V27)</f>
        <v>-12.315937700000001</v>
      </c>
      <c r="W29" s="53">
        <f t="shared" si="21"/>
        <v>-16.091295200000001</v>
      </c>
      <c r="X29" s="53">
        <f t="shared" si="21"/>
        <v>-17.496439600000002</v>
      </c>
      <c r="Y29" s="53">
        <f t="shared" si="21"/>
        <v>-15.668903350000001</v>
      </c>
      <c r="Z29" s="53">
        <f t="shared" si="21"/>
        <v>-17.6510821</v>
      </c>
      <c r="AA29" s="53">
        <f t="shared" si="21"/>
        <v>-16.381215200000003</v>
      </c>
      <c r="AB29" s="53">
        <f t="shared" si="21"/>
        <v>-15.458135200000003</v>
      </c>
      <c r="AC29" s="53">
        <f t="shared" si="21"/>
        <v>-14.578900149999999</v>
      </c>
      <c r="AD29" s="53">
        <f t="shared" si="21"/>
        <v>-17.983340850000005</v>
      </c>
      <c r="AE29" s="53">
        <f t="shared" si="21"/>
        <v>-21.496949000000001</v>
      </c>
      <c r="AF29" s="53">
        <f t="shared" si="21"/>
        <v>-20.107903350000001</v>
      </c>
      <c r="AG29" s="53">
        <f t="shared" si="21"/>
        <v>-15.1385883</v>
      </c>
      <c r="AI29" s="53">
        <f t="shared" si="21"/>
        <v>-12.501256250000001</v>
      </c>
      <c r="AJ29" s="53">
        <f t="shared" si="21"/>
        <v>-15.154650000000004</v>
      </c>
      <c r="AK29" s="53">
        <f t="shared" si="21"/>
        <v>-18.726437499999999</v>
      </c>
      <c r="AL29" s="53">
        <f t="shared" si="21"/>
        <v>-16.047596875000004</v>
      </c>
      <c r="AM29" s="53">
        <f t="shared" si="21"/>
        <v>-16.94054375</v>
      </c>
      <c r="AN29" s="53">
        <f t="shared" si="21"/>
        <v>-16.02215</v>
      </c>
      <c r="AO29" s="53">
        <f t="shared" si="21"/>
        <v>-16.02215</v>
      </c>
      <c r="AP29" s="53">
        <f t="shared" si="21"/>
        <v>-13.343309375</v>
      </c>
      <c r="AQ29" s="53">
        <f t="shared" si="21"/>
        <v>-18.700990624999999</v>
      </c>
      <c r="AR29" s="53">
        <f t="shared" si="21"/>
        <v>-20.461437500000002</v>
      </c>
      <c r="AS29" s="53">
        <f t="shared" si="21"/>
        <v>-17.782596875000003</v>
      </c>
      <c r="AT29" s="53">
        <f t="shared" si="21"/>
        <v>-14.236256250000002</v>
      </c>
    </row>
    <row r="31" spans="2:46">
      <c r="B31" t="s">
        <v>247</v>
      </c>
      <c r="C31" s="9">
        <v>0.02</v>
      </c>
      <c r="K31" s="46">
        <f>-'Sales Budget Summary'!F31*'Other COS'!$C31</f>
        <v>-16</v>
      </c>
      <c r="L31" s="46">
        <f>-'Sales Budget Summary'!G31*'Other COS'!$C31</f>
        <v>-24</v>
      </c>
      <c r="M31" s="46">
        <f>-'Sales Budget Summary'!H31*'Other COS'!$C31</f>
        <v>-32</v>
      </c>
      <c r="P31" s="46">
        <f t="shared" ref="P31:R33" si="22">IFERROR(K31/$C31*$D31, 0)</f>
        <v>0</v>
      </c>
      <c r="Q31" s="46">
        <f t="shared" si="22"/>
        <v>0</v>
      </c>
      <c r="R31" s="46">
        <f t="shared" si="22"/>
        <v>0</v>
      </c>
      <c r="V31" s="46">
        <f>-'Sales Budget Summary'!L31*$C31</f>
        <v>-0.48</v>
      </c>
      <c r="W31" s="46">
        <f>-'Sales Budget Summary'!M31*$C31</f>
        <v>-0.48</v>
      </c>
      <c r="X31" s="46">
        <f>-'Sales Budget Summary'!N31*$C31</f>
        <v>-0.52800000000000002</v>
      </c>
      <c r="Y31" s="46">
        <f>-'Sales Budget Summary'!O31*$C31</f>
        <v>-0.68799999999999994</v>
      </c>
      <c r="Z31" s="46">
        <f>-'Sales Budget Summary'!P31*$C31</f>
        <v>-1.28</v>
      </c>
      <c r="AA31" s="46">
        <f>-'Sales Budget Summary'!Q31*$C31</f>
        <v>-0.96</v>
      </c>
      <c r="AB31" s="46">
        <f>-'Sales Budget Summary'!R31*$C31</f>
        <v>-0.96</v>
      </c>
      <c r="AC31" s="46">
        <f>-'Sales Budget Summary'!S31*$C31</f>
        <v>-0.96</v>
      </c>
      <c r="AD31" s="46">
        <f>-'Sales Budget Summary'!T31*$C31</f>
        <v>-4</v>
      </c>
      <c r="AE31" s="46">
        <f>-'Sales Budget Summary'!U31*$C31</f>
        <v>-2.4</v>
      </c>
      <c r="AF31" s="46">
        <f>-'Sales Budget Summary'!V31*$C31</f>
        <v>-1.6</v>
      </c>
      <c r="AG31" s="46">
        <f>-'Sales Budget Summary'!W31*$C31</f>
        <v>-1.6</v>
      </c>
    </row>
    <row r="32" spans="2:46">
      <c r="B32" t="s">
        <v>248</v>
      </c>
      <c r="C32" s="9">
        <v>0.01</v>
      </c>
      <c r="K32" s="46">
        <f>-'Sales Budget Summary'!F32*'Other COS'!$C32</f>
        <v>-2</v>
      </c>
      <c r="L32" s="46">
        <f>-'Sales Budget Summary'!G32*'Other COS'!$C32</f>
        <v>-3</v>
      </c>
      <c r="M32" s="46">
        <f>-'Sales Budget Summary'!H32*'Other COS'!$C32</f>
        <v>-5</v>
      </c>
      <c r="P32" s="46">
        <f t="shared" si="22"/>
        <v>0</v>
      </c>
      <c r="Q32" s="46">
        <f t="shared" si="22"/>
        <v>0</v>
      </c>
      <c r="R32" s="46">
        <f t="shared" si="22"/>
        <v>0</v>
      </c>
      <c r="V32" s="46">
        <f>-'Sales Budget Summary'!L32*$C32</f>
        <v>-0.18</v>
      </c>
      <c r="W32" s="46">
        <f>-'Sales Budget Summary'!M32*$C32</f>
        <v>-0.18</v>
      </c>
      <c r="X32" s="46">
        <f>-'Sales Budget Summary'!N32*$C32</f>
        <v>-0.18</v>
      </c>
      <c r="Y32" s="46">
        <f>-'Sales Budget Summary'!O32*$C32</f>
        <v>-0.18</v>
      </c>
      <c r="Z32" s="46">
        <f>-'Sales Budget Summary'!P32*$C32</f>
        <v>-0.12</v>
      </c>
      <c r="AA32" s="46">
        <f>-'Sales Budget Summary'!Q32*$C32</f>
        <v>-0.2</v>
      </c>
      <c r="AB32" s="46">
        <f>-'Sales Budget Summary'!R32*$C32</f>
        <v>-0.08</v>
      </c>
      <c r="AC32" s="46">
        <f>-'Sales Budget Summary'!S32*$C32</f>
        <v>-0.08</v>
      </c>
      <c r="AD32" s="46">
        <f>-'Sales Budget Summary'!T32*$C32</f>
        <v>-0.16</v>
      </c>
      <c r="AE32" s="46">
        <f>-'Sales Budget Summary'!U32*$C32</f>
        <v>-0.24</v>
      </c>
      <c r="AF32" s="46">
        <f>-'Sales Budget Summary'!V32*$C32</f>
        <v>-0.2</v>
      </c>
      <c r="AG32" s="46">
        <f>-'Sales Budget Summary'!W32*$C32</f>
        <v>-0.2</v>
      </c>
    </row>
    <row r="33" spans="2:46">
      <c r="B33" t="s">
        <v>249</v>
      </c>
      <c r="C33" s="9">
        <v>0.01</v>
      </c>
      <c r="K33" s="46">
        <f>-'Sales Budget Summary'!F33*'Other COS'!$C33</f>
        <v>-1.45</v>
      </c>
      <c r="L33" s="46">
        <f>-'Sales Budget Summary'!G33*'Other COS'!$C33</f>
        <v>-2.25</v>
      </c>
      <c r="M33" s="46">
        <f>-'Sales Budget Summary'!H33*'Other COS'!$C33</f>
        <v>-3.75</v>
      </c>
      <c r="P33" s="46">
        <f t="shared" si="22"/>
        <v>0</v>
      </c>
      <c r="Q33" s="46">
        <f t="shared" si="22"/>
        <v>0</v>
      </c>
      <c r="R33" s="46">
        <f t="shared" si="22"/>
        <v>0</v>
      </c>
      <c r="V33" s="46">
        <f>-'Sales Budget Summary'!L33*$C33</f>
        <v>0</v>
      </c>
      <c r="W33" s="46">
        <f>-'Sales Budget Summary'!M33*$C33</f>
        <v>0</v>
      </c>
      <c r="X33" s="46">
        <f>-'Sales Budget Summary'!N33*$C33</f>
        <v>0</v>
      </c>
      <c r="Y33" s="46">
        <f>-'Sales Budget Summary'!O33*$C33</f>
        <v>0</v>
      </c>
      <c r="Z33" s="46">
        <f>-'Sales Budget Summary'!P33*$C33</f>
        <v>0</v>
      </c>
      <c r="AA33" s="46">
        <f>-'Sales Budget Summary'!Q33*$C33</f>
        <v>-0.14499999999999999</v>
      </c>
      <c r="AB33" s="46">
        <f>-'Sales Budget Summary'!R33*$C33</f>
        <v>-0.14499999999999999</v>
      </c>
      <c r="AC33" s="46">
        <f>-'Sales Budget Summary'!S33*$C33</f>
        <v>-0.14499999999999999</v>
      </c>
      <c r="AD33" s="46">
        <f>-'Sales Budget Summary'!T33*$C33</f>
        <v>-0.2175</v>
      </c>
      <c r="AE33" s="46">
        <f>-'Sales Budget Summary'!U33*$C33</f>
        <v>-0.2175</v>
      </c>
      <c r="AF33" s="46">
        <f>-'Sales Budget Summary'!V33*$C33</f>
        <v>-0.28999999999999998</v>
      </c>
      <c r="AG33" s="46">
        <f>-'Sales Budget Summary'!W33*$C33</f>
        <v>-0.28999999999999998</v>
      </c>
    </row>
    <row r="35" spans="2:46" ht="15.75" thickBot="1">
      <c r="B35" s="52" t="s">
        <v>250</v>
      </c>
      <c r="K35" s="53">
        <f>SUM(K31:K33)</f>
        <v>-19.45</v>
      </c>
      <c r="L35" s="53">
        <f t="shared" ref="L35:M35" si="23">SUM(L31:L33)</f>
        <v>-29.25</v>
      </c>
      <c r="M35" s="53">
        <f t="shared" si="23"/>
        <v>-40.75</v>
      </c>
      <c r="P35" s="53">
        <f>SUM(P31:P33)</f>
        <v>0</v>
      </c>
      <c r="Q35" s="53">
        <f t="shared" ref="Q35:R35" si="24">SUM(Q31:Q33)</f>
        <v>0</v>
      </c>
      <c r="R35" s="53">
        <f t="shared" si="24"/>
        <v>0</v>
      </c>
      <c r="V35" s="53">
        <f t="shared" ref="V35:AG35" si="25">SUM(V31:V33)</f>
        <v>-0.65999999999999992</v>
      </c>
      <c r="W35" s="53">
        <f t="shared" si="25"/>
        <v>-0.65999999999999992</v>
      </c>
      <c r="X35" s="53">
        <f t="shared" si="25"/>
        <v>-0.70799999999999996</v>
      </c>
      <c r="Y35" s="53">
        <f t="shared" si="25"/>
        <v>-0.86799999999999988</v>
      </c>
      <c r="Z35" s="53">
        <f t="shared" si="25"/>
        <v>-1.4</v>
      </c>
      <c r="AA35" s="53">
        <f t="shared" si="25"/>
        <v>-1.3049999999999999</v>
      </c>
      <c r="AB35" s="53">
        <f t="shared" si="25"/>
        <v>-1.1850000000000001</v>
      </c>
      <c r="AC35" s="53">
        <f t="shared" si="25"/>
        <v>-1.1850000000000001</v>
      </c>
      <c r="AD35" s="53">
        <f t="shared" si="25"/>
        <v>-4.3775000000000004</v>
      </c>
      <c r="AE35" s="53">
        <f t="shared" si="25"/>
        <v>-2.8574999999999995</v>
      </c>
      <c r="AF35" s="53">
        <f t="shared" si="25"/>
        <v>-2.09</v>
      </c>
      <c r="AG35" s="53">
        <f t="shared" si="25"/>
        <v>-2.09</v>
      </c>
      <c r="AI35" s="53">
        <f t="shared" ref="AI35:AT35" si="26">SUM(AI31:AI33)</f>
        <v>0</v>
      </c>
      <c r="AJ35" s="53">
        <f t="shared" si="26"/>
        <v>0</v>
      </c>
      <c r="AK35" s="53">
        <f t="shared" si="26"/>
        <v>0</v>
      </c>
      <c r="AL35" s="53">
        <f t="shared" si="26"/>
        <v>0</v>
      </c>
      <c r="AM35" s="53">
        <f t="shared" si="26"/>
        <v>0</v>
      </c>
      <c r="AN35" s="53">
        <f t="shared" si="26"/>
        <v>0</v>
      </c>
      <c r="AO35" s="53">
        <f t="shared" si="26"/>
        <v>0</v>
      </c>
      <c r="AP35" s="53">
        <f t="shared" si="26"/>
        <v>0</v>
      </c>
      <c r="AQ35" s="53">
        <f t="shared" si="26"/>
        <v>0</v>
      </c>
      <c r="AR35" s="53">
        <f t="shared" si="26"/>
        <v>0</v>
      </c>
      <c r="AS35" s="53">
        <f t="shared" si="26"/>
        <v>0</v>
      </c>
      <c r="AT35" s="53">
        <f t="shared" si="26"/>
        <v>0</v>
      </c>
    </row>
    <row r="37" spans="2:46">
      <c r="B37" t="s">
        <v>251</v>
      </c>
      <c r="C37" s="57">
        <v>0.03</v>
      </c>
      <c r="K37" s="46">
        <f>-'Sales Budget Summary'!F37*'Other COS'!$C37</f>
        <v>-22.439999999999998</v>
      </c>
      <c r="L37" s="46">
        <f>-'Sales Budget Summary'!G37*'Other COS'!$C37</f>
        <v>-24.684000000000001</v>
      </c>
      <c r="M37" s="46">
        <f>-'Sales Budget Summary'!H37*'Other COS'!$C37</f>
        <v>-26.658720000000002</v>
      </c>
      <c r="P37" s="46">
        <f t="shared" ref="P37:R40" si="27">IFERROR(K37/$C37*$D37, 0)</f>
        <v>0</v>
      </c>
      <c r="Q37" s="46">
        <f t="shared" si="27"/>
        <v>0</v>
      </c>
      <c r="R37" s="46">
        <f t="shared" si="27"/>
        <v>0</v>
      </c>
      <c r="V37" s="46">
        <f>-'Sales Budget Summary'!L37*$C37</f>
        <v>-2.04</v>
      </c>
      <c r="W37" s="46">
        <f>-'Sales Budget Summary'!M37*$C37</f>
        <v>-1.92</v>
      </c>
      <c r="X37" s="46">
        <f>-'Sales Budget Summary'!N37*$C37</f>
        <v>-1.8299999999999998</v>
      </c>
      <c r="Y37" s="46">
        <f>-'Sales Budget Summary'!O37*$C37</f>
        <v>-1.44</v>
      </c>
      <c r="Z37" s="46">
        <f>-'Sales Budget Summary'!P37*$C37</f>
        <v>-1.68</v>
      </c>
      <c r="AA37" s="46">
        <f>-'Sales Budget Summary'!Q37*$C37</f>
        <v>-1.5</v>
      </c>
      <c r="AB37" s="46">
        <f>-'Sales Budget Summary'!R37*$C37</f>
        <v>-1.5899999999999999</v>
      </c>
      <c r="AC37" s="46">
        <f>-'Sales Budget Summary'!S37*$C37</f>
        <v>-1.6199999999999999</v>
      </c>
      <c r="AD37" s="46">
        <f>-'Sales Budget Summary'!T37*$C37</f>
        <v>-1.74</v>
      </c>
      <c r="AE37" s="46">
        <f>-'Sales Budget Summary'!U37*$C37</f>
        <v>-1.98</v>
      </c>
      <c r="AF37" s="46">
        <f>-'Sales Budget Summary'!V37*$C37</f>
        <v>-2.6999999999999997</v>
      </c>
      <c r="AG37" s="46">
        <f>-'Sales Budget Summary'!W37*$C37</f>
        <v>-2.4</v>
      </c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</row>
    <row r="38" spans="2:46">
      <c r="B38" t="s">
        <v>252</v>
      </c>
      <c r="C38" s="57">
        <v>0.04</v>
      </c>
      <c r="K38" s="46">
        <f>-'Sales Budget Summary'!F38*'Other COS'!$C38</f>
        <v>-16.240000000000002</v>
      </c>
      <c r="L38" s="46">
        <f>-'Sales Budget Summary'!G38*'Other COS'!$C38</f>
        <v>-17.864000000000001</v>
      </c>
      <c r="M38" s="46">
        <f>-'Sales Budget Summary'!H38*'Other COS'!$C38</f>
        <v>-19.293120000000002</v>
      </c>
      <c r="P38" s="46">
        <f t="shared" si="27"/>
        <v>0</v>
      </c>
      <c r="Q38" s="46">
        <f t="shared" si="27"/>
        <v>0</v>
      </c>
      <c r="R38" s="46">
        <f t="shared" si="27"/>
        <v>0</v>
      </c>
      <c r="V38" s="46">
        <f>-'Sales Budget Summary'!L38*$C38</f>
        <v>-1.24</v>
      </c>
      <c r="W38" s="46">
        <f>-'Sales Budget Summary'!M38*$C38</f>
        <v>-1.24</v>
      </c>
      <c r="X38" s="46">
        <f>-'Sales Budget Summary'!N38*$C38</f>
        <v>-1.36</v>
      </c>
      <c r="Y38" s="46">
        <f>-'Sales Budget Summary'!O38*$C38</f>
        <v>-1.28</v>
      </c>
      <c r="Z38" s="46">
        <f>-'Sales Budget Summary'!P38*$C38</f>
        <v>-1.36</v>
      </c>
      <c r="AA38" s="46">
        <f>-'Sales Budget Summary'!Q38*$C38</f>
        <v>-1.32</v>
      </c>
      <c r="AB38" s="46">
        <f>-'Sales Budget Summary'!R38*$C38</f>
        <v>-1.36</v>
      </c>
      <c r="AC38" s="46">
        <f>-'Sales Budget Summary'!S38*$C38</f>
        <v>-1.24</v>
      </c>
      <c r="AD38" s="46">
        <f>-'Sales Budget Summary'!T38*$C38</f>
        <v>-1.4000000000000001</v>
      </c>
      <c r="AE38" s="46">
        <f>-'Sales Budget Summary'!U38*$C38</f>
        <v>-1.4000000000000001</v>
      </c>
      <c r="AF38" s="46">
        <f>-'Sales Budget Summary'!V38*$C38</f>
        <v>-1.44</v>
      </c>
      <c r="AG38" s="46">
        <f>-'Sales Budget Summary'!W38*$C38</f>
        <v>-1.6</v>
      </c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</row>
    <row r="39" spans="2:46">
      <c r="B39" t="s">
        <v>137</v>
      </c>
      <c r="C39" s="57">
        <v>0.32500000000000001</v>
      </c>
      <c r="K39" s="46">
        <f>-'Sales Budget Summary'!F39*'Other COS'!$C39</f>
        <v>-35.75</v>
      </c>
      <c r="L39" s="46">
        <f>-'Sales Budget Summary'!G39*'Other COS'!$C39</f>
        <v>-39.325000000000003</v>
      </c>
      <c r="M39" s="46">
        <f>-'Sales Budget Summary'!H39*'Other COS'!$C39</f>
        <v>-42.471000000000011</v>
      </c>
      <c r="P39" s="46">
        <f t="shared" si="27"/>
        <v>0</v>
      </c>
      <c r="Q39" s="46">
        <f t="shared" si="27"/>
        <v>0</v>
      </c>
      <c r="R39" s="46">
        <f t="shared" si="27"/>
        <v>0</v>
      </c>
      <c r="V39" s="46">
        <f>-'Sales Budget Summary'!L39*$C39</f>
        <v>-1.9500000000000002</v>
      </c>
      <c r="W39" s="46">
        <f>-'Sales Budget Summary'!M39*$C39</f>
        <v>-3.5750000000000002</v>
      </c>
      <c r="X39" s="46">
        <f>-'Sales Budget Summary'!N39*$C39</f>
        <v>-2.9250000000000003</v>
      </c>
      <c r="Y39" s="46">
        <f>-'Sales Budget Summary'!O39*$C39</f>
        <v>-1.3</v>
      </c>
      <c r="Z39" s="46">
        <f>-'Sales Budget Summary'!P39*$C39</f>
        <v>-3.25</v>
      </c>
      <c r="AA39" s="46">
        <f>-'Sales Budget Summary'!Q39*$C39</f>
        <v>-2.6</v>
      </c>
      <c r="AB39" s="46">
        <f>-'Sales Budget Summary'!R39*$C39</f>
        <v>-3.25</v>
      </c>
      <c r="AC39" s="46">
        <f>-'Sales Budget Summary'!S39*$C39</f>
        <v>-3.9000000000000004</v>
      </c>
      <c r="AD39" s="46">
        <f>-'Sales Budget Summary'!T39*$C39</f>
        <v>-3.25</v>
      </c>
      <c r="AE39" s="46">
        <f>-'Sales Budget Summary'!U39*$C39</f>
        <v>-3.25</v>
      </c>
      <c r="AF39" s="46">
        <f>-'Sales Budget Summary'!V39*$C39</f>
        <v>-3.5750000000000002</v>
      </c>
      <c r="AG39" s="46">
        <f>-'Sales Budget Summary'!W39*$C39</f>
        <v>-3.5750000000000002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</row>
    <row r="40" spans="2:46">
      <c r="B40" t="s">
        <v>253</v>
      </c>
      <c r="C40" s="9">
        <v>0.02</v>
      </c>
      <c r="K40" s="46">
        <f>-'Sales Budget Summary'!F40*'Other COS'!$C40</f>
        <v>-0.69962209599999992</v>
      </c>
      <c r="L40" s="46">
        <f>-'Sales Budget Summary'!G40*'Other COS'!$C40</f>
        <v>-0.69962209599999992</v>
      </c>
      <c r="M40" s="46">
        <f>-'Sales Budget Summary'!H40*'Other COS'!$C40</f>
        <v>-0.69962209599999992</v>
      </c>
      <c r="P40" s="46">
        <f t="shared" si="27"/>
        <v>0</v>
      </c>
      <c r="Q40" s="46">
        <f t="shared" si="27"/>
        <v>0</v>
      </c>
      <c r="R40" s="46">
        <f t="shared" si="27"/>
        <v>0</v>
      </c>
      <c r="V40" s="46">
        <f>-'Sales Budget Summary'!L40*$C40</f>
        <v>-5.8301841333333326E-2</v>
      </c>
      <c r="W40" s="46">
        <f>-'Sales Budget Summary'!M40*$C40</f>
        <v>-5.8301841333333326E-2</v>
      </c>
      <c r="X40" s="46">
        <f>-'Sales Budget Summary'!N40*$C40</f>
        <v>-5.8301841333333326E-2</v>
      </c>
      <c r="Y40" s="46">
        <f>-'Sales Budget Summary'!O40*$C40</f>
        <v>-5.8301841333333326E-2</v>
      </c>
      <c r="Z40" s="46">
        <f>-'Sales Budget Summary'!P40*$C40</f>
        <v>-5.8301841333333326E-2</v>
      </c>
      <c r="AA40" s="46">
        <f>-'Sales Budget Summary'!Q40*$C40</f>
        <v>-5.8301841333333326E-2</v>
      </c>
      <c r="AB40" s="46">
        <f>-'Sales Budget Summary'!R40*$C40</f>
        <v>-5.8301841333333326E-2</v>
      </c>
      <c r="AC40" s="46">
        <f>-'Sales Budget Summary'!S40*$C40</f>
        <v>-5.8301841333333326E-2</v>
      </c>
      <c r="AD40" s="46">
        <f>-'Sales Budget Summary'!T40*$C40</f>
        <v>-5.8301841333333326E-2</v>
      </c>
      <c r="AE40" s="46">
        <f>-'Sales Budget Summary'!U40*$C40</f>
        <v>-5.8301841333333326E-2</v>
      </c>
      <c r="AF40" s="46">
        <f>-'Sales Budget Summary'!V40*$C40</f>
        <v>-5.8301841333333326E-2</v>
      </c>
      <c r="AG40" s="46">
        <f>-'Sales Budget Summary'!W40*$C40</f>
        <v>-5.8301841333333326E-2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</row>
    <row r="42" spans="2:46" ht="15.75" thickBot="1">
      <c r="B42" s="52" t="s">
        <v>254</v>
      </c>
      <c r="K42" s="53">
        <f>SUM(K37:K40)</f>
        <v>-75.129622096000006</v>
      </c>
      <c r="L42" s="53">
        <f t="shared" ref="L42:M42" si="28">SUM(L37:L40)</f>
        <v>-82.572622096000003</v>
      </c>
      <c r="M42" s="53">
        <f t="shared" si="28"/>
        <v>-89.122462096000007</v>
      </c>
      <c r="P42" s="53">
        <f>SUM(P37:P40)</f>
        <v>0</v>
      </c>
      <c r="Q42" s="53">
        <f t="shared" ref="Q42:R42" si="29">SUM(Q37:Q40)</f>
        <v>0</v>
      </c>
      <c r="R42" s="53">
        <f t="shared" si="29"/>
        <v>0</v>
      </c>
      <c r="V42" s="53">
        <f>SUM(V37:V40)</f>
        <v>-5.2883018413333334</v>
      </c>
      <c r="W42" s="53">
        <f t="shared" ref="W42:AG42" si="30">SUM(W37:W40)</f>
        <v>-6.7933018413333333</v>
      </c>
      <c r="X42" s="53">
        <f t="shared" si="30"/>
        <v>-6.1733018413333332</v>
      </c>
      <c r="Y42" s="53">
        <f t="shared" si="30"/>
        <v>-4.0783018413333325</v>
      </c>
      <c r="Z42" s="53">
        <f t="shared" si="30"/>
        <v>-6.348301841333333</v>
      </c>
      <c r="AA42" s="53">
        <f t="shared" si="30"/>
        <v>-5.4783018413333329</v>
      </c>
      <c r="AB42" s="53">
        <f t="shared" si="30"/>
        <v>-6.2583018413333331</v>
      </c>
      <c r="AC42" s="53">
        <f t="shared" si="30"/>
        <v>-6.8183018413333327</v>
      </c>
      <c r="AD42" s="53">
        <f t="shared" si="30"/>
        <v>-6.4483018413333335</v>
      </c>
      <c r="AE42" s="53">
        <f t="shared" si="30"/>
        <v>-6.6883018413333328</v>
      </c>
      <c r="AF42" s="53">
        <f t="shared" si="30"/>
        <v>-7.7733018413333328</v>
      </c>
      <c r="AG42" s="53">
        <f t="shared" si="30"/>
        <v>-7.6333018413333331</v>
      </c>
      <c r="AI42" s="53">
        <f t="shared" ref="AI42:AT42" si="31">SUM(AI37:AI40)</f>
        <v>0</v>
      </c>
      <c r="AJ42" s="53">
        <f t="shared" si="31"/>
        <v>0</v>
      </c>
      <c r="AK42" s="53">
        <f t="shared" si="31"/>
        <v>0</v>
      </c>
      <c r="AL42" s="53">
        <f t="shared" si="31"/>
        <v>0</v>
      </c>
      <c r="AM42" s="53">
        <f t="shared" si="31"/>
        <v>0</v>
      </c>
      <c r="AN42" s="53">
        <f t="shared" si="31"/>
        <v>0</v>
      </c>
      <c r="AO42" s="53">
        <f t="shared" si="31"/>
        <v>0</v>
      </c>
      <c r="AP42" s="53">
        <f t="shared" si="31"/>
        <v>0</v>
      </c>
      <c r="AQ42" s="53">
        <f t="shared" si="31"/>
        <v>0</v>
      </c>
      <c r="AR42" s="53">
        <f t="shared" si="31"/>
        <v>0</v>
      </c>
      <c r="AS42" s="53">
        <f t="shared" si="31"/>
        <v>0</v>
      </c>
      <c r="AT42" s="53">
        <f t="shared" si="31"/>
        <v>0</v>
      </c>
    </row>
    <row r="43" spans="2:46">
      <c r="K43" s="30"/>
      <c r="L43" s="30"/>
      <c r="M43" s="30"/>
      <c r="P43" s="30"/>
      <c r="Q43" s="30"/>
      <c r="R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</row>
    <row r="44" spans="2:46" ht="16.5" thickBot="1">
      <c r="B44" s="54" t="s">
        <v>255</v>
      </c>
      <c r="K44" s="55">
        <f>SUM(K29,K35,K42)</f>
        <v>-294.948312096</v>
      </c>
      <c r="L44" s="55">
        <f t="shared" ref="L44:M44" si="32">SUM(L29,L35,L42)</f>
        <v>-353.99751909600002</v>
      </c>
      <c r="M44" s="55">
        <f t="shared" si="32"/>
        <v>-414.50681349600001</v>
      </c>
      <c r="P44" s="55">
        <f>SUM(P29,P35,P42)</f>
        <v>-195.93937499999998</v>
      </c>
      <c r="Q44" s="55">
        <f t="shared" ref="Q44:R44" si="33">SUM(Q29,Q35,Q42)</f>
        <v>-212.88968750000004</v>
      </c>
      <c r="R44" s="55">
        <f t="shared" si="33"/>
        <v>-230.67181250000002</v>
      </c>
      <c r="V44" s="55">
        <f t="shared" ref="V44:AG44" si="34">SUM(V29,V35,V42)</f>
        <v>-18.264239541333335</v>
      </c>
      <c r="W44" s="55">
        <f t="shared" si="34"/>
        <v>-23.544597041333333</v>
      </c>
      <c r="X44" s="55">
        <f t="shared" si="34"/>
        <v>-24.377741441333335</v>
      </c>
      <c r="Y44" s="55">
        <f t="shared" si="34"/>
        <v>-20.615205191333331</v>
      </c>
      <c r="Z44" s="55">
        <f t="shared" si="34"/>
        <v>-25.399383941333333</v>
      </c>
      <c r="AA44" s="55">
        <f t="shared" si="34"/>
        <v>-23.164517041333337</v>
      </c>
      <c r="AB44" s="55">
        <f t="shared" si="34"/>
        <v>-22.901437041333338</v>
      </c>
      <c r="AC44" s="55">
        <f t="shared" si="34"/>
        <v>-22.582201991333331</v>
      </c>
      <c r="AD44" s="55">
        <f t="shared" si="34"/>
        <v>-28.809142691333339</v>
      </c>
      <c r="AE44" s="55">
        <f t="shared" si="34"/>
        <v>-31.04275084133333</v>
      </c>
      <c r="AF44" s="55">
        <f t="shared" si="34"/>
        <v>-29.971205191333333</v>
      </c>
      <c r="AG44" s="55">
        <f t="shared" si="34"/>
        <v>-24.861890141333333</v>
      </c>
      <c r="AI44" s="55">
        <f t="shared" ref="AI44:AT44" si="35">SUM(AI29,AI35,AI42)</f>
        <v>-12.501256250000001</v>
      </c>
      <c r="AJ44" s="55">
        <f t="shared" si="35"/>
        <v>-15.154650000000004</v>
      </c>
      <c r="AK44" s="55">
        <f t="shared" si="35"/>
        <v>-18.726437499999999</v>
      </c>
      <c r="AL44" s="55">
        <f t="shared" si="35"/>
        <v>-16.047596875000004</v>
      </c>
      <c r="AM44" s="55">
        <f t="shared" si="35"/>
        <v>-16.94054375</v>
      </c>
      <c r="AN44" s="55">
        <f t="shared" si="35"/>
        <v>-16.02215</v>
      </c>
      <c r="AO44" s="55">
        <f t="shared" si="35"/>
        <v>-16.02215</v>
      </c>
      <c r="AP44" s="55">
        <f t="shared" si="35"/>
        <v>-13.343309375</v>
      </c>
      <c r="AQ44" s="55">
        <f t="shared" si="35"/>
        <v>-18.700990624999999</v>
      </c>
      <c r="AR44" s="55">
        <f t="shared" si="35"/>
        <v>-20.461437500000002</v>
      </c>
      <c r="AS44" s="55">
        <f t="shared" si="35"/>
        <v>-17.782596875000003</v>
      </c>
      <c r="AT44" s="55">
        <f t="shared" si="35"/>
        <v>-14.236256250000002</v>
      </c>
    </row>
  </sheetData>
  <pageMargins left="0.7" right="0.7" top="0.75" bottom="0.75" header="0.3" footer="0.3"/>
  <pageSetup paperSize="9" orientation="portrait" horizontalDpi="0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26BB-DCC3-4F72-94C2-29552DF4B03F}">
  <sheetPr>
    <tabColor theme="1"/>
  </sheetPr>
  <dimension ref="A1"/>
  <sheetViews>
    <sheetView showGridLines="0" workbookViewId="0">
      <selection activeCell="F11" sqref="F11"/>
    </sheetView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98D6-5CCF-472F-AB54-BC8F803C64A0}">
  <sheetPr>
    <tabColor rgb="FF92D050"/>
  </sheetPr>
  <dimension ref="A3:AD55"/>
  <sheetViews>
    <sheetView showGridLines="0" topLeftCell="A13" workbookViewId="0">
      <selection activeCell="O19" sqref="O19:O23"/>
    </sheetView>
  </sheetViews>
  <sheetFormatPr defaultColWidth="8.85546875" defaultRowHeight="15"/>
  <cols>
    <col min="1" max="1" width="32.28515625" bestFit="1" customWidth="1"/>
    <col min="2" max="2" width="17" bestFit="1" customWidth="1"/>
    <col min="3" max="3" width="10.42578125" bestFit="1" customWidth="1"/>
    <col min="4" max="4" width="13.7109375" bestFit="1" customWidth="1"/>
    <col min="5" max="5" width="10.42578125" bestFit="1" customWidth="1"/>
    <col min="6" max="6" width="13.28515625" bestFit="1" customWidth="1"/>
    <col min="7" max="7" width="24" bestFit="1" customWidth="1"/>
    <col min="8" max="8" width="15.28515625" bestFit="1" customWidth="1"/>
    <col min="9" max="9" width="10.7109375" bestFit="1" customWidth="1"/>
    <col min="10" max="11" width="11.42578125" bestFit="1" customWidth="1"/>
    <col min="12" max="12" width="15.28515625" bestFit="1" customWidth="1"/>
    <col min="13" max="14" width="11.42578125" bestFit="1" customWidth="1"/>
    <col min="15" max="15" width="13.28515625" style="15" bestFit="1" customWidth="1"/>
    <col min="19" max="30" width="10.5703125" bestFit="1" customWidth="1"/>
  </cols>
  <sheetData>
    <row r="3" spans="1:30">
      <c r="A3" t="s">
        <v>435</v>
      </c>
      <c r="B3" t="s">
        <v>436</v>
      </c>
    </row>
    <row r="4" spans="1:30">
      <c r="A4" t="s">
        <v>437</v>
      </c>
      <c r="B4" t="s">
        <v>137</v>
      </c>
      <c r="C4" t="s">
        <v>87</v>
      </c>
      <c r="D4" t="s">
        <v>438</v>
      </c>
      <c r="E4" t="s">
        <v>71</v>
      </c>
      <c r="F4" t="s">
        <v>31</v>
      </c>
      <c r="G4" t="s">
        <v>439</v>
      </c>
      <c r="H4" t="s">
        <v>440</v>
      </c>
      <c r="I4" t="s">
        <v>441</v>
      </c>
      <c r="J4" t="s">
        <v>79</v>
      </c>
      <c r="K4" t="s">
        <v>127</v>
      </c>
      <c r="L4" t="s">
        <v>442</v>
      </c>
      <c r="M4" t="s">
        <v>46</v>
      </c>
      <c r="N4" t="s">
        <v>443</v>
      </c>
      <c r="O4" s="15" t="s">
        <v>444</v>
      </c>
      <c r="S4" s="183">
        <v>46023</v>
      </c>
      <c r="T4" s="183">
        <v>46054</v>
      </c>
      <c r="U4" s="183">
        <v>46082</v>
      </c>
      <c r="V4" s="183">
        <v>46113</v>
      </c>
      <c r="W4" s="183">
        <v>46143</v>
      </c>
      <c r="X4" s="183">
        <v>46174</v>
      </c>
      <c r="Y4" s="183">
        <v>46204</v>
      </c>
      <c r="Z4" s="183">
        <v>46235</v>
      </c>
      <c r="AA4" s="183">
        <v>46266</v>
      </c>
      <c r="AB4" s="183">
        <v>46296</v>
      </c>
      <c r="AC4" s="183">
        <v>46327</v>
      </c>
      <c r="AD4" s="183">
        <v>46357</v>
      </c>
    </row>
    <row r="5" spans="1:30">
      <c r="A5" s="15" t="s">
        <v>168</v>
      </c>
      <c r="B5" s="135">
        <f>SUM(B6:B14)</f>
        <v>23040</v>
      </c>
      <c r="C5" s="135">
        <f t="shared" ref="C5:N5" si="0">SUM(C6:C14)</f>
        <v>0</v>
      </c>
      <c r="D5" s="135">
        <f t="shared" si="0"/>
        <v>110000</v>
      </c>
      <c r="E5" s="135">
        <f t="shared" si="0"/>
        <v>20000</v>
      </c>
      <c r="F5" s="135">
        <f t="shared" si="0"/>
        <v>281450</v>
      </c>
      <c r="G5" s="135">
        <f t="shared" si="0"/>
        <v>0</v>
      </c>
      <c r="H5" s="135">
        <f t="shared" si="0"/>
        <v>246780</v>
      </c>
      <c r="I5" s="135">
        <f t="shared" si="0"/>
        <v>8750</v>
      </c>
      <c r="J5" s="135">
        <f t="shared" si="0"/>
        <v>0</v>
      </c>
      <c r="K5" s="135">
        <f t="shared" si="0"/>
        <v>45720</v>
      </c>
      <c r="L5" s="135">
        <f t="shared" si="0"/>
        <v>126864</v>
      </c>
      <c r="M5" s="135">
        <f t="shared" si="0"/>
        <v>49040</v>
      </c>
      <c r="N5" s="135">
        <f t="shared" si="0"/>
        <v>0</v>
      </c>
      <c r="O5" s="135">
        <f>SUM(O6:O14)</f>
        <v>911644</v>
      </c>
      <c r="S5" s="10">
        <f>SUM(S6:S14)/$O$5</f>
        <v>6.5485034794141334E-2</v>
      </c>
      <c r="T5" s="10">
        <f t="shared" ref="T5:AD5" si="1">SUM(T6:T14)/$O$5</f>
        <v>6.6251931606817568E-2</v>
      </c>
      <c r="U5" s="10">
        <f t="shared" si="1"/>
        <v>0.13020079366079176</v>
      </c>
      <c r="V5" s="10">
        <f t="shared" si="1"/>
        <v>6.974659112214425E-2</v>
      </c>
      <c r="W5" s="10">
        <f t="shared" si="1"/>
        <v>7.2885538661925472E-2</v>
      </c>
      <c r="X5" s="10">
        <f t="shared" si="1"/>
        <v>0.12533718884547085</v>
      </c>
      <c r="Y5" s="10">
        <f t="shared" si="1"/>
        <v>7.1506847777751806E-2</v>
      </c>
      <c r="Z5" s="10">
        <f t="shared" si="1"/>
        <v>6.9199411718010556E-2</v>
      </c>
      <c r="AA5" s="10">
        <f t="shared" si="1"/>
        <v>9.6768301576501167E-2</v>
      </c>
      <c r="AB5" s="10">
        <f t="shared" si="1"/>
        <v>7.8043824915733168E-2</v>
      </c>
      <c r="AC5" s="10">
        <f t="shared" si="1"/>
        <v>8.2591888038465677E-2</v>
      </c>
      <c r="AD5" s="10">
        <f t="shared" si="1"/>
        <v>7.198264728224632E-2</v>
      </c>
    </row>
    <row r="6" spans="1:30">
      <c r="A6" t="s">
        <v>445</v>
      </c>
      <c r="B6" s="3">
        <v>23040</v>
      </c>
      <c r="C6" s="3"/>
      <c r="D6" s="3">
        <v>0</v>
      </c>
      <c r="E6" s="3"/>
      <c r="F6" s="3"/>
      <c r="G6" s="3"/>
      <c r="H6" s="3">
        <v>48780</v>
      </c>
      <c r="I6" s="3"/>
      <c r="J6" s="3"/>
      <c r="K6" s="3"/>
      <c r="L6" s="3">
        <f>80784-23040</f>
        <v>57744</v>
      </c>
      <c r="M6" s="3"/>
      <c r="N6" s="3"/>
      <c r="O6" s="135">
        <f>SUM(B6:N6)</f>
        <v>129564</v>
      </c>
      <c r="Q6" t="s">
        <v>446</v>
      </c>
      <c r="S6" s="4">
        <f>$O6/12</f>
        <v>10797</v>
      </c>
      <c r="T6" s="4">
        <f t="shared" ref="T6:AD6" si="2">$O6/12</f>
        <v>10797</v>
      </c>
      <c r="U6" s="4">
        <f t="shared" si="2"/>
        <v>10797</v>
      </c>
      <c r="V6" s="4">
        <f t="shared" si="2"/>
        <v>10797</v>
      </c>
      <c r="W6" s="4">
        <f t="shared" si="2"/>
        <v>10797</v>
      </c>
      <c r="X6" s="4">
        <f t="shared" si="2"/>
        <v>10797</v>
      </c>
      <c r="Y6" s="4">
        <f t="shared" si="2"/>
        <v>10797</v>
      </c>
      <c r="Z6" s="4">
        <f t="shared" si="2"/>
        <v>10797</v>
      </c>
      <c r="AA6" s="4">
        <f t="shared" si="2"/>
        <v>10797</v>
      </c>
      <c r="AB6" s="4">
        <f t="shared" si="2"/>
        <v>10797</v>
      </c>
      <c r="AC6" s="4">
        <f t="shared" si="2"/>
        <v>10797</v>
      </c>
      <c r="AD6" s="4">
        <f t="shared" si="2"/>
        <v>10797</v>
      </c>
    </row>
    <row r="7" spans="1:30">
      <c r="A7" t="s">
        <v>447</v>
      </c>
      <c r="B7" s="3"/>
      <c r="C7" s="3"/>
      <c r="D7" s="3"/>
      <c r="E7" s="3"/>
      <c r="F7" s="3">
        <v>55000</v>
      </c>
      <c r="G7" s="3"/>
      <c r="H7" s="3"/>
      <c r="I7" s="3"/>
      <c r="J7" s="3"/>
      <c r="K7" s="3"/>
      <c r="L7" s="3"/>
      <c r="M7" s="3"/>
      <c r="N7" s="3"/>
      <c r="O7" s="135">
        <f t="shared" ref="O7:O14" si="3">SUM(B7:N7)</f>
        <v>55000</v>
      </c>
      <c r="Q7" t="s">
        <v>448</v>
      </c>
      <c r="U7" s="5">
        <f>$O7/9</f>
        <v>6111.1111111111113</v>
      </c>
      <c r="V7" s="5">
        <f t="shared" ref="V7:AC7" si="4">$O7/9</f>
        <v>6111.1111111111113</v>
      </c>
      <c r="W7" s="5">
        <f t="shared" si="4"/>
        <v>6111.1111111111113</v>
      </c>
      <c r="X7" s="5">
        <f t="shared" si="4"/>
        <v>6111.1111111111113</v>
      </c>
      <c r="Y7" s="5">
        <f t="shared" si="4"/>
        <v>6111.1111111111113</v>
      </c>
      <c r="Z7" s="5">
        <f t="shared" si="4"/>
        <v>6111.1111111111113</v>
      </c>
      <c r="AA7" s="5">
        <f t="shared" si="4"/>
        <v>6111.1111111111113</v>
      </c>
      <c r="AB7" s="5">
        <f t="shared" si="4"/>
        <v>6111.1111111111113</v>
      </c>
      <c r="AC7" s="5">
        <f t="shared" si="4"/>
        <v>6111.1111111111113</v>
      </c>
    </row>
    <row r="8" spans="1:30">
      <c r="A8" t="s">
        <v>449</v>
      </c>
      <c r="B8" s="3"/>
      <c r="C8" s="3"/>
      <c r="D8" s="3"/>
      <c r="E8" s="3">
        <v>20000</v>
      </c>
      <c r="F8" s="3"/>
      <c r="G8" s="3"/>
      <c r="H8" s="3"/>
      <c r="I8" s="3"/>
      <c r="J8" s="3"/>
      <c r="K8" s="3"/>
      <c r="L8" s="3"/>
      <c r="M8" s="3"/>
      <c r="N8" s="3"/>
      <c r="O8" s="135">
        <f t="shared" si="3"/>
        <v>20000</v>
      </c>
      <c r="Q8" t="s">
        <v>450</v>
      </c>
      <c r="AA8" s="4">
        <f>O8</f>
        <v>20000</v>
      </c>
    </row>
    <row r="9" spans="1:30">
      <c r="A9" t="s">
        <v>451</v>
      </c>
      <c r="B9" s="3"/>
      <c r="C9" s="3"/>
      <c r="D9" s="3"/>
      <c r="E9" s="3"/>
      <c r="F9" s="3"/>
      <c r="G9" s="3"/>
      <c r="H9" s="60">
        <v>198000</v>
      </c>
      <c r="I9" s="3"/>
      <c r="J9" s="3"/>
      <c r="K9" s="3"/>
      <c r="L9" s="3">
        <v>69120</v>
      </c>
      <c r="M9" s="3"/>
      <c r="N9" s="3"/>
      <c r="O9" s="135">
        <f t="shared" si="3"/>
        <v>267120</v>
      </c>
      <c r="Q9" t="s">
        <v>452</v>
      </c>
      <c r="S9" s="5">
        <f>$O9*SUM('Sales Budget Summary'!L37:L38)/SUM('Sales Budget Summary'!$F$37:$F$38)</f>
        <v>22915.84055459272</v>
      </c>
      <c r="T9" s="5">
        <f>$O9*SUM('Sales Budget Summary'!M37:M38)/SUM('Sales Budget Summary'!$F$37:$F$38)</f>
        <v>21989.948006932409</v>
      </c>
      <c r="U9" s="5">
        <f>$O9*SUM('Sales Budget Summary'!N37:N38)/SUM('Sales Budget Summary'!$F$37:$F$38)</f>
        <v>21989.948006932409</v>
      </c>
      <c r="V9" s="5">
        <f>$O9*SUM('Sales Budget Summary'!O37:O38)/SUM('Sales Budget Summary'!$F$37:$F$38)</f>
        <v>18517.850953206238</v>
      </c>
      <c r="W9" s="5">
        <f>$O9*SUM('Sales Budget Summary'!P37:P38)/SUM('Sales Budget Summary'!$F$37:$F$38)</f>
        <v>20832.582322357019</v>
      </c>
      <c r="X9" s="5">
        <f>$O9*SUM('Sales Budget Summary'!Q37:Q38)/SUM('Sales Budget Summary'!$F$37:$F$38)</f>
        <v>19212.270363951473</v>
      </c>
      <c r="Y9" s="5">
        <f>$O9*SUM('Sales Budget Summary'!R37:R38)/SUM('Sales Budget Summary'!$F$37:$F$38)</f>
        <v>20138.162911611784</v>
      </c>
      <c r="Z9" s="5">
        <f>$O9*SUM('Sales Budget Summary'!S37:S38)/SUM('Sales Budget Summary'!$F$37:$F$38)</f>
        <v>19675.216637781628</v>
      </c>
      <c r="AA9" s="5">
        <f>$O9*SUM('Sales Budget Summary'!T37:T38)/SUM('Sales Budget Summary'!$F$37:$F$38)</f>
        <v>21527.001733102254</v>
      </c>
      <c r="AB9" s="5">
        <f>$O9*SUM('Sales Budget Summary'!U37:U38)/SUM('Sales Budget Summary'!$F$37:$F$38)</f>
        <v>23378.786828422875</v>
      </c>
      <c r="AC9" s="5">
        <f>$O9*SUM('Sales Budget Summary'!V37:V38)/SUM('Sales Budget Summary'!$F$37:$F$38)</f>
        <v>29165.615251299827</v>
      </c>
      <c r="AD9" s="5">
        <f>$O9*SUM('Sales Budget Summary'!W37:W38)/SUM('Sales Budget Summary'!$F$37:$F$38)</f>
        <v>27776.776429809357</v>
      </c>
    </row>
    <row r="10" spans="1:30">
      <c r="A10" t="s">
        <v>453</v>
      </c>
      <c r="B10" s="3"/>
      <c r="C10" s="3"/>
      <c r="D10" s="3">
        <v>100000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135">
        <f t="shared" si="3"/>
        <v>100000</v>
      </c>
      <c r="Q10" t="s">
        <v>454</v>
      </c>
      <c r="U10" s="4">
        <f>O10*50%</f>
        <v>50000</v>
      </c>
      <c r="X10" s="4">
        <f>O10*50%</f>
        <v>50000</v>
      </c>
    </row>
    <row r="11" spans="1:30">
      <c r="A11" t="s">
        <v>455</v>
      </c>
      <c r="B11" s="3"/>
      <c r="C11" s="3"/>
      <c r="D11" s="3"/>
      <c r="E11" s="3"/>
      <c r="F11" s="3">
        <v>6750</v>
      </c>
      <c r="G11" s="3"/>
      <c r="H11" s="3"/>
      <c r="I11" s="3"/>
      <c r="J11" s="3"/>
      <c r="K11" s="3"/>
      <c r="L11" s="3"/>
      <c r="M11" s="3"/>
      <c r="N11" s="3"/>
      <c r="O11" s="135">
        <f t="shared" si="3"/>
        <v>6750</v>
      </c>
      <c r="Q11" t="s">
        <v>446</v>
      </c>
      <c r="S11" s="4">
        <f t="shared" ref="S11:AD13" si="5">$O11/12</f>
        <v>562.5</v>
      </c>
      <c r="T11" s="4">
        <f t="shared" si="5"/>
        <v>562.5</v>
      </c>
      <c r="U11" s="4">
        <f t="shared" si="5"/>
        <v>562.5</v>
      </c>
      <c r="V11" s="4">
        <f t="shared" si="5"/>
        <v>562.5</v>
      </c>
      <c r="W11" s="4">
        <f t="shared" si="5"/>
        <v>562.5</v>
      </c>
      <c r="X11" s="4">
        <f t="shared" si="5"/>
        <v>562.5</v>
      </c>
      <c r="Y11" s="4">
        <f t="shared" si="5"/>
        <v>562.5</v>
      </c>
      <c r="Z11" s="4">
        <f t="shared" si="5"/>
        <v>562.5</v>
      </c>
      <c r="AA11" s="4">
        <f t="shared" si="5"/>
        <v>562.5</v>
      </c>
      <c r="AB11" s="4">
        <f t="shared" si="5"/>
        <v>562.5</v>
      </c>
      <c r="AC11" s="4">
        <f t="shared" si="5"/>
        <v>562.5</v>
      </c>
      <c r="AD11" s="4">
        <f t="shared" si="5"/>
        <v>562.5</v>
      </c>
    </row>
    <row r="12" spans="1:30">
      <c r="A12" t="s">
        <v>456</v>
      </c>
      <c r="B12" s="3"/>
      <c r="C12" s="3"/>
      <c r="D12" s="3">
        <v>10000</v>
      </c>
      <c r="E12" s="3"/>
      <c r="F12" s="3">
        <v>37500</v>
      </c>
      <c r="G12" s="3"/>
      <c r="H12" s="3"/>
      <c r="I12" s="3">
        <v>8750</v>
      </c>
      <c r="J12" s="3"/>
      <c r="K12" s="3"/>
      <c r="L12" s="3"/>
      <c r="M12" s="3">
        <v>6000</v>
      </c>
      <c r="N12" s="3"/>
      <c r="O12" s="135">
        <f t="shared" si="3"/>
        <v>62250</v>
      </c>
      <c r="Q12" t="s">
        <v>446</v>
      </c>
      <c r="S12" s="4">
        <f t="shared" si="5"/>
        <v>5187.5</v>
      </c>
      <c r="T12" s="4">
        <f t="shared" si="5"/>
        <v>5187.5</v>
      </c>
      <c r="U12" s="4">
        <f t="shared" si="5"/>
        <v>5187.5</v>
      </c>
      <c r="V12" s="4">
        <f t="shared" si="5"/>
        <v>5187.5</v>
      </c>
      <c r="W12" s="4">
        <f t="shared" si="5"/>
        <v>5187.5</v>
      </c>
      <c r="X12" s="4">
        <f t="shared" si="5"/>
        <v>5187.5</v>
      </c>
      <c r="Y12" s="4">
        <f t="shared" si="5"/>
        <v>5187.5</v>
      </c>
      <c r="Z12" s="4">
        <f t="shared" si="5"/>
        <v>5187.5</v>
      </c>
      <c r="AA12" s="4">
        <f t="shared" si="5"/>
        <v>5187.5</v>
      </c>
      <c r="AB12" s="4">
        <f t="shared" si="5"/>
        <v>5187.5</v>
      </c>
      <c r="AC12" s="4">
        <f t="shared" si="5"/>
        <v>5187.5</v>
      </c>
      <c r="AD12" s="4">
        <f t="shared" si="5"/>
        <v>5187.5</v>
      </c>
    </row>
    <row r="13" spans="1:30">
      <c r="A13" t="s">
        <v>457</v>
      </c>
      <c r="B13" s="3"/>
      <c r="C13" s="3"/>
      <c r="D13" s="3"/>
      <c r="E13" s="3"/>
      <c r="F13" s="3">
        <v>97200</v>
      </c>
      <c r="G13" s="3"/>
      <c r="H13" s="3"/>
      <c r="I13" s="3"/>
      <c r="J13" s="3"/>
      <c r="K13" s="3">
        <f>23040+7680</f>
        <v>30720</v>
      </c>
      <c r="L13" s="3"/>
      <c r="M13" s="3">
        <v>23040</v>
      </c>
      <c r="N13" s="3"/>
      <c r="O13" s="135">
        <f t="shared" si="3"/>
        <v>150960</v>
      </c>
      <c r="Q13" t="s">
        <v>458</v>
      </c>
      <c r="S13" s="4">
        <f t="shared" si="5"/>
        <v>12580</v>
      </c>
      <c r="T13" s="4">
        <f t="shared" si="5"/>
        <v>12580</v>
      </c>
      <c r="U13" s="4">
        <f t="shared" si="5"/>
        <v>12580</v>
      </c>
      <c r="V13" s="4">
        <f t="shared" si="5"/>
        <v>12580</v>
      </c>
      <c r="W13" s="4">
        <f t="shared" si="5"/>
        <v>12580</v>
      </c>
      <c r="X13" s="4">
        <f t="shared" si="5"/>
        <v>12580</v>
      </c>
      <c r="Y13" s="4">
        <f t="shared" si="5"/>
        <v>12580</v>
      </c>
      <c r="Z13" s="4">
        <f t="shared" si="5"/>
        <v>12580</v>
      </c>
      <c r="AA13" s="4">
        <f t="shared" si="5"/>
        <v>12580</v>
      </c>
      <c r="AB13" s="4">
        <f t="shared" si="5"/>
        <v>12580</v>
      </c>
      <c r="AC13" s="4">
        <f t="shared" si="5"/>
        <v>12580</v>
      </c>
      <c r="AD13" s="4">
        <f t="shared" si="5"/>
        <v>12580</v>
      </c>
    </row>
    <row r="14" spans="1:30">
      <c r="A14" t="s">
        <v>459</v>
      </c>
      <c r="B14" s="3"/>
      <c r="C14" s="3"/>
      <c r="D14" s="3"/>
      <c r="E14" s="3"/>
      <c r="F14" s="3">
        <v>85000</v>
      </c>
      <c r="G14" s="3"/>
      <c r="H14" s="3"/>
      <c r="I14" s="3"/>
      <c r="J14" s="3"/>
      <c r="K14" s="3">
        <v>15000</v>
      </c>
      <c r="L14" s="3"/>
      <c r="M14" s="3">
        <v>20000</v>
      </c>
      <c r="N14" s="3"/>
      <c r="O14" s="135">
        <f t="shared" si="3"/>
        <v>120000</v>
      </c>
      <c r="Q14" t="s">
        <v>460</v>
      </c>
      <c r="S14" s="5">
        <f>$O14*'Sales Budget Summary'!L10/'Sales Budget Summary'!$F$10</f>
        <v>7656.1985052774608</v>
      </c>
      <c r="T14" s="5">
        <f>$O14*'Sales Budget Summary'!M10/'Sales Budget Summary'!$F$10</f>
        <v>9281.2279308331963</v>
      </c>
      <c r="U14" s="5">
        <f>$O14*'Sales Budget Summary'!N10/'Sales Budget Summary'!$F$10</f>
        <v>11468.713218055329</v>
      </c>
      <c r="V14" s="5">
        <f>$O14*'Sales Budget Summary'!O10/'Sales Budget Summary'!$F$10</f>
        <v>9828.099252638729</v>
      </c>
      <c r="W14" s="5">
        <f>$O14*'Sales Budget Summary'!P10/'Sales Budget Summary'!$F$10</f>
        <v>10374.970574444264</v>
      </c>
      <c r="X14" s="5">
        <f>$O14*'Sales Budget Summary'!Q10/'Sales Budget Summary'!$F$10</f>
        <v>9812.5147127778673</v>
      </c>
      <c r="Y14" s="5">
        <f>$O14*'Sales Budget Summary'!R10/'Sales Budget Summary'!$F$10</f>
        <v>9812.5147127778673</v>
      </c>
      <c r="Z14" s="5">
        <f>$O14*'Sales Budget Summary'!S10/'Sales Budget Summary'!$F$10</f>
        <v>8171.9007473612692</v>
      </c>
      <c r="AA14" s="5">
        <f>$O14*'Sales Budget Summary'!T10/'Sales Budget Summary'!$F$10</f>
        <v>11453.128678194465</v>
      </c>
      <c r="AB14" s="5">
        <f>$O14*'Sales Budget Summary'!U10/'Sales Budget Summary'!$F$10</f>
        <v>12531.286781944669</v>
      </c>
      <c r="AC14" s="5">
        <f>$O14*'Sales Budget Summary'!V10/'Sales Budget Summary'!$F$10</f>
        <v>10890.672816528071</v>
      </c>
      <c r="AD14" s="5">
        <f>$O14*'Sales Budget Summary'!W10/'Sales Budget Summary'!$F$10</f>
        <v>8718.7720691668019</v>
      </c>
    </row>
    <row r="15" spans="1:30">
      <c r="A15" s="15" t="s">
        <v>303</v>
      </c>
      <c r="B15" s="135"/>
      <c r="C15" s="135"/>
      <c r="D15" s="135">
        <v>30000</v>
      </c>
      <c r="E15" s="135"/>
      <c r="F15" s="135">
        <v>100000</v>
      </c>
      <c r="G15" s="135"/>
      <c r="H15" s="135"/>
      <c r="I15" s="135"/>
      <c r="J15" s="135"/>
      <c r="K15" s="135"/>
      <c r="L15" s="135"/>
      <c r="M15" s="135">
        <v>19200</v>
      </c>
      <c r="N15" s="135"/>
      <c r="O15" s="135">
        <v>149200</v>
      </c>
    </row>
    <row r="16" spans="1:30">
      <c r="A16" t="s">
        <v>461</v>
      </c>
      <c r="B16" s="3"/>
      <c r="C16" s="3"/>
      <c r="D16" s="3">
        <v>30000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135">
        <v>30000</v>
      </c>
    </row>
    <row r="17" spans="1:30">
      <c r="A17" t="s">
        <v>462</v>
      </c>
      <c r="B17" s="3"/>
      <c r="C17" s="3"/>
      <c r="D17" s="3"/>
      <c r="E17" s="3"/>
      <c r="F17" s="3">
        <v>100000</v>
      </c>
      <c r="G17" s="3"/>
      <c r="H17" s="3"/>
      <c r="I17" s="3"/>
      <c r="J17" s="3"/>
      <c r="K17" s="3"/>
      <c r="L17" s="3"/>
      <c r="M17" s="3">
        <v>19200</v>
      </c>
      <c r="N17" s="3"/>
      <c r="O17" s="135">
        <v>119200</v>
      </c>
    </row>
    <row r="18" spans="1:30">
      <c r="A18" s="15" t="s">
        <v>176</v>
      </c>
      <c r="B18" s="135"/>
      <c r="C18" s="135">
        <v>22000</v>
      </c>
      <c r="D18" s="135">
        <v>678000</v>
      </c>
      <c r="E18" s="135">
        <v>41320</v>
      </c>
      <c r="F18" s="135"/>
      <c r="G18" s="135"/>
      <c r="H18" s="135"/>
      <c r="I18" s="135"/>
      <c r="J18" s="135">
        <v>0</v>
      </c>
      <c r="K18" s="135"/>
      <c r="L18" s="135"/>
      <c r="M18" s="135"/>
      <c r="N18" s="135"/>
      <c r="O18" s="135">
        <v>741320</v>
      </c>
      <c r="S18" s="4">
        <f>SUM(S19:S23)</f>
        <v>39276.666666666664</v>
      </c>
      <c r="T18" s="4">
        <f t="shared" ref="T18:AD18" si="6">SUM(T19:T23)</f>
        <v>39276.666666666664</v>
      </c>
      <c r="U18" s="4">
        <f t="shared" si="6"/>
        <v>114276.66666666667</v>
      </c>
      <c r="V18" s="4">
        <f t="shared" si="6"/>
        <v>39276.666666666664</v>
      </c>
      <c r="W18" s="4">
        <f t="shared" si="6"/>
        <v>79276.666666666672</v>
      </c>
      <c r="X18" s="4">
        <f t="shared" si="6"/>
        <v>114276.66666666667</v>
      </c>
      <c r="Y18" s="4">
        <f t="shared" si="6"/>
        <v>119276.66666666667</v>
      </c>
      <c r="Z18" s="4">
        <f t="shared" si="6"/>
        <v>39276.666666666664</v>
      </c>
      <c r="AA18" s="4">
        <f t="shared" si="6"/>
        <v>39276.666666666664</v>
      </c>
      <c r="AB18" s="4">
        <f t="shared" si="6"/>
        <v>39276.666666666664</v>
      </c>
      <c r="AC18" s="4">
        <f t="shared" si="6"/>
        <v>39276.666666666664</v>
      </c>
      <c r="AD18" s="4">
        <f t="shared" si="6"/>
        <v>39276.666666666664</v>
      </c>
    </row>
    <row r="19" spans="1:30">
      <c r="A19" t="s">
        <v>463</v>
      </c>
      <c r="B19" s="3"/>
      <c r="C19" s="3"/>
      <c r="D19" s="3">
        <v>192000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135">
        <f>SUM(C19:N19)</f>
        <v>192000</v>
      </c>
      <c r="S19" s="4">
        <f>$O19/12</f>
        <v>16000</v>
      </c>
      <c r="T19" s="4">
        <f t="shared" ref="T19:AD19" si="7">$O19/12</f>
        <v>16000</v>
      </c>
      <c r="U19" s="4">
        <f t="shared" si="7"/>
        <v>16000</v>
      </c>
      <c r="V19" s="4">
        <f t="shared" si="7"/>
        <v>16000</v>
      </c>
      <c r="W19" s="4">
        <f t="shared" si="7"/>
        <v>16000</v>
      </c>
      <c r="X19" s="4">
        <f t="shared" si="7"/>
        <v>16000</v>
      </c>
      <c r="Y19" s="4">
        <f t="shared" si="7"/>
        <v>16000</v>
      </c>
      <c r="Z19" s="4">
        <f t="shared" si="7"/>
        <v>16000</v>
      </c>
      <c r="AA19" s="4">
        <f t="shared" si="7"/>
        <v>16000</v>
      </c>
      <c r="AB19" s="4">
        <f t="shared" si="7"/>
        <v>16000</v>
      </c>
      <c r="AC19" s="4">
        <f t="shared" si="7"/>
        <v>16000</v>
      </c>
      <c r="AD19" s="4">
        <f t="shared" si="7"/>
        <v>16000</v>
      </c>
    </row>
    <row r="20" spans="1:30">
      <c r="A20" t="s">
        <v>453</v>
      </c>
      <c r="B20" s="3"/>
      <c r="C20" s="3"/>
      <c r="D20" s="3">
        <v>150000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135">
        <f t="shared" ref="O20:O23" si="8">SUM(C20:N20)</f>
        <v>150000</v>
      </c>
      <c r="U20" s="4">
        <f>O20*50%</f>
        <v>75000</v>
      </c>
      <c r="X20" s="4">
        <f>O20*50%</f>
        <v>75000</v>
      </c>
    </row>
    <row r="21" spans="1:30">
      <c r="A21" t="s">
        <v>464</v>
      </c>
      <c r="B21" s="3"/>
      <c r="C21" s="3"/>
      <c r="D21" s="3">
        <v>120000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135">
        <f t="shared" si="8"/>
        <v>120000</v>
      </c>
      <c r="W21" s="4">
        <f>O21*1/3</f>
        <v>40000</v>
      </c>
      <c r="Y21" s="4">
        <f>O21*2/3</f>
        <v>80000</v>
      </c>
    </row>
    <row r="22" spans="1:30">
      <c r="A22" t="s">
        <v>465</v>
      </c>
      <c r="B22" s="3"/>
      <c r="C22" s="3"/>
      <c r="D22" s="3">
        <v>216000</v>
      </c>
      <c r="E22" s="3"/>
      <c r="F22" s="3"/>
      <c r="G22" s="3"/>
      <c r="H22" s="3"/>
      <c r="I22" s="3"/>
      <c r="J22" s="3">
        <v>0</v>
      </c>
      <c r="K22" s="3"/>
      <c r="L22" s="3"/>
      <c r="M22" s="3"/>
      <c r="N22" s="3"/>
      <c r="O22" s="135">
        <f t="shared" si="8"/>
        <v>216000</v>
      </c>
      <c r="S22" s="4">
        <f>$O22/12</f>
        <v>18000</v>
      </c>
      <c r="T22" s="4">
        <f t="shared" ref="T22:AD23" si="9">$O22/12</f>
        <v>18000</v>
      </c>
      <c r="U22" s="4">
        <f t="shared" si="9"/>
        <v>18000</v>
      </c>
      <c r="V22" s="4">
        <f t="shared" si="9"/>
        <v>18000</v>
      </c>
      <c r="W22" s="4">
        <f t="shared" si="9"/>
        <v>18000</v>
      </c>
      <c r="X22" s="4">
        <f t="shared" si="9"/>
        <v>18000</v>
      </c>
      <c r="Y22" s="4">
        <f t="shared" si="9"/>
        <v>18000</v>
      </c>
      <c r="Z22" s="4">
        <f t="shared" si="9"/>
        <v>18000</v>
      </c>
      <c r="AA22" s="4">
        <f t="shared" si="9"/>
        <v>18000</v>
      </c>
      <c r="AB22" s="4">
        <f t="shared" si="9"/>
        <v>18000</v>
      </c>
      <c r="AC22" s="4">
        <f t="shared" si="9"/>
        <v>18000</v>
      </c>
      <c r="AD22" s="4">
        <f t="shared" si="9"/>
        <v>18000</v>
      </c>
    </row>
    <row r="23" spans="1:30">
      <c r="A23" t="s">
        <v>466</v>
      </c>
      <c r="B23" s="3"/>
      <c r="C23" s="3">
        <v>22000</v>
      </c>
      <c r="D23" s="3"/>
      <c r="E23" s="3">
        <v>41320</v>
      </c>
      <c r="F23" s="3"/>
      <c r="G23" s="3"/>
      <c r="H23" s="3"/>
      <c r="I23" s="3"/>
      <c r="J23" s="3"/>
      <c r="K23" s="3"/>
      <c r="L23" s="3"/>
      <c r="M23" s="3"/>
      <c r="N23" s="3"/>
      <c r="O23" s="135">
        <f t="shared" si="8"/>
        <v>63320</v>
      </c>
      <c r="S23" s="4">
        <f>$O23/12</f>
        <v>5276.666666666667</v>
      </c>
      <c r="T23" s="4">
        <f t="shared" si="9"/>
        <v>5276.666666666667</v>
      </c>
      <c r="U23" s="4">
        <f t="shared" si="9"/>
        <v>5276.666666666667</v>
      </c>
      <c r="V23" s="4">
        <f t="shared" si="9"/>
        <v>5276.666666666667</v>
      </c>
      <c r="W23" s="4">
        <f t="shared" si="9"/>
        <v>5276.666666666667</v>
      </c>
      <c r="X23" s="4">
        <f t="shared" si="9"/>
        <v>5276.666666666667</v>
      </c>
      <c r="Y23" s="4">
        <f t="shared" si="9"/>
        <v>5276.666666666667</v>
      </c>
      <c r="Z23" s="4">
        <f t="shared" si="9"/>
        <v>5276.666666666667</v>
      </c>
      <c r="AA23" s="4">
        <f t="shared" si="9"/>
        <v>5276.666666666667</v>
      </c>
      <c r="AB23" s="4">
        <f t="shared" si="9"/>
        <v>5276.666666666667</v>
      </c>
      <c r="AC23" s="4">
        <f t="shared" si="9"/>
        <v>5276.666666666667</v>
      </c>
      <c r="AD23" s="4">
        <f t="shared" si="9"/>
        <v>5276.666666666667</v>
      </c>
    </row>
    <row r="24" spans="1:30">
      <c r="A24" s="15" t="s">
        <v>173</v>
      </c>
      <c r="B24" s="135"/>
      <c r="C24" s="135">
        <v>32960</v>
      </c>
      <c r="D24" s="135">
        <v>1509591.07</v>
      </c>
      <c r="E24" s="135">
        <v>25520</v>
      </c>
      <c r="F24" s="135">
        <v>216940</v>
      </c>
      <c r="G24" s="135">
        <v>57088</v>
      </c>
      <c r="H24" s="135"/>
      <c r="I24" s="135">
        <v>12960</v>
      </c>
      <c r="J24" s="135">
        <v>6240</v>
      </c>
      <c r="K24" s="135">
        <v>30720</v>
      </c>
      <c r="L24" s="135">
        <v>54144</v>
      </c>
      <c r="M24" s="135">
        <v>124680</v>
      </c>
      <c r="N24" s="135"/>
      <c r="O24" s="135">
        <v>2070843.07</v>
      </c>
    </row>
    <row r="25" spans="1:30">
      <c r="A25" t="s">
        <v>467</v>
      </c>
      <c r="B25" s="3"/>
      <c r="C25" s="3"/>
      <c r="D25" s="3">
        <v>366662.29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135">
        <v>366662.29</v>
      </c>
    </row>
    <row r="26" spans="1:30">
      <c r="A26" t="s">
        <v>445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>
        <v>54144</v>
      </c>
      <c r="M26" s="3"/>
      <c r="N26" s="3"/>
      <c r="O26" s="135">
        <v>54144</v>
      </c>
    </row>
    <row r="27" spans="1:30">
      <c r="A27" t="s">
        <v>468</v>
      </c>
      <c r="B27" s="3"/>
      <c r="C27" s="3"/>
      <c r="D27" s="3">
        <v>72600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135">
        <v>72600</v>
      </c>
    </row>
    <row r="28" spans="1:30">
      <c r="A28" t="s">
        <v>469</v>
      </c>
      <c r="B28" s="3"/>
      <c r="C28" s="3"/>
      <c r="D28" s="3">
        <v>237000</v>
      </c>
      <c r="E28" s="3"/>
      <c r="F28" s="3"/>
      <c r="G28" s="3">
        <v>49288</v>
      </c>
      <c r="H28" s="3"/>
      <c r="I28" s="3"/>
      <c r="J28" s="3"/>
      <c r="K28" s="3"/>
      <c r="L28" s="3"/>
      <c r="M28" s="3"/>
      <c r="N28" s="3"/>
      <c r="O28" s="135">
        <v>286288</v>
      </c>
    </row>
    <row r="29" spans="1:30">
      <c r="A29" t="s">
        <v>470</v>
      </c>
      <c r="B29" s="3"/>
      <c r="C29" s="3"/>
      <c r="D29" s="3">
        <v>123600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135">
        <v>123600</v>
      </c>
    </row>
    <row r="30" spans="1:30">
      <c r="A30" t="s">
        <v>453</v>
      </c>
      <c r="B30" s="3"/>
      <c r="C30" s="3"/>
      <c r="D30" s="3">
        <v>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135">
        <v>0</v>
      </c>
    </row>
    <row r="31" spans="1:30">
      <c r="A31" t="s">
        <v>471</v>
      </c>
      <c r="B31" s="3"/>
      <c r="C31" s="3"/>
      <c r="D31" s="3">
        <v>94664.14</v>
      </c>
      <c r="E31" s="3"/>
      <c r="F31" s="3"/>
      <c r="G31" s="3"/>
      <c r="H31" s="3"/>
      <c r="I31" s="3"/>
      <c r="J31" s="3"/>
      <c r="K31" s="3">
        <v>12960</v>
      </c>
      <c r="L31" s="3"/>
      <c r="M31" s="3"/>
      <c r="N31" s="3"/>
      <c r="O31" s="135">
        <v>107624.14</v>
      </c>
    </row>
    <row r="32" spans="1:30">
      <c r="A32" t="s">
        <v>472</v>
      </c>
      <c r="B32" s="3"/>
      <c r="C32" s="3"/>
      <c r="D32" s="3">
        <v>221884.64</v>
      </c>
      <c r="E32" s="3"/>
      <c r="F32" s="3">
        <v>35900</v>
      </c>
      <c r="G32" s="3"/>
      <c r="H32" s="3"/>
      <c r="I32" s="3"/>
      <c r="J32" s="3"/>
      <c r="K32" s="3"/>
      <c r="L32" s="3"/>
      <c r="M32" s="3"/>
      <c r="N32" s="3"/>
      <c r="O32" s="135">
        <v>257784.64</v>
      </c>
    </row>
    <row r="33" spans="1:15">
      <c r="A33" t="s">
        <v>173</v>
      </c>
      <c r="B33" s="3"/>
      <c r="C33" s="3"/>
      <c r="D33" s="3"/>
      <c r="E33" s="3"/>
      <c r="F33" s="3"/>
      <c r="G33" s="3">
        <v>4800</v>
      </c>
      <c r="H33" s="3"/>
      <c r="I33" s="3"/>
      <c r="J33" s="3"/>
      <c r="K33" s="3"/>
      <c r="L33" s="3"/>
      <c r="M33" s="3"/>
      <c r="N33" s="3"/>
      <c r="O33" s="135">
        <v>4800</v>
      </c>
    </row>
    <row r="34" spans="1:15">
      <c r="A34" t="s">
        <v>456</v>
      </c>
      <c r="B34" s="3"/>
      <c r="C34" s="3"/>
      <c r="D34" s="3">
        <v>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135">
        <v>0</v>
      </c>
    </row>
    <row r="35" spans="1:15">
      <c r="A35" t="s">
        <v>473</v>
      </c>
      <c r="B35" s="3"/>
      <c r="C35" s="3"/>
      <c r="D35" s="3"/>
      <c r="E35" s="3"/>
      <c r="F35" s="3"/>
      <c r="G35" s="3">
        <v>3000</v>
      </c>
      <c r="H35" s="3"/>
      <c r="I35" s="3"/>
      <c r="J35" s="3"/>
      <c r="K35" s="3"/>
      <c r="L35" s="3"/>
      <c r="M35" s="3"/>
      <c r="N35" s="3"/>
      <c r="O35" s="135">
        <v>3000</v>
      </c>
    </row>
    <row r="36" spans="1:15">
      <c r="A36" t="s">
        <v>474</v>
      </c>
      <c r="B36" s="3"/>
      <c r="C36" s="3"/>
      <c r="D36" s="3">
        <v>56000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135">
        <v>56000</v>
      </c>
    </row>
    <row r="37" spans="1:15">
      <c r="A37" t="s">
        <v>475</v>
      </c>
      <c r="B37" s="3"/>
      <c r="C37" s="3"/>
      <c r="D37" s="3">
        <v>15000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135">
        <v>15000</v>
      </c>
    </row>
    <row r="38" spans="1:15">
      <c r="A38" t="s">
        <v>476</v>
      </c>
      <c r="B38" s="3"/>
      <c r="C38" s="3"/>
      <c r="D38" s="3">
        <v>29000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135">
        <v>29000</v>
      </c>
    </row>
    <row r="39" spans="1:15">
      <c r="A39" t="s">
        <v>477</v>
      </c>
      <c r="B39" s="3"/>
      <c r="C39" s="3">
        <v>32960</v>
      </c>
      <c r="D39" s="3">
        <v>293180</v>
      </c>
      <c r="E39" s="3">
        <v>25520</v>
      </c>
      <c r="F39" s="3">
        <v>181040</v>
      </c>
      <c r="G39" s="3"/>
      <c r="H39" s="3"/>
      <c r="I39" s="3">
        <v>12960</v>
      </c>
      <c r="J39" s="3">
        <v>6240</v>
      </c>
      <c r="K39" s="3">
        <v>17760</v>
      </c>
      <c r="L39" s="3"/>
      <c r="M39" s="3">
        <v>124680</v>
      </c>
      <c r="N39" s="3"/>
      <c r="O39" s="135">
        <v>694340</v>
      </c>
    </row>
    <row r="40" spans="1:15">
      <c r="A40" s="15" t="s">
        <v>172</v>
      </c>
      <c r="B40" s="135"/>
      <c r="C40" s="135"/>
      <c r="D40" s="135">
        <v>12000</v>
      </c>
      <c r="E40" s="135"/>
      <c r="F40" s="135"/>
      <c r="G40" s="135"/>
      <c r="H40" s="135"/>
      <c r="I40" s="135"/>
      <c r="J40" s="135"/>
      <c r="K40" s="135">
        <v>9000</v>
      </c>
      <c r="L40" s="135"/>
      <c r="M40" s="135"/>
      <c r="N40" s="135"/>
      <c r="O40" s="135">
        <v>21000</v>
      </c>
    </row>
    <row r="41" spans="1:15">
      <c r="A41" t="s">
        <v>478</v>
      </c>
      <c r="B41" s="3"/>
      <c r="C41" s="3"/>
      <c r="D41" s="3"/>
      <c r="E41" s="3"/>
      <c r="F41" s="3"/>
      <c r="G41" s="3"/>
      <c r="H41" s="3"/>
      <c r="I41" s="3"/>
      <c r="J41" s="3"/>
      <c r="K41" s="3">
        <v>9000</v>
      </c>
      <c r="L41" s="3"/>
      <c r="M41" s="3"/>
      <c r="N41" s="3"/>
      <c r="O41" s="135">
        <v>9000</v>
      </c>
    </row>
    <row r="42" spans="1:15">
      <c r="A42" t="s">
        <v>479</v>
      </c>
      <c r="B42" s="3"/>
      <c r="C42" s="3"/>
      <c r="D42" s="3">
        <v>12000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135">
        <v>12000</v>
      </c>
    </row>
    <row r="43" spans="1:15">
      <c r="A43" s="15" t="s">
        <v>169</v>
      </c>
      <c r="B43" s="135"/>
      <c r="C43" s="135">
        <v>11388.8</v>
      </c>
      <c r="D43" s="135"/>
      <c r="E43" s="135">
        <v>5000</v>
      </c>
      <c r="F43" s="135">
        <v>97040</v>
      </c>
      <c r="G43" s="135"/>
      <c r="H43" s="135"/>
      <c r="I43" s="135"/>
      <c r="J43" s="135">
        <v>0</v>
      </c>
      <c r="K43" s="135">
        <v>62420</v>
      </c>
      <c r="L43" s="135"/>
      <c r="M43" s="135">
        <v>123200</v>
      </c>
      <c r="N43" s="135">
        <v>0</v>
      </c>
      <c r="O43" s="135">
        <v>299049</v>
      </c>
    </row>
    <row r="44" spans="1:15">
      <c r="A44" t="s">
        <v>449</v>
      </c>
      <c r="B44" s="3"/>
      <c r="C44" s="3"/>
      <c r="D44" s="3"/>
      <c r="E44" s="3">
        <v>5000</v>
      </c>
      <c r="F44" s="3">
        <v>30400</v>
      </c>
      <c r="G44" s="3"/>
      <c r="H44" s="3"/>
      <c r="I44" s="3"/>
      <c r="J44" s="3">
        <v>0</v>
      </c>
      <c r="K44" s="3">
        <v>6000</v>
      </c>
      <c r="L44" s="3"/>
      <c r="M44" s="3">
        <v>0</v>
      </c>
      <c r="N44" s="3">
        <v>0</v>
      </c>
      <c r="O44" s="135">
        <v>41400</v>
      </c>
    </row>
    <row r="45" spans="1:15">
      <c r="A45" t="s">
        <v>480</v>
      </c>
      <c r="B45" s="3"/>
      <c r="C45" s="3"/>
      <c r="D45" s="3"/>
      <c r="E45" s="3"/>
      <c r="F45" s="3">
        <v>30000</v>
      </c>
      <c r="G45" s="3"/>
      <c r="H45" s="3"/>
      <c r="I45" s="3"/>
      <c r="J45" s="3"/>
      <c r="K45" s="3"/>
      <c r="L45" s="3"/>
      <c r="M45" s="3">
        <v>0</v>
      </c>
      <c r="N45" s="3"/>
      <c r="O45" s="135">
        <v>58860</v>
      </c>
    </row>
    <row r="46" spans="1:15">
      <c r="A46" t="s">
        <v>481</v>
      </c>
      <c r="B46" s="3"/>
      <c r="C46" s="3">
        <v>3388.7999999999997</v>
      </c>
      <c r="D46" s="3"/>
      <c r="E46" s="3"/>
      <c r="F46" s="3"/>
      <c r="G46" s="3"/>
      <c r="H46" s="3"/>
      <c r="I46" s="3"/>
      <c r="J46" s="3"/>
      <c r="K46" s="3">
        <v>26000</v>
      </c>
      <c r="L46" s="3"/>
      <c r="M46" s="3"/>
      <c r="N46" s="3"/>
      <c r="O46" s="135">
        <v>39388.800000000003</v>
      </c>
    </row>
    <row r="47" spans="1:15">
      <c r="A47" t="s">
        <v>482</v>
      </c>
      <c r="B47" s="3"/>
      <c r="C47" s="3"/>
      <c r="D47" s="3"/>
      <c r="E47" s="3"/>
      <c r="F47" s="3"/>
      <c r="G47" s="3"/>
      <c r="H47" s="3"/>
      <c r="I47" s="3"/>
      <c r="J47" s="3"/>
      <c r="K47" s="3">
        <v>7200</v>
      </c>
      <c r="L47" s="3"/>
      <c r="M47" s="3"/>
      <c r="N47" s="3"/>
      <c r="O47" s="135">
        <v>7200</v>
      </c>
    </row>
    <row r="48" spans="1:15">
      <c r="A48" t="s">
        <v>483</v>
      </c>
      <c r="B48" s="3"/>
      <c r="C48" s="3">
        <v>8000</v>
      </c>
      <c r="D48" s="3"/>
      <c r="E48" s="3">
        <v>0</v>
      </c>
      <c r="F48" s="3">
        <v>36640</v>
      </c>
      <c r="G48" s="3"/>
      <c r="H48" s="3"/>
      <c r="I48" s="3"/>
      <c r="J48" s="3">
        <v>0</v>
      </c>
      <c r="K48" s="3">
        <v>23220</v>
      </c>
      <c r="L48" s="3"/>
      <c r="M48" s="3">
        <v>123200</v>
      </c>
      <c r="N48" s="3"/>
      <c r="O48" s="135">
        <v>351060</v>
      </c>
    </row>
    <row r="49" spans="1:15">
      <c r="A49" s="15" t="s">
        <v>162</v>
      </c>
      <c r="B49" s="135">
        <v>0</v>
      </c>
      <c r="C49" s="135"/>
      <c r="D49" s="135"/>
      <c r="E49" s="135"/>
      <c r="F49" s="135"/>
      <c r="G49" s="135"/>
      <c r="H49" s="135">
        <v>3072</v>
      </c>
      <c r="I49" s="135"/>
      <c r="J49" s="135"/>
      <c r="K49" s="135">
        <v>720</v>
      </c>
      <c r="L49" s="135">
        <v>768</v>
      </c>
      <c r="M49" s="135">
        <v>0</v>
      </c>
      <c r="N49" s="135"/>
      <c r="O49" s="135">
        <v>4560</v>
      </c>
    </row>
    <row r="50" spans="1:15">
      <c r="A50" t="s">
        <v>473</v>
      </c>
      <c r="B50" s="3">
        <v>0</v>
      </c>
      <c r="C50" s="3"/>
      <c r="D50" s="3"/>
      <c r="E50" s="3"/>
      <c r="F50" s="3"/>
      <c r="G50" s="3"/>
      <c r="H50" s="3">
        <v>3072</v>
      </c>
      <c r="I50" s="3"/>
      <c r="J50" s="3"/>
      <c r="K50" s="3"/>
      <c r="L50" s="3">
        <v>768</v>
      </c>
      <c r="M50" s="3"/>
      <c r="N50" s="3"/>
      <c r="O50" s="135">
        <v>3840</v>
      </c>
    </row>
    <row r="51" spans="1:15">
      <c r="A51" t="s">
        <v>484</v>
      </c>
      <c r="B51" s="3"/>
      <c r="C51" s="3"/>
      <c r="D51" s="3"/>
      <c r="E51" s="3"/>
      <c r="F51" s="3"/>
      <c r="G51" s="3"/>
      <c r="H51" s="3">
        <v>0</v>
      </c>
      <c r="I51" s="3"/>
      <c r="J51" s="3"/>
      <c r="K51" s="3">
        <v>720</v>
      </c>
      <c r="L51" s="3">
        <v>0</v>
      </c>
      <c r="M51" s="3">
        <v>0</v>
      </c>
      <c r="N51" s="3"/>
      <c r="O51" s="135">
        <v>720</v>
      </c>
    </row>
    <row r="52" spans="1:15">
      <c r="A52" t="s">
        <v>485</v>
      </c>
      <c r="B52" s="3"/>
      <c r="C52" s="3"/>
      <c r="D52" s="3"/>
      <c r="E52" s="3"/>
      <c r="F52" s="3"/>
      <c r="G52" s="3"/>
      <c r="H52" s="3"/>
      <c r="I52" s="3"/>
      <c r="J52" s="3"/>
      <c r="K52" s="3">
        <v>0</v>
      </c>
      <c r="L52" s="3"/>
      <c r="M52" s="3"/>
      <c r="N52" s="3"/>
      <c r="O52" s="135">
        <v>0</v>
      </c>
    </row>
    <row r="53" spans="1:15">
      <c r="A53" t="s">
        <v>443</v>
      </c>
      <c r="B53" s="3"/>
      <c r="C53" s="3"/>
      <c r="D53" s="3"/>
      <c r="E53" s="3"/>
      <c r="F53" s="3"/>
      <c r="G53" s="3"/>
      <c r="H53" s="3">
        <v>0</v>
      </c>
      <c r="I53" s="3"/>
      <c r="J53" s="3"/>
      <c r="K53" s="3"/>
      <c r="L53" s="3"/>
      <c r="M53" s="3"/>
      <c r="N53" s="3">
        <v>0</v>
      </c>
      <c r="O53" s="135">
        <v>0</v>
      </c>
    </row>
    <row r="54" spans="1:15">
      <c r="A54" t="s">
        <v>443</v>
      </c>
      <c r="B54" s="3"/>
      <c r="C54" s="3"/>
      <c r="D54" s="3"/>
      <c r="E54" s="3"/>
      <c r="F54" s="3"/>
      <c r="G54" s="3"/>
      <c r="H54" s="3">
        <v>0</v>
      </c>
      <c r="I54" s="3"/>
      <c r="J54" s="3"/>
      <c r="K54" s="3"/>
      <c r="L54" s="3"/>
      <c r="M54" s="3"/>
      <c r="N54" s="3">
        <v>0</v>
      </c>
      <c r="O54" s="135">
        <v>0</v>
      </c>
    </row>
    <row r="55" spans="1:15">
      <c r="A55" t="s">
        <v>444</v>
      </c>
      <c r="B55" s="3">
        <v>0</v>
      </c>
      <c r="C55" s="3">
        <v>66348.800000000003</v>
      </c>
      <c r="D55" s="3">
        <v>2339591.0699999998</v>
      </c>
      <c r="E55" s="3">
        <v>91840</v>
      </c>
      <c r="F55" s="3">
        <v>930050</v>
      </c>
      <c r="G55" s="3">
        <v>57088</v>
      </c>
      <c r="H55" s="3">
        <v>365052</v>
      </c>
      <c r="I55" s="3">
        <v>21710</v>
      </c>
      <c r="J55" s="3">
        <v>6240</v>
      </c>
      <c r="K55" s="3">
        <v>140940</v>
      </c>
      <c r="L55" s="3">
        <v>204816</v>
      </c>
      <c r="M55" s="3">
        <v>358008</v>
      </c>
      <c r="N55" s="3">
        <v>0</v>
      </c>
      <c r="O55" s="135">
        <v>4581683.87</v>
      </c>
    </row>
  </sheetData>
  <pageMargins left="0.7" right="0.7" top="0.75" bottom="0.75" header="0.3" footer="0.3"/>
  <pageSetup paperSize="9"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586D-98F0-454F-B7A6-04B31C474425}">
  <sheetPr>
    <tabColor rgb="FF92D050"/>
  </sheetPr>
  <dimension ref="A3:AK54"/>
  <sheetViews>
    <sheetView showGridLines="0" topLeftCell="A4" workbookViewId="0">
      <selection activeCell="Q10" sqref="Q10"/>
    </sheetView>
  </sheetViews>
  <sheetFormatPr defaultColWidth="8.85546875" defaultRowHeight="15"/>
  <cols>
    <col min="1" max="1" width="32.28515625" bestFit="1" customWidth="1"/>
    <col min="2" max="2" width="17" bestFit="1" customWidth="1"/>
    <col min="3" max="3" width="10.42578125" bestFit="1" customWidth="1"/>
    <col min="4" max="4" width="13.7109375" bestFit="1" customWidth="1"/>
    <col min="5" max="5" width="10.42578125" bestFit="1" customWidth="1"/>
    <col min="6" max="6" width="13.28515625" bestFit="1" customWidth="1"/>
    <col min="7" max="7" width="24" bestFit="1" customWidth="1"/>
    <col min="8" max="8" width="15.28515625" bestFit="1" customWidth="1"/>
    <col min="9" max="9" width="10.7109375" bestFit="1" customWidth="1"/>
    <col min="10" max="11" width="11.42578125" bestFit="1" customWidth="1"/>
    <col min="12" max="12" width="15.28515625" bestFit="1" customWidth="1"/>
    <col min="13" max="14" width="11.42578125" bestFit="1" customWidth="1"/>
    <col min="15" max="15" width="13.28515625" style="15" bestFit="1" customWidth="1"/>
    <col min="29" max="29" width="10.42578125" bestFit="1" customWidth="1"/>
  </cols>
  <sheetData>
    <row r="3" spans="1:37">
      <c r="A3" t="s">
        <v>435</v>
      </c>
      <c r="B3" t="s">
        <v>436</v>
      </c>
    </row>
    <row r="4" spans="1:37">
      <c r="A4" t="s">
        <v>437</v>
      </c>
      <c r="B4" t="s">
        <v>137</v>
      </c>
      <c r="C4" t="s">
        <v>87</v>
      </c>
      <c r="D4" t="s">
        <v>438</v>
      </c>
      <c r="E4" t="s">
        <v>71</v>
      </c>
      <c r="F4" t="s">
        <v>31</v>
      </c>
      <c r="G4" t="s">
        <v>439</v>
      </c>
      <c r="H4" t="s">
        <v>440</v>
      </c>
      <c r="I4" t="s">
        <v>441</v>
      </c>
      <c r="J4" t="s">
        <v>79</v>
      </c>
      <c r="K4" t="s">
        <v>127</v>
      </c>
      <c r="L4" t="s">
        <v>442</v>
      </c>
      <c r="M4" t="s">
        <v>46</v>
      </c>
      <c r="N4" t="s">
        <v>443</v>
      </c>
      <c r="O4" s="15" t="s">
        <v>444</v>
      </c>
    </row>
    <row r="5" spans="1:37">
      <c r="A5" s="15" t="s">
        <v>168</v>
      </c>
      <c r="B5" s="135"/>
      <c r="C5" s="135">
        <f>SUM(C6:C16)</f>
        <v>0</v>
      </c>
      <c r="D5" s="135">
        <f t="shared" ref="D5:N5" si="0">SUM(D6:D16)</f>
        <v>311000</v>
      </c>
      <c r="E5" s="135">
        <f t="shared" si="0"/>
        <v>0</v>
      </c>
      <c r="F5" s="135">
        <f t="shared" si="0"/>
        <v>542900</v>
      </c>
      <c r="G5" s="135">
        <f t="shared" si="0"/>
        <v>0</v>
      </c>
      <c r="H5" s="135">
        <f t="shared" si="0"/>
        <v>271196</v>
      </c>
      <c r="I5" s="135">
        <f t="shared" si="0"/>
        <v>7500</v>
      </c>
      <c r="J5" s="135">
        <f t="shared" si="0"/>
        <v>0</v>
      </c>
      <c r="K5" s="135">
        <f t="shared" si="0"/>
        <v>29000</v>
      </c>
      <c r="L5" s="135">
        <f t="shared" si="0"/>
        <v>113280</v>
      </c>
      <c r="M5" s="135">
        <f t="shared" si="0"/>
        <v>127500</v>
      </c>
      <c r="N5" s="135">
        <f t="shared" si="0"/>
        <v>0</v>
      </c>
      <c r="O5" s="135">
        <f>SUM(C5:N5)</f>
        <v>1402376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>
      <c r="A6" t="s">
        <v>445</v>
      </c>
      <c r="B6" s="3"/>
      <c r="C6" s="3">
        <v>0</v>
      </c>
      <c r="D6" s="3">
        <v>135000</v>
      </c>
      <c r="E6" s="3">
        <v>0</v>
      </c>
      <c r="F6" s="3">
        <v>0</v>
      </c>
      <c r="G6" s="3">
        <v>0</v>
      </c>
      <c r="H6" s="3">
        <v>16796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135">
        <f t="shared" ref="O6:O15" si="1">SUM(C6:N6)</f>
        <v>151796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37">
      <c r="A7" t="s">
        <v>447</v>
      </c>
      <c r="B7" s="3"/>
      <c r="C7" s="3">
        <v>0</v>
      </c>
      <c r="D7" s="3">
        <v>0</v>
      </c>
      <c r="E7" s="3">
        <v>0</v>
      </c>
      <c r="F7" s="3">
        <v>220000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135">
        <f t="shared" si="1"/>
        <v>220000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37">
      <c r="A8" t="s">
        <v>449</v>
      </c>
      <c r="B8" s="3"/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35">
        <f t="shared" si="1"/>
        <v>0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37">
      <c r="A9" t="s">
        <v>451</v>
      </c>
      <c r="B9" s="3"/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f>139200+115200</f>
        <v>254400</v>
      </c>
      <c r="I9" s="3">
        <v>0</v>
      </c>
      <c r="J9" s="3">
        <v>0</v>
      </c>
      <c r="K9" s="3">
        <v>0</v>
      </c>
      <c r="L9" s="3">
        <v>113280</v>
      </c>
      <c r="M9" s="3">
        <v>0</v>
      </c>
      <c r="N9" s="3">
        <v>0</v>
      </c>
      <c r="O9" s="135">
        <f t="shared" si="1"/>
        <v>367680</v>
      </c>
      <c r="Q9" s="4" t="s">
        <v>486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37">
      <c r="A10" t="s">
        <v>453</v>
      </c>
      <c r="B10" s="3"/>
      <c r="C10" s="3">
        <v>0</v>
      </c>
      <c r="D10" s="3">
        <v>90000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135">
        <f t="shared" si="1"/>
        <v>90000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37">
      <c r="A11" t="s">
        <v>455</v>
      </c>
      <c r="B11" s="3"/>
      <c r="C11" s="3">
        <v>0</v>
      </c>
      <c r="D11" s="3">
        <v>0</v>
      </c>
      <c r="E11" s="3">
        <v>0</v>
      </c>
      <c r="F11" s="3">
        <v>208700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135">
        <f t="shared" si="1"/>
        <v>208700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37">
      <c r="A12" t="s">
        <v>456</v>
      </c>
      <c r="B12" s="3"/>
      <c r="C12" s="3">
        <v>0</v>
      </c>
      <c r="D12" s="3">
        <v>10000</v>
      </c>
      <c r="E12" s="3">
        <v>0</v>
      </c>
      <c r="F12" s="3">
        <v>64200</v>
      </c>
      <c r="G12" s="3">
        <v>0</v>
      </c>
      <c r="H12" s="3">
        <v>0</v>
      </c>
      <c r="I12" s="3">
        <v>7500</v>
      </c>
      <c r="J12" s="3">
        <v>0</v>
      </c>
      <c r="K12" s="3">
        <v>0</v>
      </c>
      <c r="L12" s="3">
        <v>0</v>
      </c>
      <c r="M12" s="3">
        <v>7500</v>
      </c>
      <c r="N12" s="3">
        <v>0</v>
      </c>
      <c r="O12" s="135">
        <f t="shared" si="1"/>
        <v>89200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37">
      <c r="A13" t="s">
        <v>457</v>
      </c>
      <c r="B13" s="3"/>
      <c r="C13" s="3">
        <v>0</v>
      </c>
      <c r="D13" s="3">
        <v>0</v>
      </c>
      <c r="E13" s="3">
        <v>0</v>
      </c>
      <c r="F13" s="3">
        <v>50000</v>
      </c>
      <c r="G13" s="3">
        <v>0</v>
      </c>
      <c r="H13" s="3">
        <v>0</v>
      </c>
      <c r="I13" s="3">
        <v>0</v>
      </c>
      <c r="J13" s="3">
        <v>0</v>
      </c>
      <c r="K13" s="3">
        <v>29000</v>
      </c>
      <c r="L13" s="3">
        <v>0</v>
      </c>
      <c r="M13" s="3">
        <v>120000</v>
      </c>
      <c r="N13" s="3">
        <v>0</v>
      </c>
      <c r="O13" s="135">
        <f t="shared" si="1"/>
        <v>199000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37">
      <c r="A14" t="s">
        <v>459</v>
      </c>
      <c r="B14" s="3"/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135">
        <f t="shared" si="1"/>
        <v>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37">
      <c r="A15" t="s">
        <v>453</v>
      </c>
      <c r="B15" s="3"/>
      <c r="C15" s="3">
        <v>0</v>
      </c>
      <c r="D15" s="3">
        <v>14400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35">
        <f t="shared" si="1"/>
        <v>14400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37">
      <c r="A16" t="s">
        <v>456</v>
      </c>
      <c r="B16" s="3"/>
      <c r="C16" s="3">
        <v>0</v>
      </c>
      <c r="D16" s="3">
        <v>61600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35">
        <v>61600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>
      <c r="A17" s="15" t="s">
        <v>303</v>
      </c>
      <c r="B17" s="135"/>
      <c r="C17" s="135">
        <v>0</v>
      </c>
      <c r="D17" s="135">
        <v>0</v>
      </c>
      <c r="E17" s="135">
        <v>0</v>
      </c>
      <c r="F17" s="135">
        <v>0</v>
      </c>
      <c r="G17" s="135">
        <v>0</v>
      </c>
      <c r="H17" s="135">
        <v>0</v>
      </c>
      <c r="I17" s="135">
        <v>0</v>
      </c>
      <c r="J17" s="135">
        <v>0</v>
      </c>
      <c r="K17" s="135">
        <v>0</v>
      </c>
      <c r="L17" s="135">
        <v>0</v>
      </c>
      <c r="M17" s="135">
        <v>0</v>
      </c>
      <c r="N17" s="135">
        <v>0</v>
      </c>
      <c r="O17" s="135">
        <v>0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>
      <c r="A18" t="s">
        <v>461</v>
      </c>
      <c r="B18" s="3"/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35">
        <v>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>
      <c r="A19" t="s">
        <v>462</v>
      </c>
      <c r="B19" s="3"/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135">
        <v>0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>
      <c r="A20" s="15" t="s">
        <v>176</v>
      </c>
      <c r="B20" s="135"/>
      <c r="C20" s="135">
        <v>0</v>
      </c>
      <c r="D20" s="135">
        <v>0</v>
      </c>
      <c r="E20" s="135">
        <v>0</v>
      </c>
      <c r="F20" s="135">
        <v>0</v>
      </c>
      <c r="G20" s="135">
        <v>0</v>
      </c>
      <c r="H20" s="135">
        <v>0</v>
      </c>
      <c r="I20" s="135">
        <v>0</v>
      </c>
      <c r="J20" s="135">
        <v>0</v>
      </c>
      <c r="K20" s="135">
        <v>0</v>
      </c>
      <c r="L20" s="135">
        <v>0</v>
      </c>
      <c r="M20" s="135">
        <v>0</v>
      </c>
      <c r="N20" s="135">
        <v>0</v>
      </c>
      <c r="O20" s="135">
        <v>0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>
      <c r="A21" t="s">
        <v>463</v>
      </c>
      <c r="B21" s="3"/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35">
        <v>0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>
      <c r="A22" t="s">
        <v>464</v>
      </c>
      <c r="B22" s="3"/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35">
        <v>0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>
      <c r="A23" t="s">
        <v>465</v>
      </c>
      <c r="B23" s="3"/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35">
        <v>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t="s">
        <v>466</v>
      </c>
      <c r="B24" s="3"/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135">
        <v>0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15" t="s">
        <v>173</v>
      </c>
      <c r="B25" s="135"/>
      <c r="C25" s="135">
        <v>0</v>
      </c>
      <c r="D25" s="135">
        <v>0</v>
      </c>
      <c r="E25" s="135">
        <v>0</v>
      </c>
      <c r="F25" s="135">
        <v>0</v>
      </c>
      <c r="G25" s="135">
        <v>34954.239999999991</v>
      </c>
      <c r="H25" s="135">
        <v>0</v>
      </c>
      <c r="I25" s="135">
        <v>0</v>
      </c>
      <c r="J25" s="135">
        <v>0</v>
      </c>
      <c r="K25" s="135">
        <v>0</v>
      </c>
      <c r="L25" s="135">
        <v>0</v>
      </c>
      <c r="M25" s="135">
        <v>0</v>
      </c>
      <c r="N25" s="135">
        <v>0</v>
      </c>
      <c r="O25" s="135">
        <v>110954.23999999999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t="s">
        <v>467</v>
      </c>
      <c r="B26" s="3"/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135">
        <v>0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t="s">
        <v>445</v>
      </c>
      <c r="B27" s="3"/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135">
        <v>0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>
      <c r="A28" t="s">
        <v>468</v>
      </c>
      <c r="B28" s="3"/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135">
        <v>0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t="s">
        <v>469</v>
      </c>
      <c r="B29" s="3"/>
      <c r="C29" s="3">
        <v>0</v>
      </c>
      <c r="D29" s="3">
        <v>0</v>
      </c>
      <c r="E29" s="3">
        <v>0</v>
      </c>
      <c r="F29" s="3">
        <v>0</v>
      </c>
      <c r="G29" s="3">
        <v>34954.239999999991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135">
        <v>34954.239999999991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>
      <c r="A30" t="s">
        <v>470</v>
      </c>
      <c r="B30" s="3"/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135">
        <v>0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>
      <c r="A31" t="s">
        <v>471</v>
      </c>
      <c r="B31" s="3"/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135">
        <v>0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>
      <c r="A32" t="s">
        <v>472</v>
      </c>
      <c r="B32" s="3"/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135">
        <v>0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>
      <c r="A33" t="s">
        <v>173</v>
      </c>
      <c r="B33" s="3"/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135">
        <v>0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t="s">
        <v>473</v>
      </c>
      <c r="B34" s="3"/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135">
        <v>0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>
      <c r="A35" t="s">
        <v>474</v>
      </c>
      <c r="B35" s="3"/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135">
        <v>0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>
      <c r="A36" t="s">
        <v>475</v>
      </c>
      <c r="B36" s="3"/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135">
        <v>0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t="s">
        <v>476</v>
      </c>
      <c r="B37" s="3"/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135">
        <v>0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>
      <c r="A38" t="s">
        <v>477</v>
      </c>
      <c r="B38" s="3"/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135">
        <v>0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15" t="s">
        <v>172</v>
      </c>
      <c r="B39" s="135"/>
      <c r="C39" s="135">
        <v>0</v>
      </c>
      <c r="D39" s="135">
        <v>0</v>
      </c>
      <c r="E39" s="135">
        <v>0</v>
      </c>
      <c r="F39" s="135">
        <v>0</v>
      </c>
      <c r="G39" s="135">
        <v>0</v>
      </c>
      <c r="H39" s="135">
        <v>0</v>
      </c>
      <c r="I39" s="135">
        <v>0</v>
      </c>
      <c r="J39" s="135">
        <v>0</v>
      </c>
      <c r="K39" s="135">
        <v>0</v>
      </c>
      <c r="L39" s="135">
        <v>0</v>
      </c>
      <c r="M39" s="135">
        <v>0</v>
      </c>
      <c r="N39" s="135">
        <v>0</v>
      </c>
      <c r="O39" s="135">
        <v>0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t="s">
        <v>478</v>
      </c>
      <c r="B40" s="3"/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135">
        <v>0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t="s">
        <v>479</v>
      </c>
      <c r="B41" s="3"/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135">
        <v>0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>
      <c r="A42" s="15" t="s">
        <v>169</v>
      </c>
      <c r="B42" s="135"/>
      <c r="C42" s="135">
        <v>0</v>
      </c>
      <c r="D42" s="135">
        <v>0</v>
      </c>
      <c r="E42" s="135">
        <v>0</v>
      </c>
      <c r="F42" s="135">
        <v>120000</v>
      </c>
      <c r="G42" s="135">
        <v>0</v>
      </c>
      <c r="H42" s="135">
        <v>0</v>
      </c>
      <c r="I42" s="135">
        <v>0</v>
      </c>
      <c r="J42" s="135">
        <v>0</v>
      </c>
      <c r="K42" s="135">
        <v>0</v>
      </c>
      <c r="L42" s="135">
        <v>0</v>
      </c>
      <c r="M42" s="135">
        <v>80000</v>
      </c>
      <c r="N42" s="135">
        <v>120000</v>
      </c>
      <c r="O42" s="135">
        <v>320000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t="s">
        <v>449</v>
      </c>
      <c r="B43" s="3"/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120000</v>
      </c>
      <c r="O43" s="135">
        <v>120000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t="s">
        <v>480</v>
      </c>
      <c r="B44" s="3"/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135">
        <v>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>
      <c r="A45" t="s">
        <v>481</v>
      </c>
      <c r="B45" s="3"/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135">
        <v>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>
      <c r="A46" t="s">
        <v>482</v>
      </c>
      <c r="B46" s="3"/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135">
        <v>0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>
      <c r="A47" t="s">
        <v>483</v>
      </c>
      <c r="B47" s="3"/>
      <c r="C47" s="3">
        <v>0</v>
      </c>
      <c r="D47" s="3">
        <v>0</v>
      </c>
      <c r="E47" s="3">
        <v>0</v>
      </c>
      <c r="F47" s="3">
        <v>120000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80000</v>
      </c>
      <c r="N47" s="3">
        <v>0</v>
      </c>
      <c r="O47" s="135">
        <v>200000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>
      <c r="A48" s="15" t="s">
        <v>162</v>
      </c>
      <c r="B48" s="135">
        <v>0</v>
      </c>
      <c r="C48" s="135">
        <v>0</v>
      </c>
      <c r="D48" s="135">
        <v>0</v>
      </c>
      <c r="E48" s="135">
        <v>0</v>
      </c>
      <c r="F48" s="135">
        <v>0</v>
      </c>
      <c r="G48" s="135">
        <v>0</v>
      </c>
      <c r="H48" s="135">
        <v>0</v>
      </c>
      <c r="I48" s="135">
        <v>0</v>
      </c>
      <c r="J48" s="135">
        <v>0</v>
      </c>
      <c r="K48" s="135">
        <v>0</v>
      </c>
      <c r="L48" s="135">
        <v>0</v>
      </c>
      <c r="M48" s="135">
        <v>0</v>
      </c>
      <c r="N48" s="135">
        <v>0</v>
      </c>
      <c r="O48" s="135">
        <v>0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>
      <c r="A49" t="s">
        <v>473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135">
        <v>0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>
      <c r="A50" t="s">
        <v>484</v>
      </c>
      <c r="B50" s="3"/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135">
        <v>0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>
      <c r="A51" t="s">
        <v>485</v>
      </c>
      <c r="B51" s="3"/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135">
        <v>0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>
      <c r="A52" t="s">
        <v>443</v>
      </c>
      <c r="B52" s="3"/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135">
        <v>0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>
      <c r="A53" t="s">
        <v>443</v>
      </c>
      <c r="B53" s="3"/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135">
        <v>0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>
      <c r="A54" t="s">
        <v>444</v>
      </c>
      <c r="B54" s="3">
        <v>0</v>
      </c>
      <c r="C54" s="3">
        <v>0</v>
      </c>
      <c r="D54" s="3">
        <v>311000</v>
      </c>
      <c r="E54" s="3">
        <v>0</v>
      </c>
      <c r="F54" s="3">
        <v>661900</v>
      </c>
      <c r="G54" s="3">
        <v>34954.239999999991</v>
      </c>
      <c r="H54" s="3">
        <v>155996</v>
      </c>
      <c r="I54" s="3">
        <v>7500</v>
      </c>
      <c r="J54" s="3">
        <v>0</v>
      </c>
      <c r="K54" s="3">
        <v>0</v>
      </c>
      <c r="L54" s="3">
        <v>113280</v>
      </c>
      <c r="M54" s="3">
        <v>7500</v>
      </c>
      <c r="N54" s="3">
        <v>120000</v>
      </c>
      <c r="O54" s="135">
        <v>1412130.2399999993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</sheetData>
  <pageMargins left="0.7" right="0.7" top="0.75" bottom="0.75" header="0.3" footer="0.3"/>
  <pageSetup paperSize="9"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16E2-5E74-424D-9254-24C9FED667B6}">
  <sheetPr>
    <tabColor rgb="FF92D050"/>
  </sheetPr>
  <dimension ref="B2:P6"/>
  <sheetViews>
    <sheetView showGridLines="0" workbookViewId="0">
      <selection activeCell="C6" sqref="C6"/>
    </sheetView>
  </sheetViews>
  <sheetFormatPr defaultRowHeight="15"/>
  <cols>
    <col min="2" max="2" width="18.140625" customWidth="1"/>
  </cols>
  <sheetData>
    <row r="2" spans="2:16">
      <c r="E2" s="183">
        <v>46023</v>
      </c>
      <c r="F2" s="183">
        <v>46054</v>
      </c>
      <c r="G2" s="183">
        <v>46082</v>
      </c>
      <c r="H2" s="183">
        <v>46113</v>
      </c>
      <c r="I2" s="183">
        <v>46143</v>
      </c>
      <c r="J2" s="183">
        <v>46174</v>
      </c>
      <c r="K2" s="183">
        <v>46204</v>
      </c>
      <c r="L2" s="183">
        <v>46235</v>
      </c>
      <c r="M2" s="183">
        <v>46266</v>
      </c>
      <c r="N2" s="183">
        <v>46296</v>
      </c>
      <c r="O2" s="183">
        <v>46327</v>
      </c>
      <c r="P2" s="183">
        <v>46357</v>
      </c>
    </row>
    <row r="3" spans="2:16">
      <c r="B3" t="s">
        <v>317</v>
      </c>
      <c r="C3">
        <f>C6-SUM(C4:C5)</f>
        <v>-4497</v>
      </c>
      <c r="E3">
        <f>$C3/12</f>
        <v>-374.75</v>
      </c>
      <c r="F3">
        <f t="shared" ref="F3:P3" si="0">$C3/12</f>
        <v>-374.75</v>
      </c>
      <c r="G3">
        <f t="shared" si="0"/>
        <v>-374.75</v>
      </c>
      <c r="H3">
        <f t="shared" si="0"/>
        <v>-374.75</v>
      </c>
      <c r="I3">
        <f t="shared" si="0"/>
        <v>-374.75</v>
      </c>
      <c r="J3">
        <f t="shared" si="0"/>
        <v>-374.75</v>
      </c>
      <c r="K3">
        <f t="shared" si="0"/>
        <v>-374.75</v>
      </c>
      <c r="L3">
        <f t="shared" si="0"/>
        <v>-374.75</v>
      </c>
      <c r="M3">
        <f t="shared" si="0"/>
        <v>-374.75</v>
      </c>
      <c r="N3">
        <f t="shared" si="0"/>
        <v>-374.75</v>
      </c>
      <c r="O3">
        <f t="shared" si="0"/>
        <v>-374.75</v>
      </c>
      <c r="P3">
        <f t="shared" si="0"/>
        <v>-374.75</v>
      </c>
    </row>
    <row r="4" spans="2:16">
      <c r="B4" t="s">
        <v>487</v>
      </c>
      <c r="C4">
        <v>-400</v>
      </c>
      <c r="E4">
        <f>$C4*'Sales Budget Summary'!L29/'Sales Budget Summary'!$F29</f>
        <v>-24.03490829698271</v>
      </c>
      <c r="F4">
        <f>$C4*'Sales Budget Summary'!M29/'Sales Budget Summary'!$F29</f>
        <v>-34.148729256479577</v>
      </c>
      <c r="G4">
        <f>$C4*'Sales Budget Summary'!N29/'Sales Budget Summary'!$F29</f>
        <v>-36.808392683684126</v>
      </c>
      <c r="H4">
        <f>$C4*'Sales Budget Summary'!O29/'Sales Budget Summary'!$F29</f>
        <v>-30.177357648016308</v>
      </c>
      <c r="I4">
        <f>$C4*'Sales Budget Summary'!P29/'Sales Budget Summary'!$F29</f>
        <v>-36.747738635742166</v>
      </c>
      <c r="J4">
        <f>$C4*'Sales Budget Summary'!Q29/'Sales Budget Summary'!$F29</f>
        <v>-32.823842048810953</v>
      </c>
      <c r="K4">
        <f>$C4*'Sales Budget Summary'!R29/'Sales Budget Summary'!$F29</f>
        <v>-29.170470492997829</v>
      </c>
      <c r="L4">
        <f>$C4*'Sales Budget Summary'!S29/'Sales Budget Summary'!$F29</f>
        <v>-30.235689061627895</v>
      </c>
      <c r="M4">
        <f>$C4*'Sales Budget Summary'!T29/'Sales Budget Summary'!$F29</f>
        <v>-34.470180465071088</v>
      </c>
      <c r="N4">
        <f>$C4*'Sales Budget Summary'!U29/'Sales Budget Summary'!$F29</f>
        <v>-41.792002263425054</v>
      </c>
      <c r="O4">
        <f>$C4*'Sales Budget Summary'!V29/'Sales Budget Summary'!$F29</f>
        <v>-39.686295633130129</v>
      </c>
      <c r="P4">
        <f>$C4*'Sales Budget Summary'!W29/'Sales Budget Summary'!$F29</f>
        <v>-29.904393514032105</v>
      </c>
    </row>
    <row r="5" spans="2:16">
      <c r="B5" t="s">
        <v>488</v>
      </c>
      <c r="C5">
        <v>-100</v>
      </c>
      <c r="K5">
        <v>-30</v>
      </c>
      <c r="P5">
        <v>-70</v>
      </c>
    </row>
    <row r="6" spans="2:16">
      <c r="B6" t="s">
        <v>117</v>
      </c>
      <c r="C6">
        <f>'2026B'!C65</f>
        <v>-4997</v>
      </c>
      <c r="E6">
        <f>SUM(E3:E5)</f>
        <v>-398.78490829698274</v>
      </c>
      <c r="F6">
        <f t="shared" ref="F6:P6" si="1">SUM(F3:F5)</f>
        <v>-408.89872925647956</v>
      </c>
      <c r="G6">
        <f t="shared" si="1"/>
        <v>-411.55839268368413</v>
      </c>
      <c r="H6">
        <f t="shared" si="1"/>
        <v>-404.92735764801631</v>
      </c>
      <c r="I6">
        <f t="shared" si="1"/>
        <v>-411.49773863574217</v>
      </c>
      <c r="J6">
        <f t="shared" si="1"/>
        <v>-407.57384204881095</v>
      </c>
      <c r="K6">
        <f t="shared" si="1"/>
        <v>-433.92047049299782</v>
      </c>
      <c r="L6">
        <f t="shared" si="1"/>
        <v>-404.98568906162791</v>
      </c>
      <c r="M6">
        <f t="shared" si="1"/>
        <v>-409.22018046507111</v>
      </c>
      <c r="N6">
        <f t="shared" si="1"/>
        <v>-416.54200226342505</v>
      </c>
      <c r="O6">
        <f t="shared" si="1"/>
        <v>-414.43629563313016</v>
      </c>
      <c r="P6">
        <f t="shared" si="1"/>
        <v>-474.65439351403211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5127-4400-45DE-A1FC-2AC4E4CA7F3B}">
  <sheetPr>
    <tabColor theme="1"/>
  </sheetPr>
  <dimension ref="A1"/>
  <sheetViews>
    <sheetView showGridLines="0" workbookViewId="0"/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FA5B-16AF-4498-8B64-364A7985C571}">
  <sheetPr>
    <tabColor rgb="FF92D050"/>
  </sheetPr>
  <dimension ref="B2:H12"/>
  <sheetViews>
    <sheetView showGridLines="0" workbookViewId="0">
      <selection activeCell="F9" sqref="F9:H9"/>
    </sheetView>
  </sheetViews>
  <sheetFormatPr defaultColWidth="8.85546875" defaultRowHeight="15"/>
  <cols>
    <col min="6" max="6" width="9.42578125" bestFit="1" customWidth="1"/>
    <col min="7" max="7" width="9.42578125" customWidth="1"/>
    <col min="8" max="8" width="9.42578125" bestFit="1" customWidth="1"/>
  </cols>
  <sheetData>
    <row r="2" spans="2:8">
      <c r="F2" s="58" t="s">
        <v>433</v>
      </c>
      <c r="G2" s="58" t="s">
        <v>433</v>
      </c>
      <c r="H2" s="58" t="s">
        <v>433</v>
      </c>
    </row>
    <row r="3" spans="2:8">
      <c r="F3" s="59">
        <v>2026</v>
      </c>
      <c r="G3" s="59">
        <v>2027</v>
      </c>
      <c r="H3" s="59">
        <v>2028</v>
      </c>
    </row>
    <row r="4" spans="2:8">
      <c r="B4" t="s">
        <v>489</v>
      </c>
      <c r="D4">
        <v>25</v>
      </c>
      <c r="F4" s="3">
        <f>'Sales Budget Summary'!F44*$D4/365</f>
        <v>940.13685649315073</v>
      </c>
      <c r="G4" s="3">
        <f>'Sales Budget Summary'!G44*$D4/365</f>
        <v>1077.9269318356164</v>
      </c>
      <c r="H4" s="3">
        <f>'Sales Budget Summary'!H44*$D4/365</f>
        <v>1233.0762414246576</v>
      </c>
    </row>
    <row r="5" spans="2:8">
      <c r="B5" t="s">
        <v>490</v>
      </c>
      <c r="D5">
        <v>30</v>
      </c>
      <c r="F5" s="60">
        <f>SUM('3YP'!E48,'3YP'!E53:E54,'3YP'!E59:E60,'3YP'!E66,'3YP'!E71,'3YP'!E65)*$D5/365</f>
        <v>-950.28876027090405</v>
      </c>
      <c r="G5" s="60">
        <f>SUM('3YP'!F48,'3YP'!F53:F54,'3YP'!F59:F60,'3YP'!F66,'3YP'!F71,'3YP'!F65)*$D5/365</f>
        <v>-1012.580643089096</v>
      </c>
      <c r="H5" s="60">
        <f>SUM('3YP'!G48,'3YP'!G53:G54,'3YP'!G59:G60,'3YP'!G66,'3YP'!G71,'3YP'!G65)*$D5/365</f>
        <v>-1088.3335688288221</v>
      </c>
    </row>
    <row r="6" spans="2:8">
      <c r="B6" t="s">
        <v>491</v>
      </c>
      <c r="D6">
        <v>400</v>
      </c>
      <c r="F6" s="60">
        <f>-COGS!H43*'BS Inputs'!$D6/365+350</f>
        <v>3255.3181656986308</v>
      </c>
      <c r="G6" s="60">
        <f>-COGS!I43*'BS Inputs'!$D6/365+150</f>
        <v>3525.3569952745215</v>
      </c>
      <c r="H6" s="60">
        <f>-COGS!J43*'BS Inputs'!$D6/365-150</f>
        <v>3778.9696148778107</v>
      </c>
    </row>
    <row r="9" spans="2:8">
      <c r="B9" t="s">
        <v>492</v>
      </c>
      <c r="D9" s="9">
        <v>0.1</v>
      </c>
      <c r="F9" s="60">
        <f>'3YP'!E73*$D9</f>
        <v>216.41515215040005</v>
      </c>
      <c r="G9" s="60">
        <f>'3YP'!F73*$D9</f>
        <v>341.80020472159975</v>
      </c>
      <c r="H9" s="60">
        <f>'3YP'!G73*$D9</f>
        <v>476.15213707159984</v>
      </c>
    </row>
    <row r="12" spans="2:8">
      <c r="B12" t="s">
        <v>493</v>
      </c>
      <c r="F12">
        <v>300</v>
      </c>
      <c r="G12">
        <v>300</v>
      </c>
      <c r="H12">
        <v>300</v>
      </c>
    </row>
  </sheetData>
  <pageMargins left="0.7" right="0.7" top="0.75" bottom="0.75" header="0.3" footer="0.3"/>
  <pageSetup paperSize="9" orientation="portrait" horizontalDpi="0" verticalDpi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FCBA-7187-4A23-92AD-2CE831BEBB22}">
  <sheetPr>
    <tabColor theme="1"/>
  </sheetPr>
  <dimension ref="A1"/>
  <sheetViews>
    <sheetView showGridLines="0" workbookViewId="0"/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28A97-8AE3-4A10-AD0A-4169C1CC7117}">
  <sheetPr>
    <tabColor rgb="FF92D050"/>
  </sheetPr>
  <dimension ref="B2:K32"/>
  <sheetViews>
    <sheetView showGridLines="0" workbookViewId="0">
      <selection activeCell="O17" sqref="O17"/>
    </sheetView>
  </sheetViews>
  <sheetFormatPr defaultColWidth="8.85546875" defaultRowHeight="15"/>
  <cols>
    <col min="2" max="2" width="29" bestFit="1" customWidth="1"/>
  </cols>
  <sheetData>
    <row r="2" spans="2:11" ht="18.75">
      <c r="B2" s="61"/>
      <c r="C2" s="58" t="s">
        <v>270</v>
      </c>
      <c r="D2" s="58" t="s">
        <v>433</v>
      </c>
      <c r="E2" s="58" t="s">
        <v>494</v>
      </c>
      <c r="F2" s="58" t="s">
        <v>433</v>
      </c>
      <c r="G2" s="58" t="s">
        <v>494</v>
      </c>
      <c r="H2" s="58" t="s">
        <v>433</v>
      </c>
      <c r="I2" s="58" t="s">
        <v>494</v>
      </c>
      <c r="J2" s="58" t="s">
        <v>433</v>
      </c>
      <c r="K2" s="58" t="s">
        <v>494</v>
      </c>
    </row>
    <row r="3" spans="2:11">
      <c r="B3" s="62" t="s">
        <v>221</v>
      </c>
      <c r="C3" s="59" t="s">
        <v>273</v>
      </c>
      <c r="D3" s="59" t="s">
        <v>257</v>
      </c>
      <c r="E3" s="59" t="s">
        <v>257</v>
      </c>
      <c r="F3" s="59" t="s">
        <v>275</v>
      </c>
      <c r="G3" s="59" t="s">
        <v>275</v>
      </c>
      <c r="H3" s="59" t="s">
        <v>279</v>
      </c>
      <c r="I3" s="59" t="s">
        <v>279</v>
      </c>
      <c r="J3" s="59" t="s">
        <v>280</v>
      </c>
      <c r="K3" s="59" t="s">
        <v>280</v>
      </c>
    </row>
    <row r="4" spans="2:11">
      <c r="B4" s="49"/>
      <c r="C4" s="50"/>
      <c r="D4" s="50"/>
      <c r="E4" s="50"/>
      <c r="F4" s="50"/>
      <c r="G4" s="50"/>
      <c r="H4" s="50"/>
      <c r="I4" s="50"/>
      <c r="J4" s="50"/>
      <c r="K4" s="50"/>
    </row>
    <row r="5" spans="2:11">
      <c r="B5" s="64" t="s">
        <v>155</v>
      </c>
      <c r="C5" s="3">
        <v>10532.694387384998</v>
      </c>
      <c r="D5" s="3">
        <v>12394.900016399999</v>
      </c>
      <c r="E5" s="3">
        <v>11782.065913930001</v>
      </c>
      <c r="F5" s="3">
        <v>14918.117360008</v>
      </c>
      <c r="G5" s="3">
        <v>13558.072983403999</v>
      </c>
      <c r="H5" s="3">
        <v>17982.080393845401</v>
      </c>
      <c r="I5" s="3">
        <v>14679.070841672921</v>
      </c>
      <c r="J5" s="3">
        <v>21358.368109535262</v>
      </c>
      <c r="K5" s="3">
        <v>15540.976129102546</v>
      </c>
    </row>
    <row r="6" spans="2:11">
      <c r="B6" t="s">
        <v>157</v>
      </c>
      <c r="C6" s="3">
        <v>-2037.9</v>
      </c>
      <c r="D6" s="3">
        <v>-2308</v>
      </c>
      <c r="E6" s="3">
        <v>-2193.8868480883834</v>
      </c>
      <c r="F6" s="3">
        <v>-2930.3047424708002</v>
      </c>
      <c r="G6" s="3">
        <v>-2640.5412085190078</v>
      </c>
      <c r="H6" s="3">
        <v>-3589.2772221411956</v>
      </c>
      <c r="I6" s="3">
        <v>-2861.8619726464549</v>
      </c>
      <c r="J6" s="3">
        <v>-4283.8834858456912</v>
      </c>
      <c r="K6" s="3">
        <v>-3013.8608189807828</v>
      </c>
    </row>
    <row r="7" spans="2:11">
      <c r="B7" s="49"/>
      <c r="C7" s="3"/>
      <c r="D7" s="3"/>
      <c r="E7" s="3"/>
      <c r="F7" s="3"/>
      <c r="G7" s="3"/>
      <c r="H7" s="3"/>
      <c r="I7" s="3"/>
      <c r="J7" s="3"/>
      <c r="K7" s="3"/>
    </row>
    <row r="8" spans="2:11">
      <c r="B8" s="65" t="s">
        <v>158</v>
      </c>
      <c r="C8" s="7">
        <v>8494.7943873849981</v>
      </c>
      <c r="D8" s="7">
        <v>10086.900016399999</v>
      </c>
      <c r="E8" s="7">
        <v>9588.1790658416176</v>
      </c>
      <c r="F8" s="7">
        <v>11987.8126175372</v>
      </c>
      <c r="G8" s="7">
        <v>10917.531774884992</v>
      </c>
      <c r="H8" s="7">
        <v>14392.803171704205</v>
      </c>
      <c r="I8" s="7">
        <v>11817.208869026466</v>
      </c>
      <c r="J8" s="7">
        <v>17074.484623689572</v>
      </c>
      <c r="K8" s="7">
        <v>12527.115310121764</v>
      </c>
    </row>
    <row r="9" spans="2:11">
      <c r="B9" s="66" t="s">
        <v>160</v>
      </c>
      <c r="C9" s="67">
        <v>0.80651674442953636</v>
      </c>
      <c r="D9" s="67">
        <v>0.81379438342009791</v>
      </c>
      <c r="E9" s="67">
        <v>0.81379438342009791</v>
      </c>
      <c r="F9" s="67">
        <v>0.80357409237667854</v>
      </c>
      <c r="G9" s="67">
        <v>0.80524214527011262</v>
      </c>
      <c r="H9" s="67">
        <v>0.80039699837124112</v>
      </c>
      <c r="I9" s="67">
        <v>0.80503793438193538</v>
      </c>
      <c r="J9" s="67">
        <v>0.79942833348147102</v>
      </c>
      <c r="K9" s="67">
        <v>0.80607004386700487</v>
      </c>
    </row>
    <row r="10" spans="2:11">
      <c r="B10" s="49"/>
      <c r="C10" s="3"/>
      <c r="D10" s="3"/>
      <c r="E10" s="3"/>
      <c r="F10" s="3"/>
      <c r="G10" s="3"/>
      <c r="H10" s="3"/>
      <c r="I10" s="3"/>
      <c r="J10" s="3"/>
      <c r="K10" s="3"/>
    </row>
    <row r="11" spans="2:11">
      <c r="B11" t="s">
        <v>162</v>
      </c>
      <c r="C11" s="3">
        <v>-255.9</v>
      </c>
      <c r="D11" s="3">
        <v>-263</v>
      </c>
      <c r="E11" s="3">
        <v>-248</v>
      </c>
      <c r="F11" s="3">
        <v>-361.40702306068005</v>
      </c>
      <c r="G11" s="3">
        <v>-296.40738118644003</v>
      </c>
      <c r="H11" s="3">
        <v>-484.58678711491001</v>
      </c>
      <c r="I11" s="3">
        <v>-330.31723411486519</v>
      </c>
      <c r="J11" s="3">
        <v>-612.58461199402359</v>
      </c>
      <c r="K11" s="3">
        <v>-352.73654565612208</v>
      </c>
    </row>
    <row r="12" spans="2:11">
      <c r="B12" t="s">
        <v>163</v>
      </c>
      <c r="C12" s="3">
        <v>-99</v>
      </c>
      <c r="D12" s="3">
        <v>-135.73333333333301</v>
      </c>
      <c r="E12" s="3">
        <v>-125.73333333333301</v>
      </c>
      <c r="F12" s="3">
        <v>-197.4049784627</v>
      </c>
      <c r="G12" s="3">
        <v>-152.41888966208006</v>
      </c>
      <c r="H12" s="3">
        <v>-215.30887552041003</v>
      </c>
      <c r="I12" s="3">
        <v>-158.53724929144241</v>
      </c>
      <c r="J12" s="3">
        <v>-235.63805463598203</v>
      </c>
      <c r="K12" s="3">
        <v>-164.32674870998571</v>
      </c>
    </row>
    <row r="13" spans="2:11">
      <c r="B13" s="49"/>
      <c r="C13" s="3"/>
      <c r="D13" s="3"/>
      <c r="E13" s="3"/>
      <c r="F13" s="3"/>
      <c r="G13" s="3"/>
      <c r="H13" s="3"/>
      <c r="I13" s="3"/>
      <c r="J13" s="3"/>
      <c r="K13" s="3"/>
    </row>
    <row r="14" spans="2:11">
      <c r="B14" s="65" t="s">
        <v>166</v>
      </c>
      <c r="C14" s="7">
        <v>8139.8943873849985</v>
      </c>
      <c r="D14" s="7">
        <v>9688.1666830666654</v>
      </c>
      <c r="E14" s="7">
        <v>9214.445732508284</v>
      </c>
      <c r="F14" s="7">
        <v>11429.00061601382</v>
      </c>
      <c r="G14" s="7">
        <v>10468.705504036472</v>
      </c>
      <c r="H14" s="7">
        <v>13692.907509068886</v>
      </c>
      <c r="I14" s="7">
        <v>11328.354385620158</v>
      </c>
      <c r="J14" s="7">
        <v>16226.261957059565</v>
      </c>
      <c r="K14" s="7">
        <v>12010.052015755657</v>
      </c>
    </row>
    <row r="15" spans="2:11">
      <c r="B15" s="66" t="s">
        <v>167</v>
      </c>
      <c r="C15" s="67">
        <v>0.77282166253054352</v>
      </c>
      <c r="D15" s="67">
        <v>0.78162523862621014</v>
      </c>
      <c r="E15" s="67">
        <v>0.78207385698071807</v>
      </c>
      <c r="F15" s="67">
        <v>0.7661154782608367</v>
      </c>
      <c r="G15" s="67">
        <v>0.77213815833938038</v>
      </c>
      <c r="H15" s="67">
        <v>0.76147515799981969</v>
      </c>
      <c r="I15" s="67">
        <v>0.7717351123791637</v>
      </c>
      <c r="J15" s="67">
        <v>0.75971450037025479</v>
      </c>
      <c r="K15" s="67">
        <v>0.77279907748299259</v>
      </c>
    </row>
    <row r="16" spans="2:11">
      <c r="B16" s="49"/>
      <c r="C16" s="3"/>
      <c r="D16" s="3"/>
      <c r="E16" s="3"/>
      <c r="F16" s="3"/>
      <c r="G16" s="3"/>
      <c r="H16" s="3"/>
      <c r="I16" s="3"/>
      <c r="J16" s="3"/>
      <c r="K16" s="3"/>
    </row>
    <row r="17" spans="2:11">
      <c r="B17" t="s">
        <v>168</v>
      </c>
      <c r="C17" s="3">
        <v>-548</v>
      </c>
      <c r="D17" s="3">
        <v>-659</v>
      </c>
      <c r="E17" s="3">
        <v>-629</v>
      </c>
      <c r="F17" s="3">
        <v>-895.08704160048001</v>
      </c>
      <c r="G17" s="3">
        <v>-677.90364917019997</v>
      </c>
      <c r="H17" s="3">
        <v>-1078.9248236307239</v>
      </c>
      <c r="I17" s="3">
        <v>-697.25586497946381</v>
      </c>
      <c r="J17" s="3">
        <v>-1281.5020865721158</v>
      </c>
      <c r="K17" s="3">
        <v>-699.34392580961457</v>
      </c>
    </row>
    <row r="18" spans="2:11">
      <c r="B18" t="s">
        <v>169</v>
      </c>
      <c r="C18" s="3">
        <v>-273</v>
      </c>
      <c r="D18" s="3">
        <v>-232</v>
      </c>
      <c r="E18" s="3">
        <v>-222</v>
      </c>
      <c r="F18" s="3">
        <v>-268.52611248014398</v>
      </c>
      <c r="G18" s="3">
        <v>-216.92916773446399</v>
      </c>
      <c r="H18" s="3">
        <v>-287.71328630152641</v>
      </c>
      <c r="I18" s="3">
        <v>-220.1860626250938</v>
      </c>
      <c r="J18" s="3">
        <v>-320.37552164302895</v>
      </c>
      <c r="K18" s="3">
        <v>-217.57366580743565</v>
      </c>
    </row>
    <row r="19" spans="2:11">
      <c r="B19" s="49"/>
      <c r="C19" s="3"/>
      <c r="D19" s="3"/>
      <c r="E19" s="3"/>
      <c r="F19" s="3"/>
      <c r="G19" s="3"/>
      <c r="H19" s="3"/>
      <c r="I19" s="3"/>
      <c r="J19" s="3"/>
      <c r="K19" s="3"/>
    </row>
    <row r="20" spans="2:11">
      <c r="B20" s="65" t="s">
        <v>170</v>
      </c>
      <c r="C20" s="7">
        <v>7318.8943873849985</v>
      </c>
      <c r="D20" s="7">
        <v>8797.1666830666654</v>
      </c>
      <c r="E20" s="7">
        <v>8363.445732508284</v>
      </c>
      <c r="F20" s="7">
        <v>10265.387461933196</v>
      </c>
      <c r="G20" s="7">
        <v>9573.8726871318086</v>
      </c>
      <c r="H20" s="7">
        <v>12326.269399136634</v>
      </c>
      <c r="I20" s="7">
        <v>10410.912458015599</v>
      </c>
      <c r="J20" s="7">
        <v>14624.38434884442</v>
      </c>
      <c r="K20" s="7">
        <v>11093.134424138607</v>
      </c>
    </row>
    <row r="21" spans="2:11">
      <c r="B21" s="66" t="s">
        <v>171</v>
      </c>
      <c r="C21" s="67">
        <v>0.69487389628914276</v>
      </c>
      <c r="D21" s="67">
        <v>0.70974083465190652</v>
      </c>
      <c r="E21" s="67">
        <v>0.70984543743047102</v>
      </c>
      <c r="F21" s="67">
        <v>0.68811547826083674</v>
      </c>
      <c r="G21" s="67">
        <v>0.70613815833938032</v>
      </c>
      <c r="H21" s="67">
        <v>0.68547515799981962</v>
      </c>
      <c r="I21" s="67">
        <v>0.70923511237916359</v>
      </c>
      <c r="J21" s="67">
        <v>0.68471450037025472</v>
      </c>
      <c r="K21" s="67">
        <v>0.71379907748299265</v>
      </c>
    </row>
    <row r="22" spans="2:11">
      <c r="B22" s="49"/>
      <c r="C22" s="3"/>
      <c r="D22" s="3"/>
      <c r="E22" s="3"/>
      <c r="F22" s="3"/>
      <c r="G22" s="3"/>
      <c r="H22" s="3"/>
      <c r="I22" s="3"/>
      <c r="J22" s="3"/>
      <c r="K22" s="3"/>
    </row>
    <row r="23" spans="2:11">
      <c r="B23" t="s">
        <v>172</v>
      </c>
      <c r="C23" s="3">
        <v>-4405</v>
      </c>
      <c r="D23" s="3">
        <v>-4715.5624749999997</v>
      </c>
      <c r="E23" s="3">
        <v>-4690.5624749999997</v>
      </c>
      <c r="F23" s="3">
        <v>-5101.34059875</v>
      </c>
      <c r="G23" s="3">
        <v>-4917.0293492499995</v>
      </c>
      <c r="H23" s="3">
        <v>-5506.4076286875006</v>
      </c>
      <c r="I23" s="3">
        <v>-5113.7105232200001</v>
      </c>
      <c r="J23" s="3">
        <v>-5931.7280101218757</v>
      </c>
      <c r="K23" s="3">
        <v>-5318.2589441488008</v>
      </c>
    </row>
    <row r="24" spans="2:11">
      <c r="B24" t="s">
        <v>173</v>
      </c>
      <c r="C24" s="3">
        <v>-1398</v>
      </c>
      <c r="D24" s="3">
        <v>-1563.3859199999999</v>
      </c>
      <c r="E24" s="3">
        <v>-1538.3859199999999</v>
      </c>
      <c r="F24" s="3">
        <v>-1641.555216</v>
      </c>
      <c r="G24" s="3">
        <v>-1610.2874976000001</v>
      </c>
      <c r="H24" s="3">
        <v>-1723.6329768000001</v>
      </c>
      <c r="I24" s="3">
        <v>-1658.596122528</v>
      </c>
      <c r="J24" s="3">
        <v>-1809.81462564</v>
      </c>
      <c r="K24" s="3">
        <v>-1708.3540062038401</v>
      </c>
    </row>
    <row r="25" spans="2:11">
      <c r="B25" s="49"/>
      <c r="C25" s="3"/>
      <c r="D25" s="3"/>
      <c r="E25" s="3"/>
      <c r="F25" s="3"/>
      <c r="G25" s="3"/>
      <c r="H25" s="3"/>
      <c r="I25" s="3"/>
      <c r="J25" s="3"/>
      <c r="K25" s="3"/>
    </row>
    <row r="26" spans="2:11">
      <c r="B26" s="65" t="s">
        <v>174</v>
      </c>
      <c r="C26" s="7">
        <v>1515.8943873849985</v>
      </c>
      <c r="D26" s="7">
        <v>2518.218288066666</v>
      </c>
      <c r="E26" s="7">
        <v>2134.4973375082845</v>
      </c>
      <c r="F26" s="7">
        <v>3522.4916471831966</v>
      </c>
      <c r="G26" s="7">
        <v>3046.5558402818087</v>
      </c>
      <c r="H26" s="7">
        <v>5096.2287936491339</v>
      </c>
      <c r="I26" s="7">
        <v>3638.6058122675986</v>
      </c>
      <c r="J26" s="7">
        <v>6882.8417130825437</v>
      </c>
      <c r="K26" s="7">
        <v>4066.521473785966</v>
      </c>
    </row>
    <row r="27" spans="2:11">
      <c r="B27" s="66" t="s">
        <v>175</v>
      </c>
      <c r="C27" s="67">
        <v>0.14392275439042307</v>
      </c>
      <c r="D27" s="67">
        <v>0.2031656798146616</v>
      </c>
      <c r="E27" s="67">
        <v>0.18116494620732487</v>
      </c>
      <c r="F27" s="67">
        <v>0.23612172784122054</v>
      </c>
      <c r="G27" s="67">
        <v>0.22470419240337469</v>
      </c>
      <c r="H27" s="67">
        <v>0.2834059620483837</v>
      </c>
      <c r="I27" s="67">
        <v>0.24787712052848979</v>
      </c>
      <c r="J27" s="67">
        <v>0.32225503735979516</v>
      </c>
      <c r="K27" s="67">
        <v>0.26166448233395478</v>
      </c>
    </row>
    <row r="28" spans="2:11">
      <c r="B28" s="49"/>
      <c r="C28" s="3"/>
      <c r="D28" s="3"/>
      <c r="E28" s="3"/>
      <c r="F28" s="3"/>
      <c r="G28" s="3"/>
      <c r="H28" s="3"/>
      <c r="I28" s="3"/>
      <c r="J28" s="3"/>
      <c r="K28" s="3"/>
    </row>
    <row r="29" spans="2:11">
      <c r="B29" t="s">
        <v>176</v>
      </c>
      <c r="C29" s="3">
        <v>-1673</v>
      </c>
      <c r="D29" s="3">
        <v>-780</v>
      </c>
      <c r="E29" s="3">
        <v>-780</v>
      </c>
      <c r="F29" s="3">
        <v>-650</v>
      </c>
      <c r="G29" s="3">
        <v>-650</v>
      </c>
      <c r="H29" s="3">
        <v>-600</v>
      </c>
      <c r="I29" s="3">
        <v>-600</v>
      </c>
      <c r="J29" s="3">
        <v>-600</v>
      </c>
      <c r="K29" s="3">
        <v>-600</v>
      </c>
    </row>
    <row r="30" spans="2:11">
      <c r="B30" s="49"/>
      <c r="C30" s="3"/>
      <c r="D30" s="3"/>
      <c r="E30" s="3"/>
      <c r="F30" s="3"/>
      <c r="G30" s="3"/>
      <c r="H30" s="3"/>
      <c r="I30" s="3"/>
      <c r="J30" s="3"/>
      <c r="K30" s="3"/>
    </row>
    <row r="31" spans="2:11">
      <c r="B31" s="65" t="s">
        <v>177</v>
      </c>
      <c r="C31" s="7">
        <v>-157.10561261500152</v>
      </c>
      <c r="D31" s="7">
        <v>1738.218288066666</v>
      </c>
      <c r="E31" s="7">
        <v>1354.4973375082845</v>
      </c>
      <c r="F31" s="7">
        <v>2872.4916471831966</v>
      </c>
      <c r="G31" s="7">
        <v>2396.5558402818087</v>
      </c>
      <c r="H31" s="7">
        <v>4496.2287936491339</v>
      </c>
      <c r="I31" s="7">
        <v>3038.6058122675986</v>
      </c>
      <c r="J31" s="7">
        <v>6282.8417130825437</v>
      </c>
      <c r="K31" s="7">
        <v>3466.521473785966</v>
      </c>
    </row>
    <row r="32" spans="2:11">
      <c r="B32" s="66" t="s">
        <v>178</v>
      </c>
      <c r="C32" s="67">
        <v>-1.491599460088454E-2</v>
      </c>
      <c r="D32" s="67">
        <v>0.14023657195836886</v>
      </c>
      <c r="E32" s="67">
        <v>0.11496263451614669</v>
      </c>
      <c r="F32" s="67">
        <v>0.19255054628298326</v>
      </c>
      <c r="G32" s="67">
        <v>0.17676227611514966</v>
      </c>
      <c r="H32" s="67">
        <v>0.25003941119004375</v>
      </c>
      <c r="I32" s="67">
        <v>0.20700259880490499</v>
      </c>
      <c r="J32" s="67">
        <v>0.29416300350576047</v>
      </c>
      <c r="K32" s="67">
        <v>0.22305686882141484</v>
      </c>
    </row>
  </sheetData>
  <pageMargins left="0.7" right="0.7" top="0.75" bottom="0.75" header="0.3" footer="0.3"/>
  <pageSetup paperSize="9" orientation="portrait" horizontalDpi="0" verticalDpi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640A-F21B-46C7-BC63-A201AE9D8925}">
  <sheetPr>
    <tabColor rgb="FF92D050"/>
  </sheetPr>
  <dimension ref="A2:B214"/>
  <sheetViews>
    <sheetView showGridLines="0" workbookViewId="0">
      <selection activeCell="O17" sqref="O17"/>
    </sheetView>
  </sheetViews>
  <sheetFormatPr defaultColWidth="8.85546875" defaultRowHeight="15"/>
  <cols>
    <col min="1" max="1" width="33.28515625" bestFit="1" customWidth="1"/>
    <col min="2" max="2" width="9.42578125" bestFit="1" customWidth="1"/>
  </cols>
  <sheetData>
    <row r="2" spans="1:2">
      <c r="A2" s="12" t="s">
        <v>495</v>
      </c>
    </row>
    <row r="4" spans="1:2" ht="30">
      <c r="A4" s="68" t="s">
        <v>221</v>
      </c>
      <c r="B4" s="74" t="s">
        <v>496</v>
      </c>
    </row>
    <row r="5" spans="1:2">
      <c r="A5" s="49"/>
    </row>
    <row r="6" spans="1:2">
      <c r="A6" s="69" t="s">
        <v>228</v>
      </c>
      <c r="B6" s="75">
        <v>4600</v>
      </c>
    </row>
    <row r="7" spans="1:2">
      <c r="A7" s="69" t="s">
        <v>229</v>
      </c>
      <c r="B7" s="75">
        <v>1900</v>
      </c>
    </row>
    <row r="8" spans="1:2">
      <c r="A8" s="69" t="s">
        <v>230</v>
      </c>
      <c r="B8" s="75">
        <v>775</v>
      </c>
    </row>
    <row r="9" spans="1:2">
      <c r="A9" s="69" t="s">
        <v>231</v>
      </c>
      <c r="B9" s="75">
        <v>135</v>
      </c>
    </row>
    <row r="10" spans="1:2">
      <c r="A10" s="70" t="s">
        <v>232</v>
      </c>
      <c r="B10" s="76">
        <v>110</v>
      </c>
    </row>
    <row r="11" spans="1:2">
      <c r="A11" s="45" t="s">
        <v>497</v>
      </c>
      <c r="B11" s="3">
        <v>7520</v>
      </c>
    </row>
    <row r="12" spans="1:2">
      <c r="A12" s="49"/>
    </row>
    <row r="13" spans="1:2">
      <c r="A13" s="69" t="s">
        <v>498</v>
      </c>
      <c r="B13" s="77">
        <v>250</v>
      </c>
    </row>
    <row r="14" spans="1:2">
      <c r="A14" s="70" t="s">
        <v>499</v>
      </c>
      <c r="B14" s="76">
        <v>125</v>
      </c>
    </row>
    <row r="15" spans="1:2">
      <c r="A15" s="45" t="s">
        <v>127</v>
      </c>
      <c r="B15" s="3">
        <v>375</v>
      </c>
    </row>
    <row r="16" spans="1:2">
      <c r="A16" s="49"/>
    </row>
    <row r="17" spans="1:2">
      <c r="A17" s="69" t="s">
        <v>500</v>
      </c>
      <c r="B17" s="77">
        <v>1250</v>
      </c>
    </row>
    <row r="18" spans="1:2">
      <c r="A18" s="70" t="s">
        <v>501</v>
      </c>
      <c r="B18" s="76">
        <v>60</v>
      </c>
    </row>
    <row r="19" spans="1:2">
      <c r="A19" s="45" t="s">
        <v>46</v>
      </c>
      <c r="B19" s="3">
        <v>1310</v>
      </c>
    </row>
    <row r="20" spans="1:2">
      <c r="A20" s="49"/>
    </row>
    <row r="21" spans="1:2">
      <c r="A21" s="69" t="s">
        <v>239</v>
      </c>
      <c r="B21" s="75">
        <v>420</v>
      </c>
    </row>
    <row r="22" spans="1:2">
      <c r="A22" s="69" t="s">
        <v>240</v>
      </c>
      <c r="B22" s="75">
        <v>600</v>
      </c>
    </row>
    <row r="23" spans="1:2">
      <c r="A23" s="69" t="s">
        <v>241</v>
      </c>
      <c r="B23" s="75">
        <v>320</v>
      </c>
    </row>
    <row r="24" spans="1:2">
      <c r="A24" s="69" t="s">
        <v>242</v>
      </c>
      <c r="B24" s="75">
        <v>300</v>
      </c>
    </row>
    <row r="25" spans="1:2">
      <c r="A25" s="69" t="s">
        <v>502</v>
      </c>
      <c r="B25" s="75">
        <v>60</v>
      </c>
    </row>
    <row r="26" spans="1:2">
      <c r="A26" s="69" t="s">
        <v>243</v>
      </c>
      <c r="B26" s="75">
        <v>100</v>
      </c>
    </row>
    <row r="27" spans="1:2">
      <c r="A27" s="69" t="s">
        <v>503</v>
      </c>
      <c r="B27" s="75">
        <v>25</v>
      </c>
    </row>
    <row r="28" spans="1:2">
      <c r="A28" s="70" t="s">
        <v>245</v>
      </c>
      <c r="B28" s="76">
        <v>60</v>
      </c>
    </row>
    <row r="29" spans="1:2">
      <c r="A29" s="45" t="s">
        <v>504</v>
      </c>
      <c r="B29" s="3">
        <v>1885</v>
      </c>
    </row>
    <row r="30" spans="1:2">
      <c r="A30" s="49"/>
    </row>
    <row r="31" spans="1:2">
      <c r="A31" s="47" t="s">
        <v>505</v>
      </c>
      <c r="B31" s="78">
        <v>11090</v>
      </c>
    </row>
    <row r="32" spans="1:2">
      <c r="A32" s="49"/>
    </row>
    <row r="33" spans="1:2">
      <c r="A33" s="45" t="s">
        <v>506</v>
      </c>
      <c r="B33" s="79">
        <v>1000</v>
      </c>
    </row>
    <row r="34" spans="1:2">
      <c r="A34" s="45" t="s">
        <v>507</v>
      </c>
      <c r="B34" s="79">
        <v>200</v>
      </c>
    </row>
    <row r="35" spans="1:2">
      <c r="A35" s="45" t="s">
        <v>508</v>
      </c>
      <c r="B35" s="79">
        <v>600</v>
      </c>
    </row>
    <row r="36" spans="1:2">
      <c r="A36" t="s">
        <v>509</v>
      </c>
    </row>
    <row r="37" spans="1:2">
      <c r="A37" s="47" t="s">
        <v>510</v>
      </c>
      <c r="B37" s="78">
        <v>1800</v>
      </c>
    </row>
    <row r="38" spans="1:2">
      <c r="A38" s="49"/>
    </row>
    <row r="39" spans="1:2">
      <c r="A39" s="45" t="s">
        <v>440</v>
      </c>
      <c r="B39" s="80">
        <v>800</v>
      </c>
    </row>
    <row r="40" spans="1:2">
      <c r="A40" s="45" t="s">
        <v>511</v>
      </c>
      <c r="B40" s="81"/>
    </row>
    <row r="41" spans="1:2">
      <c r="A41" s="45" t="s">
        <v>512</v>
      </c>
      <c r="B41" s="80">
        <v>338.14843261491563</v>
      </c>
    </row>
    <row r="42" spans="1:2">
      <c r="A42" s="45" t="s">
        <v>137</v>
      </c>
      <c r="B42" s="80">
        <v>57.713886811179577</v>
      </c>
    </row>
    <row r="43" spans="1:2">
      <c r="A43" s="45" t="s">
        <v>513</v>
      </c>
      <c r="B43" s="3">
        <v>30</v>
      </c>
    </row>
    <row r="44" spans="1:2">
      <c r="A44" s="47" t="s">
        <v>514</v>
      </c>
      <c r="B44" s="78">
        <v>1225.8623194260954</v>
      </c>
    </row>
    <row r="45" spans="1:2">
      <c r="A45" s="49"/>
    </row>
    <row r="46" spans="1:2" ht="15.75" thickBot="1">
      <c r="A46" s="52" t="s">
        <v>515</v>
      </c>
      <c r="B46" s="82">
        <v>14115.862319426094</v>
      </c>
    </row>
    <row r="47" spans="1:2">
      <c r="A47" s="49"/>
    </row>
    <row r="48" spans="1:2">
      <c r="A48" t="s">
        <v>155</v>
      </c>
      <c r="B48" s="4">
        <v>14115.862319426094</v>
      </c>
    </row>
    <row r="49" spans="1:2">
      <c r="A49" t="s">
        <v>516</v>
      </c>
      <c r="B49" s="4">
        <v>-2455.5714587969701</v>
      </c>
    </row>
    <row r="50" spans="1:2">
      <c r="A50" s="49"/>
    </row>
    <row r="51" spans="1:2" ht="15.75" thickBot="1">
      <c r="A51" s="71" t="s">
        <v>517</v>
      </c>
      <c r="B51" s="83">
        <v>10660.290860629124</v>
      </c>
    </row>
    <row r="52" spans="1:2">
      <c r="A52" s="72" t="s">
        <v>160</v>
      </c>
      <c r="B52" s="67">
        <v>0.81277849683127679</v>
      </c>
    </row>
    <row r="53" spans="1:2">
      <c r="A53" s="49"/>
    </row>
    <row r="54" spans="1:2">
      <c r="A54" t="s">
        <v>162</v>
      </c>
      <c r="B54" s="4">
        <v>-277.11427799943101</v>
      </c>
    </row>
    <row r="55" spans="1:2">
      <c r="A55" t="s">
        <v>163</v>
      </c>
      <c r="B55" s="4">
        <v>-150.40000000000003</v>
      </c>
    </row>
    <row r="56" spans="1:2">
      <c r="A56" s="49"/>
    </row>
    <row r="57" spans="1:2" ht="15.75" thickBot="1">
      <c r="A57" s="71" t="s">
        <v>166</v>
      </c>
      <c r="B57" s="83">
        <v>10232.776582629693</v>
      </c>
    </row>
    <row r="58" spans="1:2">
      <c r="A58" s="72" t="s">
        <v>167</v>
      </c>
      <c r="B58" s="67">
        <v>0.78018328748951404</v>
      </c>
    </row>
    <row r="59" spans="1:2">
      <c r="A59" s="49"/>
    </row>
    <row r="60" spans="1:2">
      <c r="A60" t="s">
        <v>168</v>
      </c>
      <c r="B60" s="4">
        <v>-712.38720000000001</v>
      </c>
    </row>
    <row r="61" spans="1:2">
      <c r="A61" t="s">
        <v>169</v>
      </c>
      <c r="B61" s="4">
        <v>-290</v>
      </c>
    </row>
    <row r="62" spans="1:2">
      <c r="A62" s="49"/>
    </row>
    <row r="63" spans="1:2" ht="15.75" thickBot="1">
      <c r="A63" s="71" t="s">
        <v>170</v>
      </c>
      <c r="B63" s="83">
        <v>9230.3893826296935</v>
      </c>
    </row>
    <row r="64" spans="1:2">
      <c r="A64" s="72" t="s">
        <v>171</v>
      </c>
      <c r="B64" s="67">
        <v>0.70375772159169658</v>
      </c>
    </row>
    <row r="65" spans="1:2">
      <c r="A65" s="49"/>
    </row>
    <row r="66" spans="1:2">
      <c r="A66" t="s">
        <v>172</v>
      </c>
      <c r="B66" s="4">
        <v>-4915.8999999999996</v>
      </c>
    </row>
    <row r="67" spans="1:2">
      <c r="A67" t="s">
        <v>173</v>
      </c>
      <c r="B67" s="4">
        <v>-1586.5979079241599</v>
      </c>
    </row>
    <row r="68" spans="1:2">
      <c r="A68" s="49"/>
    </row>
    <row r="69" spans="1:2" ht="15.75" thickBot="1">
      <c r="A69" s="71" t="s">
        <v>174</v>
      </c>
      <c r="B69" s="83">
        <v>2727.8914747055342</v>
      </c>
    </row>
    <row r="70" spans="1:2">
      <c r="A70" s="72" t="s">
        <v>175</v>
      </c>
      <c r="B70" s="67">
        <v>0.20798414989956204</v>
      </c>
    </row>
    <row r="71" spans="1:2">
      <c r="A71" s="49"/>
    </row>
    <row r="72" spans="1:2">
      <c r="A72" t="s">
        <v>176</v>
      </c>
      <c r="B72" s="4">
        <v>-798</v>
      </c>
    </row>
    <row r="73" spans="1:2">
      <c r="A73" s="49"/>
    </row>
    <row r="74" spans="1:2" ht="15.75" thickBot="1">
      <c r="A74" s="71" t="s">
        <v>177</v>
      </c>
      <c r="B74" s="83">
        <v>1929.8914747055342</v>
      </c>
    </row>
    <row r="75" spans="1:2">
      <c r="A75" s="72" t="s">
        <v>178</v>
      </c>
      <c r="B75" s="67">
        <v>0.14714179119181084</v>
      </c>
    </row>
    <row r="77" spans="1:2">
      <c r="B77" s="4">
        <v>0</v>
      </c>
    </row>
    <row r="79" spans="1:2">
      <c r="A79" s="12" t="s">
        <v>518</v>
      </c>
    </row>
    <row r="80" spans="1:2">
      <c r="A80" s="12"/>
    </row>
    <row r="81" spans="1:2" ht="30">
      <c r="A81" s="73" t="s">
        <v>221</v>
      </c>
      <c r="B81" s="84" t="s">
        <v>496</v>
      </c>
    </row>
    <row r="82" spans="1:2">
      <c r="A82" s="49"/>
    </row>
    <row r="83" spans="1:2">
      <c r="A83" t="s">
        <v>155</v>
      </c>
      <c r="B83" s="4">
        <v>11090</v>
      </c>
    </row>
    <row r="84" spans="1:2">
      <c r="A84" t="s">
        <v>516</v>
      </c>
      <c r="B84" s="4">
        <v>-2012.5500000000002</v>
      </c>
    </row>
    <row r="85" spans="1:2">
      <c r="A85" s="49"/>
    </row>
    <row r="86" spans="1:2" ht="15.75" thickBot="1">
      <c r="A86" s="71" t="s">
        <v>517</v>
      </c>
      <c r="B86" s="83">
        <v>9077.4500000000007</v>
      </c>
    </row>
    <row r="87" spans="1:2">
      <c r="A87" s="72" t="s">
        <v>160</v>
      </c>
      <c r="B87" s="10">
        <v>0.81852569882777282</v>
      </c>
    </row>
    <row r="88" spans="1:2">
      <c r="A88" s="49"/>
    </row>
    <row r="89" spans="1:2">
      <c r="A89" t="s">
        <v>162</v>
      </c>
      <c r="B89" s="4">
        <v>-212.89000000000001</v>
      </c>
    </row>
    <row r="90" spans="1:2">
      <c r="A90" t="s">
        <v>163</v>
      </c>
      <c r="B90" s="4">
        <v>-150.4</v>
      </c>
    </row>
    <row r="91" spans="1:2">
      <c r="A91" s="49"/>
    </row>
    <row r="92" spans="1:2" ht="15.75" thickBot="1">
      <c r="A92" s="71" t="s">
        <v>166</v>
      </c>
      <c r="B92" s="83">
        <v>8714.1600000000017</v>
      </c>
    </row>
    <row r="93" spans="1:2">
      <c r="A93" s="72" t="s">
        <v>167</v>
      </c>
      <c r="B93" s="10">
        <v>0.78576735798016251</v>
      </c>
    </row>
    <row r="94" spans="1:2">
      <c r="A94" s="49"/>
    </row>
    <row r="95" spans="1:2">
      <c r="A95" t="s">
        <v>168</v>
      </c>
      <c r="B95" s="4">
        <v>-430.59719999999999</v>
      </c>
    </row>
    <row r="96" spans="1:2">
      <c r="A96" t="s">
        <v>169</v>
      </c>
      <c r="B96" s="4">
        <v>-398.5</v>
      </c>
    </row>
    <row r="97" spans="1:2">
      <c r="A97" s="49"/>
    </row>
    <row r="98" spans="1:2" ht="15.75" thickBot="1">
      <c r="A98" s="71" t="s">
        <v>170</v>
      </c>
      <c r="B98" s="83">
        <v>7885.0628000000015</v>
      </c>
    </row>
    <row r="99" spans="1:2">
      <c r="A99" s="72" t="s">
        <v>171</v>
      </c>
      <c r="B99" s="10">
        <v>0.71100656447249788</v>
      </c>
    </row>
    <row r="100" spans="1:2">
      <c r="A100" s="49"/>
    </row>
    <row r="101" spans="1:2">
      <c r="A101" t="s">
        <v>172</v>
      </c>
      <c r="B101" s="4">
        <v>-2381</v>
      </c>
    </row>
    <row r="102" spans="1:2">
      <c r="A102" t="s">
        <v>173</v>
      </c>
      <c r="B102" s="4">
        <v>-299</v>
      </c>
    </row>
    <row r="103" spans="1:2">
      <c r="A103" s="49"/>
    </row>
    <row r="104" spans="1:2" ht="15.75" thickBot="1">
      <c r="A104" s="71" t="s">
        <v>174</v>
      </c>
      <c r="B104" s="83">
        <v>5205.0628000000015</v>
      </c>
    </row>
    <row r="105" spans="1:2">
      <c r="A105" s="72" t="s">
        <v>175</v>
      </c>
      <c r="B105" s="10">
        <v>0.46934741208295777</v>
      </c>
    </row>
    <row r="106" spans="1:2">
      <c r="A106" s="49"/>
    </row>
    <row r="107" spans="1:2">
      <c r="A107" t="s">
        <v>176</v>
      </c>
      <c r="B107" s="4">
        <v>0</v>
      </c>
    </row>
    <row r="108" spans="1:2">
      <c r="A108" s="49"/>
    </row>
    <row r="109" spans="1:2" ht="15.75" thickBot="1">
      <c r="A109" s="71" t="s">
        <v>177</v>
      </c>
      <c r="B109" s="83">
        <v>5205.0628000000015</v>
      </c>
    </row>
    <row r="110" spans="1:2">
      <c r="A110" s="72" t="s">
        <v>178</v>
      </c>
      <c r="B110" s="10">
        <v>0.46934741208295777</v>
      </c>
    </row>
    <row r="114" spans="1:2">
      <c r="A114" s="12" t="s">
        <v>519</v>
      </c>
    </row>
    <row r="115" spans="1:2">
      <c r="A115" s="12"/>
    </row>
    <row r="116" spans="1:2" ht="30">
      <c r="A116" s="73" t="s">
        <v>221</v>
      </c>
      <c r="B116" s="84" t="s">
        <v>496</v>
      </c>
    </row>
    <row r="117" spans="1:2">
      <c r="A117" s="49"/>
    </row>
    <row r="118" spans="1:2">
      <c r="A118" t="s">
        <v>155</v>
      </c>
      <c r="B118" s="4">
        <v>1800</v>
      </c>
    </row>
    <row r="119" spans="1:2">
      <c r="A119" t="s">
        <v>516</v>
      </c>
      <c r="B119" s="4">
        <v>-644</v>
      </c>
    </row>
    <row r="120" spans="1:2">
      <c r="A120" s="49"/>
    </row>
    <row r="121" spans="1:2" ht="15.75" thickBot="1">
      <c r="A121" s="71" t="s">
        <v>517</v>
      </c>
      <c r="B121" s="83">
        <v>1156</v>
      </c>
    </row>
    <row r="122" spans="1:2">
      <c r="A122" s="72" t="s">
        <v>160</v>
      </c>
      <c r="B122" s="10">
        <v>0.64222222222222225</v>
      </c>
    </row>
    <row r="123" spans="1:2">
      <c r="A123" s="49"/>
    </row>
    <row r="124" spans="1:2">
      <c r="A124" t="s">
        <v>162</v>
      </c>
      <c r="B124" s="4">
        <v>-16</v>
      </c>
    </row>
    <row r="125" spans="1:2">
      <c r="A125" t="s">
        <v>163</v>
      </c>
      <c r="B125" s="4">
        <v>0</v>
      </c>
    </row>
    <row r="126" spans="1:2">
      <c r="A126" s="49"/>
    </row>
    <row r="127" spans="1:2" ht="15.75" thickBot="1">
      <c r="A127" s="71" t="s">
        <v>166</v>
      </c>
      <c r="B127" s="83">
        <v>1140</v>
      </c>
    </row>
    <row r="128" spans="1:2">
      <c r="A128" s="72" t="s">
        <v>167</v>
      </c>
      <c r="B128" s="10">
        <v>0.6333333333333333</v>
      </c>
    </row>
    <row r="129" spans="1:2">
      <c r="A129" s="49"/>
    </row>
    <row r="130" spans="1:2">
      <c r="A130" t="s">
        <v>168</v>
      </c>
      <c r="B130" s="4">
        <v>-130</v>
      </c>
    </row>
    <row r="131" spans="1:2">
      <c r="A131" t="s">
        <v>169</v>
      </c>
      <c r="B131" s="4">
        <v>-31.5</v>
      </c>
    </row>
    <row r="132" spans="1:2">
      <c r="A132" s="49"/>
    </row>
    <row r="133" spans="1:2" ht="15.75" thickBot="1">
      <c r="A133" s="71" t="s">
        <v>170</v>
      </c>
      <c r="B133" s="83">
        <v>978.5</v>
      </c>
    </row>
    <row r="134" spans="1:2">
      <c r="A134" s="72" t="s">
        <v>171</v>
      </c>
      <c r="B134" s="10">
        <v>0.54361111111111116</v>
      </c>
    </row>
    <row r="135" spans="1:2">
      <c r="A135" s="49"/>
    </row>
    <row r="136" spans="1:2">
      <c r="A136" t="s">
        <v>172</v>
      </c>
      <c r="B136" s="4">
        <v>-184</v>
      </c>
    </row>
    <row r="137" spans="1:2">
      <c r="A137" t="s">
        <v>173</v>
      </c>
      <c r="B137" s="4">
        <v>-82</v>
      </c>
    </row>
    <row r="138" spans="1:2">
      <c r="A138" s="49"/>
    </row>
    <row r="139" spans="1:2" ht="15.75" thickBot="1">
      <c r="A139" s="71" t="s">
        <v>174</v>
      </c>
      <c r="B139" s="83">
        <v>712.5</v>
      </c>
    </row>
    <row r="140" spans="1:2">
      <c r="A140" s="72" t="s">
        <v>175</v>
      </c>
      <c r="B140" s="10">
        <v>0.39583333333333331</v>
      </c>
    </row>
    <row r="141" spans="1:2">
      <c r="A141" s="49"/>
    </row>
    <row r="142" spans="1:2">
      <c r="A142" t="s">
        <v>176</v>
      </c>
      <c r="B142" s="4">
        <v>-150</v>
      </c>
    </row>
    <row r="143" spans="1:2">
      <c r="A143" s="49"/>
    </row>
    <row r="144" spans="1:2" ht="15.75" thickBot="1">
      <c r="A144" s="71" t="s">
        <v>177</v>
      </c>
      <c r="B144" s="83">
        <v>562.5</v>
      </c>
    </row>
    <row r="145" spans="1:2">
      <c r="A145" s="72" t="s">
        <v>178</v>
      </c>
      <c r="B145" s="10">
        <v>0.3125</v>
      </c>
    </row>
    <row r="149" spans="1:2">
      <c r="A149" s="12" t="s">
        <v>520</v>
      </c>
    </row>
    <row r="150" spans="1:2">
      <c r="A150" s="12"/>
    </row>
    <row r="151" spans="1:2" ht="30">
      <c r="A151" s="73" t="s">
        <v>221</v>
      </c>
      <c r="B151" s="84" t="s">
        <v>496</v>
      </c>
    </row>
    <row r="152" spans="1:2">
      <c r="A152" s="49"/>
    </row>
    <row r="153" spans="1:2">
      <c r="A153" t="s">
        <v>155</v>
      </c>
      <c r="B153" s="4">
        <v>1225.8623194260954</v>
      </c>
    </row>
    <row r="154" spans="1:2">
      <c r="A154" t="s">
        <v>516</v>
      </c>
      <c r="B154" s="4">
        <v>-106.99872341649514</v>
      </c>
    </row>
    <row r="155" spans="1:2">
      <c r="A155" s="49"/>
    </row>
    <row r="156" spans="1:2" ht="15.75" thickBot="1">
      <c r="A156" s="71" t="s">
        <v>517</v>
      </c>
      <c r="B156" s="83">
        <v>1118.8635960096003</v>
      </c>
    </row>
    <row r="157" spans="1:2">
      <c r="A157" s="72" t="s">
        <v>160</v>
      </c>
      <c r="B157" s="10">
        <v>0.91271554584809489</v>
      </c>
    </row>
    <row r="158" spans="1:2">
      <c r="A158" s="49"/>
    </row>
    <row r="159" spans="1:2">
      <c r="A159" t="s">
        <v>162</v>
      </c>
      <c r="B159" s="4">
        <v>-68.210068386636408</v>
      </c>
    </row>
    <row r="160" spans="1:2">
      <c r="A160" t="s">
        <v>163</v>
      </c>
      <c r="B160" s="4">
        <v>0</v>
      </c>
    </row>
    <row r="161" spans="1:2">
      <c r="A161" s="49"/>
    </row>
    <row r="162" spans="1:2" ht="15.75" thickBot="1">
      <c r="A162" s="71" t="s">
        <v>166</v>
      </c>
      <c r="B162" s="83">
        <v>1050.6535276229638</v>
      </c>
    </row>
    <row r="163" spans="1:2">
      <c r="A163" s="72" t="s">
        <v>167</v>
      </c>
      <c r="B163" s="10">
        <v>0.85707302604328517</v>
      </c>
    </row>
    <row r="164" spans="1:2">
      <c r="A164" s="49"/>
    </row>
    <row r="165" spans="1:2">
      <c r="A165" t="s">
        <v>168</v>
      </c>
      <c r="B165" s="4">
        <v>-495.99</v>
      </c>
    </row>
    <row r="166" spans="1:2">
      <c r="A166" t="s">
        <v>169</v>
      </c>
      <c r="B166" s="4">
        <v>0</v>
      </c>
    </row>
    <row r="167" spans="1:2">
      <c r="A167" s="49"/>
    </row>
    <row r="168" spans="1:2" ht="15.75" thickBot="1">
      <c r="A168" s="71" t="s">
        <v>170</v>
      </c>
      <c r="B168" s="83">
        <v>554.66352762296378</v>
      </c>
    </row>
    <row r="169" spans="1:2">
      <c r="A169" s="72" t="s">
        <v>171</v>
      </c>
      <c r="B169" s="10">
        <v>0.45246804541854041</v>
      </c>
    </row>
    <row r="170" spans="1:2">
      <c r="A170" s="49"/>
    </row>
    <row r="171" spans="1:2">
      <c r="A171" t="s">
        <v>172</v>
      </c>
      <c r="B171" s="4">
        <v>-96.8</v>
      </c>
    </row>
    <row r="172" spans="1:2">
      <c r="A172" t="s">
        <v>173</v>
      </c>
      <c r="B172" s="4">
        <v>-256.24617301398672</v>
      </c>
    </row>
    <row r="173" spans="1:2">
      <c r="A173" s="49"/>
    </row>
    <row r="174" spans="1:2" ht="15.75" thickBot="1">
      <c r="A174" s="71" t="s">
        <v>174</v>
      </c>
      <c r="B174" s="83">
        <v>201.61735460897705</v>
      </c>
    </row>
    <row r="175" spans="1:2">
      <c r="A175" s="72" t="s">
        <v>175</v>
      </c>
      <c r="B175" s="10">
        <v>0.16446981966406068</v>
      </c>
    </row>
    <row r="176" spans="1:2">
      <c r="A176" s="49"/>
    </row>
    <row r="177" spans="1:2">
      <c r="A177" t="s">
        <v>176</v>
      </c>
      <c r="B177" s="4">
        <v>-48</v>
      </c>
    </row>
    <row r="178" spans="1:2">
      <c r="A178" s="49"/>
    </row>
    <row r="179" spans="1:2" ht="15.75" thickBot="1">
      <c r="A179" s="71" t="s">
        <v>177</v>
      </c>
      <c r="B179" s="83">
        <v>153.61735460897705</v>
      </c>
    </row>
    <row r="180" spans="1:2">
      <c r="A180" s="72" t="s">
        <v>178</v>
      </c>
      <c r="B180" s="10">
        <v>0.1253137095207357</v>
      </c>
    </row>
    <row r="183" spans="1:2">
      <c r="A183" s="12" t="s">
        <v>521</v>
      </c>
    </row>
    <row r="184" spans="1:2">
      <c r="A184" s="12"/>
    </row>
    <row r="185" spans="1:2" ht="30">
      <c r="A185" s="73" t="s">
        <v>221</v>
      </c>
      <c r="B185" s="84" t="s">
        <v>496</v>
      </c>
    </row>
    <row r="186" spans="1:2">
      <c r="A186" s="49"/>
    </row>
    <row r="187" spans="1:2">
      <c r="A187" t="s">
        <v>155</v>
      </c>
      <c r="B187" s="4"/>
    </row>
    <row r="188" spans="1:2">
      <c r="A188" t="s">
        <v>516</v>
      </c>
      <c r="B188" s="4"/>
    </row>
    <row r="189" spans="1:2">
      <c r="A189" s="49"/>
    </row>
    <row r="190" spans="1:2" ht="15.75" thickBot="1">
      <c r="A190" s="71" t="s">
        <v>517</v>
      </c>
      <c r="B190" s="83">
        <v>0</v>
      </c>
    </row>
    <row r="191" spans="1:2">
      <c r="A191" s="72" t="s">
        <v>160</v>
      </c>
      <c r="B191" s="16" t="s">
        <v>33</v>
      </c>
    </row>
    <row r="192" spans="1:2">
      <c r="A192" s="49"/>
    </row>
    <row r="193" spans="1:2">
      <c r="A193" t="s">
        <v>162</v>
      </c>
      <c r="B193" s="4"/>
    </row>
    <row r="194" spans="1:2">
      <c r="A194" t="s">
        <v>163</v>
      </c>
      <c r="B194" s="4"/>
    </row>
    <row r="195" spans="1:2">
      <c r="A195" s="49"/>
    </row>
    <row r="196" spans="1:2" ht="15.75" thickBot="1">
      <c r="A196" s="71" t="s">
        <v>166</v>
      </c>
      <c r="B196" s="83">
        <v>0</v>
      </c>
    </row>
    <row r="197" spans="1:2">
      <c r="A197" s="72" t="s">
        <v>167</v>
      </c>
      <c r="B197" s="16" t="s">
        <v>33</v>
      </c>
    </row>
    <row r="198" spans="1:2">
      <c r="A198" s="49"/>
    </row>
    <row r="199" spans="1:2">
      <c r="A199" t="s">
        <v>168</v>
      </c>
      <c r="B199" s="3">
        <v>-309.60000000000002</v>
      </c>
    </row>
    <row r="200" spans="1:2">
      <c r="A200" t="s">
        <v>169</v>
      </c>
      <c r="B200" s="3">
        <v>-15</v>
      </c>
    </row>
    <row r="201" spans="1:2">
      <c r="A201" s="49"/>
    </row>
    <row r="202" spans="1:2" ht="15.75" thickBot="1">
      <c r="A202" s="71" t="s">
        <v>170</v>
      </c>
      <c r="B202" s="83">
        <v>-324.60000000000002</v>
      </c>
    </row>
    <row r="203" spans="1:2">
      <c r="A203" s="72" t="s">
        <v>171</v>
      </c>
      <c r="B203" s="16" t="s">
        <v>33</v>
      </c>
    </row>
    <row r="204" spans="1:2">
      <c r="A204" s="49"/>
    </row>
    <row r="205" spans="1:2">
      <c r="A205" t="s">
        <v>172</v>
      </c>
      <c r="B205" s="3">
        <v>-2354.1</v>
      </c>
    </row>
    <row r="206" spans="1:2">
      <c r="A206" t="s">
        <v>173</v>
      </c>
      <c r="B206" s="3">
        <v>-1105</v>
      </c>
    </row>
    <row r="207" spans="1:2">
      <c r="A207" s="49"/>
    </row>
    <row r="208" spans="1:2" ht="15.75" thickBot="1">
      <c r="A208" s="71" t="s">
        <v>174</v>
      </c>
      <c r="B208" s="83">
        <v>-3783.7</v>
      </c>
    </row>
    <row r="209" spans="1:2">
      <c r="A209" s="72" t="s">
        <v>175</v>
      </c>
      <c r="B209" s="16" t="s">
        <v>33</v>
      </c>
    </row>
    <row r="210" spans="1:2">
      <c r="A210" s="49"/>
    </row>
    <row r="211" spans="1:2">
      <c r="A211" t="s">
        <v>176</v>
      </c>
      <c r="B211" s="3">
        <v>-600</v>
      </c>
    </row>
    <row r="212" spans="1:2">
      <c r="A212" s="49"/>
    </row>
    <row r="213" spans="1:2" ht="15.75" thickBot="1">
      <c r="A213" s="71" t="s">
        <v>177</v>
      </c>
      <c r="B213" s="83">
        <v>-4383.7</v>
      </c>
    </row>
    <row r="214" spans="1:2">
      <c r="A214" s="72" t="s">
        <v>178</v>
      </c>
      <c r="B214" s="16" t="s">
        <v>33</v>
      </c>
    </row>
  </sheetData>
  <pageMargins left="0.7" right="0.7" top="0.75" bottom="0.75" header="0.3" footer="0.3"/>
  <pageSetup paperSize="9" orientation="portrait" horizontalDpi="0" verticalDpi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6F82-57C1-4AD5-8455-91A17BF982EC}">
  <sheetPr>
    <tabColor rgb="FF92D050"/>
  </sheetPr>
  <dimension ref="B1:U149"/>
  <sheetViews>
    <sheetView showGridLines="0" topLeftCell="A100" workbookViewId="0">
      <selection activeCell="G84" sqref="G84"/>
    </sheetView>
  </sheetViews>
  <sheetFormatPr defaultColWidth="8.85546875" defaultRowHeight="15" outlineLevelRow="1"/>
  <cols>
    <col min="1" max="1" width="3.7109375" customWidth="1"/>
    <col min="2" max="2" width="3.28515625" customWidth="1"/>
    <col min="3" max="3" width="0.42578125" customWidth="1"/>
    <col min="4" max="4" width="42.42578125" bestFit="1" customWidth="1"/>
    <col min="9" max="9" width="1.7109375" customWidth="1"/>
    <col min="14" max="14" width="1.7109375" customWidth="1"/>
    <col min="19" max="19" width="3.140625" customWidth="1"/>
  </cols>
  <sheetData>
    <row r="1" spans="2:19" ht="7.5" customHeight="1"/>
    <row r="2" spans="2:19" ht="18.75">
      <c r="B2" s="104" t="s">
        <v>522</v>
      </c>
      <c r="C2" s="105"/>
      <c r="D2" s="106" t="s">
        <v>523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</row>
    <row r="4" spans="2:19">
      <c r="D4" s="238" t="s">
        <v>524</v>
      </c>
      <c r="E4" s="238"/>
      <c r="F4" s="238"/>
      <c r="G4" s="238"/>
      <c r="H4" s="43"/>
      <c r="I4" s="15"/>
      <c r="J4" s="239" t="s">
        <v>525</v>
      </c>
      <c r="K4" s="239"/>
      <c r="L4" s="239"/>
      <c r="M4" s="239"/>
      <c r="N4" s="15"/>
      <c r="O4" s="239" t="s">
        <v>526</v>
      </c>
      <c r="P4" s="239"/>
      <c r="Q4" s="239"/>
      <c r="R4" s="239"/>
    </row>
    <row r="5" spans="2:19" ht="8.25" customHeight="1"/>
    <row r="6" spans="2:19">
      <c r="D6" s="108" t="s">
        <v>527</v>
      </c>
      <c r="E6" s="109" t="s">
        <v>528</v>
      </c>
      <c r="F6" s="109" t="s">
        <v>529</v>
      </c>
      <c r="G6" s="109" t="s">
        <v>273</v>
      </c>
      <c r="H6" s="109" t="s">
        <v>271</v>
      </c>
      <c r="I6" s="110"/>
      <c r="J6" s="109" t="s">
        <v>257</v>
      </c>
      <c r="K6" s="109" t="s">
        <v>530</v>
      </c>
      <c r="L6" s="109" t="s">
        <v>531</v>
      </c>
      <c r="M6" s="109" t="s">
        <v>532</v>
      </c>
      <c r="N6" s="110"/>
      <c r="O6" s="109" t="s">
        <v>257</v>
      </c>
      <c r="P6" s="109" t="s">
        <v>530</v>
      </c>
      <c r="Q6" s="109" t="s">
        <v>531</v>
      </c>
      <c r="R6" s="109" t="s">
        <v>532</v>
      </c>
    </row>
    <row r="7" spans="2:19" ht="5.25" customHeight="1">
      <c r="D7" s="4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2:19">
      <c r="B8" s="111" t="s">
        <v>533</v>
      </c>
      <c r="D8" s="112" t="s">
        <v>534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</row>
    <row r="9" spans="2:19" ht="8.25" customHeight="1">
      <c r="D9" s="44"/>
    </row>
    <row r="10" spans="2:19" outlineLevel="1">
      <c r="D10" s="238" t="s">
        <v>535</v>
      </c>
      <c r="E10" s="238"/>
      <c r="F10" s="238"/>
      <c r="G10" s="238"/>
      <c r="H10" s="43"/>
      <c r="I10" s="114"/>
      <c r="J10" s="114"/>
      <c r="K10" s="114"/>
      <c r="L10" s="114"/>
      <c r="M10" s="114"/>
      <c r="N10" s="114"/>
      <c r="O10" s="114"/>
      <c r="P10" s="114"/>
      <c r="Q10" s="114"/>
      <c r="R10" s="114"/>
    </row>
    <row r="11" spans="2:19" outlineLevel="1">
      <c r="D11" s="44"/>
    </row>
    <row r="12" spans="2:19" outlineLevel="1">
      <c r="D12" s="45" t="s">
        <v>228</v>
      </c>
      <c r="E12" s="46"/>
      <c r="F12" s="46"/>
      <c r="G12" s="46">
        <v>4327.2666800000006</v>
      </c>
      <c r="H12" s="46">
        <v>4600</v>
      </c>
      <c r="I12" s="46"/>
      <c r="J12" s="46">
        <v>4465.1182257499995</v>
      </c>
      <c r="K12" s="46">
        <v>4669.1083984999996</v>
      </c>
      <c r="L12" s="46">
        <v>4809.1816504549997</v>
      </c>
      <c r="M12" s="46">
        <v>4953.4570999686503</v>
      </c>
      <c r="N12" s="46"/>
      <c r="O12" s="46">
        <v>4533.1149499999992</v>
      </c>
      <c r="P12" s="46">
        <v>4759.7706974999992</v>
      </c>
      <c r="Q12" s="46">
        <v>5045.3569393499993</v>
      </c>
      <c r="R12" s="46">
        <v>5348.0783557109999</v>
      </c>
    </row>
    <row r="13" spans="2:19" outlineLevel="1">
      <c r="D13" s="45" t="s">
        <v>229</v>
      </c>
      <c r="E13" s="46"/>
      <c r="F13" s="46"/>
      <c r="G13" s="46">
        <v>1811.1542800000002</v>
      </c>
      <c r="H13" s="46">
        <v>1900</v>
      </c>
      <c r="I13" s="46"/>
      <c r="J13" s="46">
        <v>1741.5668448000001</v>
      </c>
      <c r="K13" s="46">
        <v>1886.6974152000003</v>
      </c>
      <c r="L13" s="46">
        <v>1943.2983376560003</v>
      </c>
      <c r="M13" s="46">
        <v>2001.5972877856802</v>
      </c>
      <c r="N13" s="46"/>
      <c r="O13" s="46">
        <v>1814.1321300000002</v>
      </c>
      <c r="P13" s="46">
        <v>1959.2627004000003</v>
      </c>
      <c r="Q13" s="46">
        <v>2096.4110894280007</v>
      </c>
      <c r="R13" s="46">
        <v>2243.159865687961</v>
      </c>
    </row>
    <row r="14" spans="2:19" outlineLevel="1">
      <c r="D14" s="45" t="s">
        <v>230</v>
      </c>
      <c r="E14" s="46"/>
      <c r="F14" s="46"/>
      <c r="G14" s="46">
        <v>723.30100698414697</v>
      </c>
      <c r="H14" s="46">
        <v>775</v>
      </c>
      <c r="I14" s="46"/>
      <c r="J14" s="46">
        <v>686.58479344</v>
      </c>
      <c r="K14" s="46">
        <v>737.17525190399999</v>
      </c>
      <c r="L14" s="46">
        <v>759.29050946112</v>
      </c>
      <c r="M14" s="46">
        <v>782.06922474495366</v>
      </c>
      <c r="N14" s="46"/>
      <c r="O14" s="46">
        <v>722.72083520000001</v>
      </c>
      <c r="P14" s="46">
        <v>751.62966860800009</v>
      </c>
      <c r="Q14" s="46">
        <v>789.21115203840009</v>
      </c>
      <c r="R14" s="46">
        <v>828.67170964032016</v>
      </c>
    </row>
    <row r="15" spans="2:19" outlineLevel="1">
      <c r="D15" s="45" t="s">
        <v>231</v>
      </c>
      <c r="E15" s="46"/>
      <c r="F15" s="46"/>
      <c r="G15" s="46">
        <v>87.682839999999999</v>
      </c>
      <c r="H15" s="46">
        <v>135</v>
      </c>
      <c r="I15" s="46"/>
      <c r="J15" s="46">
        <v>158.60454300000001</v>
      </c>
      <c r="K15" s="46">
        <v>220.2840875</v>
      </c>
      <c r="L15" s="46">
        <v>264.34090499999996</v>
      </c>
      <c r="M15" s="46">
        <v>290.77499549999999</v>
      </c>
      <c r="N15" s="46"/>
      <c r="O15" s="46">
        <v>176.22727</v>
      </c>
      <c r="P15" s="46">
        <v>281.96363200000002</v>
      </c>
      <c r="Q15" s="46">
        <v>422.94544800000006</v>
      </c>
      <c r="R15" s="46">
        <v>592.12362719999999</v>
      </c>
    </row>
    <row r="16" spans="2:19" outlineLevel="1">
      <c r="D16" s="45" t="s">
        <v>232</v>
      </c>
      <c r="E16" s="46"/>
      <c r="F16" s="46"/>
      <c r="G16" s="46">
        <v>36.581779999999995</v>
      </c>
      <c r="H16" s="46">
        <v>110</v>
      </c>
      <c r="I16" s="46"/>
      <c r="J16" s="46">
        <v>64.607597999999996</v>
      </c>
      <c r="K16" s="46">
        <v>107.67932999999999</v>
      </c>
      <c r="L16" s="46">
        <v>150.75106199999999</v>
      </c>
      <c r="M16" s="46">
        <v>188.4388275</v>
      </c>
      <c r="N16" s="46"/>
      <c r="O16" s="46">
        <v>71.78622</v>
      </c>
      <c r="P16" s="46">
        <v>143.57244</v>
      </c>
      <c r="Q16" s="46">
        <v>258.43039199999998</v>
      </c>
      <c r="R16" s="46">
        <v>413.4886272</v>
      </c>
    </row>
    <row r="17" spans="4:18" outlineLevel="1">
      <c r="D17" s="47" t="s">
        <v>31</v>
      </c>
      <c r="E17" s="48">
        <v>7054.0784884962395</v>
      </c>
      <c r="F17" s="48">
        <v>6960.1302574999991</v>
      </c>
      <c r="G17" s="48">
        <v>6985.9865869841487</v>
      </c>
      <c r="H17" s="48">
        <v>7520</v>
      </c>
      <c r="I17" s="48"/>
      <c r="J17" s="48">
        <v>7116.48200499</v>
      </c>
      <c r="K17" s="48">
        <v>7620.944483104</v>
      </c>
      <c r="L17" s="48">
        <v>7926.8624645721202</v>
      </c>
      <c r="M17" s="48">
        <v>8216.3374354992829</v>
      </c>
      <c r="N17" s="48"/>
      <c r="O17" s="48">
        <v>7317.9814051999992</v>
      </c>
      <c r="P17" s="48">
        <v>7896.199138508</v>
      </c>
      <c r="Q17" s="48">
        <v>8612.3550208164015</v>
      </c>
      <c r="R17" s="48">
        <v>9425.5221854392821</v>
      </c>
    </row>
    <row r="18" spans="4:18" outlineLevel="1">
      <c r="D18" s="49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</row>
    <row r="19" spans="4:18" outlineLevel="1">
      <c r="D19" s="44" t="s">
        <v>234</v>
      </c>
      <c r="E19" s="46">
        <v>0</v>
      </c>
      <c r="F19" s="46">
        <v>15</v>
      </c>
      <c r="G19" s="46">
        <v>120.10185645763202</v>
      </c>
      <c r="H19" s="46">
        <v>250</v>
      </c>
      <c r="I19" s="46"/>
      <c r="J19" s="46">
        <v>208.68997688000002</v>
      </c>
      <c r="K19" s="46">
        <v>266.186195</v>
      </c>
      <c r="L19" s="46">
        <v>319.42343399999999</v>
      </c>
      <c r="M19" s="46">
        <v>351.36577740000001</v>
      </c>
      <c r="N19" s="46"/>
      <c r="O19" s="46">
        <v>212.94895600000001</v>
      </c>
      <c r="P19" s="46">
        <v>340.71832960000006</v>
      </c>
      <c r="Q19" s="46">
        <v>511.07749440000009</v>
      </c>
      <c r="R19" s="46">
        <v>715.50849216000006</v>
      </c>
    </row>
    <row r="20" spans="4:18" outlineLevel="1">
      <c r="D20" s="44" t="s">
        <v>235</v>
      </c>
      <c r="E20" s="46">
        <v>231.20269300000001</v>
      </c>
      <c r="F20" s="46">
        <v>186.102580464</v>
      </c>
      <c r="G20" s="46">
        <v>173.48070611518398</v>
      </c>
      <c r="H20" s="46">
        <v>125</v>
      </c>
      <c r="I20" s="46"/>
      <c r="J20" s="46">
        <v>161.77732020000002</v>
      </c>
      <c r="K20" s="46">
        <v>166.88607768000003</v>
      </c>
      <c r="L20" s="46">
        <v>163.54835612640002</v>
      </c>
      <c r="M20" s="46">
        <v>160.27738900387203</v>
      </c>
      <c r="N20" s="46"/>
      <c r="O20" s="46">
        <v>170.29191600000004</v>
      </c>
      <c r="P20" s="46">
        <v>173.69775432000006</v>
      </c>
      <c r="Q20" s="46">
        <v>177.17170940640005</v>
      </c>
      <c r="R20" s="46">
        <v>180.71514359452806</v>
      </c>
    </row>
    <row r="21" spans="4:18" outlineLevel="1">
      <c r="D21" s="51" t="s">
        <v>236</v>
      </c>
      <c r="E21" s="48">
        <f>SUM(E19:E20)</f>
        <v>231.20269300000001</v>
      </c>
      <c r="F21" s="48">
        <f>SUM(F19:F20)</f>
        <v>201.102580464</v>
      </c>
      <c r="G21" s="48">
        <v>293.58256257281602</v>
      </c>
      <c r="H21" s="48">
        <v>375</v>
      </c>
      <c r="I21" s="48"/>
      <c r="J21" s="48">
        <v>370.46729708000004</v>
      </c>
      <c r="K21" s="48">
        <v>433.07227268000003</v>
      </c>
      <c r="L21" s="48">
        <v>482.97179012640004</v>
      </c>
      <c r="M21" s="48">
        <v>511.64316640387204</v>
      </c>
      <c r="N21" s="48"/>
      <c r="O21" s="48">
        <v>383.24087200000008</v>
      </c>
      <c r="P21" s="48">
        <v>514.41608392000012</v>
      </c>
      <c r="Q21" s="48">
        <v>688.24920380640015</v>
      </c>
      <c r="R21" s="48">
        <v>896.22363575452812</v>
      </c>
    </row>
    <row r="22" spans="4:18" outlineLevel="1">
      <c r="D22" s="49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</row>
    <row r="23" spans="4:18" outlineLevel="1">
      <c r="D23" s="45" t="s">
        <v>237</v>
      </c>
      <c r="E23" s="46">
        <v>384.31480430000005</v>
      </c>
      <c r="F23" s="46">
        <v>459.94317751519998</v>
      </c>
      <c r="G23" s="46">
        <v>723.64898508591909</v>
      </c>
      <c r="H23" s="46">
        <v>1000</v>
      </c>
      <c r="I23" s="46"/>
      <c r="J23" s="46">
        <v>774.39481951999994</v>
      </c>
      <c r="K23" s="46">
        <v>1018.940552</v>
      </c>
      <c r="L23" s="46">
        <v>1222.7286624000001</v>
      </c>
      <c r="M23" s="46">
        <v>1345.0015286400003</v>
      </c>
      <c r="N23" s="46"/>
      <c r="O23" s="46">
        <v>815.15244159999997</v>
      </c>
      <c r="P23" s="46">
        <v>1304.2439065600001</v>
      </c>
      <c r="Q23" s="46">
        <v>1956.3658598400002</v>
      </c>
      <c r="R23" s="46">
        <v>2738.9122037760003</v>
      </c>
    </row>
    <row r="24" spans="4:18" outlineLevel="1">
      <c r="D24" s="45" t="s">
        <v>64</v>
      </c>
      <c r="E24" s="46">
        <v>20</v>
      </c>
      <c r="F24" s="46">
        <v>0</v>
      </c>
      <c r="G24" s="46">
        <v>35.717858636318098</v>
      </c>
      <c r="H24" s="46">
        <v>60</v>
      </c>
      <c r="I24" s="46"/>
      <c r="J24" s="46">
        <v>17.099999999999998</v>
      </c>
      <c r="K24" s="46">
        <v>13.5</v>
      </c>
      <c r="L24" s="46">
        <v>10.125</v>
      </c>
      <c r="M24" s="46">
        <v>7.59375</v>
      </c>
      <c r="N24" s="46"/>
      <c r="O24" s="46">
        <v>18</v>
      </c>
      <c r="P24" s="46">
        <v>18</v>
      </c>
      <c r="Q24" s="46">
        <v>18</v>
      </c>
      <c r="R24" s="46">
        <v>18</v>
      </c>
    </row>
    <row r="25" spans="4:18" outlineLevel="1">
      <c r="D25" s="47" t="s">
        <v>238</v>
      </c>
      <c r="E25" s="48">
        <f>SUM(E23:E24)</f>
        <v>404.31480430000005</v>
      </c>
      <c r="F25" s="48">
        <f>SUM(F23:F24)</f>
        <v>459.94317751519998</v>
      </c>
      <c r="G25" s="48">
        <v>759.36684372223715</v>
      </c>
      <c r="H25" s="48">
        <v>1060</v>
      </c>
      <c r="I25" s="48"/>
      <c r="J25" s="48">
        <v>791.49481951999996</v>
      </c>
      <c r="K25" s="48">
        <v>1032.440552</v>
      </c>
      <c r="L25" s="48">
        <v>1232.8536624000001</v>
      </c>
      <c r="M25" s="48">
        <v>1352.5952786400003</v>
      </c>
      <c r="N25" s="48"/>
      <c r="O25" s="48">
        <v>833.15244159999997</v>
      </c>
      <c r="P25" s="48">
        <v>1322.2439065600001</v>
      </c>
      <c r="Q25" s="48">
        <v>1974.3658598400002</v>
      </c>
      <c r="R25" s="48">
        <v>2756.9122037760003</v>
      </c>
    </row>
    <row r="26" spans="4:18" outlineLevel="1">
      <c r="D26" s="49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spans="4:18" outlineLevel="1">
      <c r="D27" s="45" t="s">
        <v>239</v>
      </c>
      <c r="E27" s="46"/>
      <c r="F27" s="46"/>
      <c r="G27" s="46">
        <v>400.00112999999999</v>
      </c>
      <c r="H27" s="46">
        <v>420</v>
      </c>
      <c r="I27" s="46"/>
      <c r="J27" s="46">
        <v>426.45234950000003</v>
      </c>
      <c r="K27" s="46">
        <v>466.85309840000002</v>
      </c>
      <c r="L27" s="46">
        <v>480.85869135200005</v>
      </c>
      <c r="M27" s="46">
        <v>495.28445209256006</v>
      </c>
      <c r="N27" s="46"/>
      <c r="O27" s="46">
        <v>448.89721000000003</v>
      </c>
      <c r="P27" s="46">
        <v>484.80898680000007</v>
      </c>
      <c r="Q27" s="46">
        <v>518.7456158760001</v>
      </c>
      <c r="R27" s="46">
        <v>555.05780898732019</v>
      </c>
    </row>
    <row r="28" spans="4:18" outlineLevel="1">
      <c r="D28" s="45" t="s">
        <v>240</v>
      </c>
      <c r="E28" s="46"/>
      <c r="F28" s="46"/>
      <c r="G28" s="46">
        <v>487.42534000000006</v>
      </c>
      <c r="H28" s="46">
        <v>600</v>
      </c>
      <c r="I28" s="46"/>
      <c r="J28" s="46">
        <v>605.77470900000003</v>
      </c>
      <c r="K28" s="46">
        <v>686.54467020000004</v>
      </c>
      <c r="L28" s="46">
        <v>700.27556360400001</v>
      </c>
      <c r="M28" s="46">
        <v>714.28107487607997</v>
      </c>
      <c r="N28" s="46"/>
      <c r="O28" s="46">
        <v>673.08301000000006</v>
      </c>
      <c r="P28" s="46">
        <v>700.00633040000014</v>
      </c>
      <c r="Q28" s="46">
        <v>728.00658361600017</v>
      </c>
      <c r="R28" s="46">
        <v>757.12684696064025</v>
      </c>
    </row>
    <row r="29" spans="4:18" outlineLevel="1">
      <c r="D29" s="45" t="s">
        <v>241</v>
      </c>
      <c r="E29" s="46"/>
      <c r="F29" s="46"/>
      <c r="G29" s="46">
        <v>297.28224</v>
      </c>
      <c r="H29" s="46">
        <v>320</v>
      </c>
      <c r="I29" s="46"/>
      <c r="J29" s="46">
        <v>324.30917700000003</v>
      </c>
      <c r="K29" s="46">
        <v>378.36070650000005</v>
      </c>
      <c r="L29" s="46">
        <v>393.49513476000004</v>
      </c>
      <c r="M29" s="46">
        <v>409.23494015040006</v>
      </c>
      <c r="N29" s="46"/>
      <c r="O29" s="46">
        <v>360.34353000000004</v>
      </c>
      <c r="P29" s="46">
        <v>414.3950595</v>
      </c>
      <c r="Q29" s="46">
        <v>455.83456545000001</v>
      </c>
      <c r="R29" s="46">
        <v>492.30133068600003</v>
      </c>
    </row>
    <row r="30" spans="4:18" outlineLevel="1">
      <c r="D30" s="45" t="s">
        <v>242</v>
      </c>
      <c r="E30" s="46"/>
      <c r="F30" s="46"/>
      <c r="G30" s="46">
        <v>245.10886000000005</v>
      </c>
      <c r="H30" s="46">
        <v>300</v>
      </c>
      <c r="I30" s="46"/>
      <c r="J30" s="46">
        <v>380.74273849999997</v>
      </c>
      <c r="K30" s="46">
        <v>500.97728749999999</v>
      </c>
      <c r="L30" s="46">
        <v>601.17274499999996</v>
      </c>
      <c r="M30" s="46">
        <v>661.29001949999997</v>
      </c>
      <c r="N30" s="46"/>
      <c r="O30" s="46">
        <v>400.78183000000001</v>
      </c>
      <c r="P30" s="46">
        <v>561.094562</v>
      </c>
      <c r="Q30" s="46">
        <v>729.42293059999997</v>
      </c>
      <c r="R30" s="46">
        <v>875.30751671999997</v>
      </c>
    </row>
    <row r="31" spans="4:18" outlineLevel="1">
      <c r="D31" s="45" t="s">
        <v>243</v>
      </c>
      <c r="E31" s="46"/>
      <c r="F31" s="46"/>
      <c r="G31" s="46">
        <v>28.565149999999996</v>
      </c>
      <c r="H31" s="46">
        <v>160</v>
      </c>
      <c r="I31" s="46"/>
      <c r="J31" s="46">
        <v>49.552408499999991</v>
      </c>
      <c r="K31" s="46">
        <v>65.200537499999996</v>
      </c>
      <c r="L31" s="46">
        <v>78.240644999999986</v>
      </c>
      <c r="M31" s="46">
        <v>86.064709499999992</v>
      </c>
      <c r="N31" s="46"/>
      <c r="O31" s="46">
        <v>52.160429999999991</v>
      </c>
      <c r="P31" s="46">
        <v>83.456687999999986</v>
      </c>
      <c r="Q31" s="46">
        <v>125.18503199999998</v>
      </c>
      <c r="R31" s="46">
        <v>175.25904479999997</v>
      </c>
    </row>
    <row r="32" spans="4:18" outlineLevel="1">
      <c r="D32" s="45" t="s">
        <v>244</v>
      </c>
      <c r="E32" s="46"/>
      <c r="F32" s="46"/>
      <c r="G32" s="46">
        <v>15.133949999999999</v>
      </c>
      <c r="H32" s="46">
        <v>25</v>
      </c>
      <c r="I32" s="46"/>
      <c r="J32" s="46">
        <v>29.714744999999997</v>
      </c>
      <c r="K32" s="46">
        <v>59.429489999999994</v>
      </c>
      <c r="L32" s="46">
        <v>83.201285999999982</v>
      </c>
      <c r="M32" s="46">
        <v>104.00160749999998</v>
      </c>
      <c r="N32" s="46"/>
      <c r="O32" s="46">
        <v>39.619659999999996</v>
      </c>
      <c r="P32" s="46">
        <v>79.239319999999992</v>
      </c>
      <c r="Q32" s="46">
        <v>142.630776</v>
      </c>
      <c r="R32" s="46">
        <v>228.20924160000001</v>
      </c>
    </row>
    <row r="33" spans="4:21" outlineLevel="1">
      <c r="D33" s="45" t="s">
        <v>245</v>
      </c>
      <c r="E33" s="46"/>
      <c r="F33" s="46"/>
      <c r="G33" s="46">
        <v>54.728430000000003</v>
      </c>
      <c r="H33" s="46">
        <v>60</v>
      </c>
      <c r="I33" s="46"/>
      <c r="J33" s="46">
        <v>40.654215000000008</v>
      </c>
      <c r="K33" s="46">
        <v>44.267923000000003</v>
      </c>
      <c r="L33" s="46">
        <v>43.382564540000004</v>
      </c>
      <c r="M33" s="46">
        <v>42.514913249200006</v>
      </c>
      <c r="N33" s="46"/>
      <c r="O33" s="46">
        <v>45.171350000000004</v>
      </c>
      <c r="P33" s="46">
        <v>46.074777000000005</v>
      </c>
      <c r="Q33" s="46">
        <v>46.996272540000007</v>
      </c>
      <c r="R33" s="46">
        <v>47.936197990800011</v>
      </c>
    </row>
    <row r="34" spans="4:21" outlineLevel="1">
      <c r="D34" s="47" t="s">
        <v>100</v>
      </c>
      <c r="E34" s="48">
        <v>1617.7474099999999</v>
      </c>
      <c r="F34" s="48">
        <v>1544.1891600000001</v>
      </c>
      <c r="G34" s="48">
        <v>1528.2451000000001</v>
      </c>
      <c r="H34" s="48">
        <v>1885</v>
      </c>
      <c r="I34" s="48"/>
      <c r="J34" s="48">
        <v>1857.2003425000003</v>
      </c>
      <c r="K34" s="48">
        <v>2201.6337131</v>
      </c>
      <c r="L34" s="48">
        <v>2380.6266302559998</v>
      </c>
      <c r="M34" s="48">
        <v>2512.6717168682399</v>
      </c>
      <c r="N34" s="48"/>
      <c r="O34" s="48">
        <v>2020.0570200000004</v>
      </c>
      <c r="P34" s="48">
        <v>2369.0757237000003</v>
      </c>
      <c r="Q34" s="48">
        <v>2746.8217760820003</v>
      </c>
      <c r="R34" s="48">
        <v>3131.1979877447607</v>
      </c>
    </row>
    <row r="35" spans="4:21" outlineLevel="1">
      <c r="D35" s="49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4:21" ht="15.75" outlineLevel="1" thickBot="1">
      <c r="D36" s="52" t="s">
        <v>246</v>
      </c>
      <c r="E36" s="53">
        <f>SUM(E17,E21,E25,E34)</f>
        <v>9307.3433957962407</v>
      </c>
      <c r="F36" s="53">
        <f>SUM(F17,F21,F25,F34)</f>
        <v>9165.365175479199</v>
      </c>
      <c r="G36" s="53">
        <v>9567.1810932792014</v>
      </c>
      <c r="H36" s="53">
        <v>10840</v>
      </c>
      <c r="I36" s="53"/>
      <c r="J36" s="53">
        <v>10135.644464090001</v>
      </c>
      <c r="K36" s="53">
        <v>11288.091020884</v>
      </c>
      <c r="L36" s="53">
        <v>12023.314547354521</v>
      </c>
      <c r="M36" s="53">
        <v>12593.247597411395</v>
      </c>
      <c r="N36" s="53"/>
      <c r="O36" s="53">
        <v>10554.4317388</v>
      </c>
      <c r="P36" s="53">
        <v>12101.934852687999</v>
      </c>
      <c r="Q36" s="53">
        <v>14021.791860544803</v>
      </c>
      <c r="R36" s="53">
        <v>16209.856012714572</v>
      </c>
      <c r="U36" s="46"/>
    </row>
    <row r="37" spans="4:21" outlineLevel="1">
      <c r="D37" s="49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4:21" outlineLevel="1">
      <c r="D38" t="s">
        <v>247</v>
      </c>
      <c r="E38" s="46">
        <v>136.34647999999999</v>
      </c>
      <c r="F38" s="46">
        <v>0</v>
      </c>
      <c r="G38" s="46">
        <v>227.20375000000004</v>
      </c>
      <c r="H38" s="46">
        <v>750</v>
      </c>
      <c r="I38" s="46"/>
      <c r="J38" s="46">
        <v>501.68308500000001</v>
      </c>
      <c r="K38" s="46">
        <v>724.65334500000006</v>
      </c>
      <c r="L38" s="46">
        <v>869.58401400000002</v>
      </c>
      <c r="M38" s="46">
        <v>956.5424154000001</v>
      </c>
      <c r="N38" s="46"/>
      <c r="O38" s="46">
        <v>557.42565000000002</v>
      </c>
      <c r="P38" s="46">
        <v>975.4948875</v>
      </c>
      <c r="Q38" s="46">
        <v>1463.24233125</v>
      </c>
      <c r="R38" s="46">
        <v>1829.0529140624999</v>
      </c>
      <c r="U38" s="46"/>
    </row>
    <row r="39" spans="4:21" outlineLevel="1">
      <c r="D39" t="s">
        <v>248</v>
      </c>
      <c r="E39" s="46"/>
      <c r="F39" s="46"/>
      <c r="G39" s="46">
        <v>0</v>
      </c>
      <c r="H39" s="46">
        <v>200</v>
      </c>
      <c r="I39" s="46"/>
      <c r="J39" s="46">
        <v>80</v>
      </c>
      <c r="K39" s="46">
        <v>175</v>
      </c>
      <c r="L39" s="46">
        <v>262.5</v>
      </c>
      <c r="M39" s="46">
        <v>328.125</v>
      </c>
      <c r="N39" s="46"/>
      <c r="O39" s="46">
        <v>100</v>
      </c>
      <c r="P39" s="46">
        <v>250</v>
      </c>
      <c r="Q39" s="46">
        <v>500</v>
      </c>
      <c r="R39" s="46">
        <v>875</v>
      </c>
    </row>
    <row r="40" spans="4:21" outlineLevel="1">
      <c r="D40" t="s">
        <v>249</v>
      </c>
      <c r="E40" s="46"/>
      <c r="F40" s="46"/>
      <c r="G40" s="46">
        <v>0</v>
      </c>
      <c r="H40" s="46">
        <v>250</v>
      </c>
      <c r="I40" s="46"/>
      <c r="J40" s="46">
        <v>0</v>
      </c>
      <c r="K40" s="46">
        <v>50</v>
      </c>
      <c r="L40" s="46">
        <v>87.5</v>
      </c>
      <c r="M40" s="46">
        <v>131.25</v>
      </c>
      <c r="N40" s="46"/>
      <c r="O40" s="46">
        <v>0</v>
      </c>
      <c r="P40" s="46">
        <v>100</v>
      </c>
      <c r="Q40" s="46">
        <v>200</v>
      </c>
      <c r="R40" s="46">
        <v>350</v>
      </c>
      <c r="U40" s="46"/>
    </row>
    <row r="41" spans="4:21" outlineLevel="1">
      <c r="D41" s="49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</row>
    <row r="42" spans="4:21" ht="15.75" outlineLevel="1" thickBot="1">
      <c r="D42" s="52" t="s">
        <v>250</v>
      </c>
      <c r="E42" s="53">
        <v>136.34647999999999</v>
      </c>
      <c r="F42" s="53">
        <v>0</v>
      </c>
      <c r="G42" s="53">
        <v>227.20375000000004</v>
      </c>
      <c r="H42" s="53">
        <v>1200</v>
      </c>
      <c r="I42" s="53"/>
      <c r="J42" s="53">
        <v>581.68308500000001</v>
      </c>
      <c r="K42" s="53">
        <v>949.65334500000006</v>
      </c>
      <c r="L42" s="53">
        <v>1219.584014</v>
      </c>
      <c r="M42" s="53">
        <v>1415.9174154000002</v>
      </c>
      <c r="N42" s="53"/>
      <c r="O42" s="53">
        <v>657.42565000000002</v>
      </c>
      <c r="P42" s="53">
        <v>1325.4948875</v>
      </c>
      <c r="Q42" s="53">
        <v>2163.24233125</v>
      </c>
      <c r="R42" s="53">
        <v>3054.0529140624999</v>
      </c>
    </row>
    <row r="43" spans="4:21" outlineLevel="1">
      <c r="D43" s="49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</row>
    <row r="44" spans="4:21" outlineLevel="1">
      <c r="D44" t="s">
        <v>251</v>
      </c>
      <c r="E44" s="46">
        <v>380.16694410399998</v>
      </c>
      <c r="F44" s="46">
        <v>363.19729529579996</v>
      </c>
      <c r="G44" s="46">
        <v>394.85068254782402</v>
      </c>
      <c r="H44" s="46">
        <v>650</v>
      </c>
      <c r="I44" s="46"/>
      <c r="J44" s="46">
        <v>612.91723139999999</v>
      </c>
      <c r="K44" s="46">
        <v>735.50067768000008</v>
      </c>
      <c r="L44" s="46">
        <v>794.34073189440016</v>
      </c>
      <c r="M44" s="46">
        <v>857.88799044595225</v>
      </c>
      <c r="N44" s="46"/>
      <c r="O44" s="46">
        <v>681.01914599999998</v>
      </c>
      <c r="P44" s="46">
        <v>783.1720178999999</v>
      </c>
      <c r="Q44" s="46">
        <v>900.64782058499986</v>
      </c>
      <c r="R44" s="46">
        <v>1035.7449936727498</v>
      </c>
    </row>
    <row r="45" spans="4:21" outlineLevel="1">
      <c r="D45" t="s">
        <v>252</v>
      </c>
      <c r="E45" s="46">
        <v>244.26904999999999</v>
      </c>
      <c r="F45" s="46">
        <v>227.96771350080002</v>
      </c>
      <c r="G45" s="46">
        <v>306.28693608745948</v>
      </c>
      <c r="H45" s="46">
        <v>338.14843261491563</v>
      </c>
      <c r="I45" s="46"/>
      <c r="J45" s="46">
        <v>333.59778143999995</v>
      </c>
      <c r="K45" s="46">
        <v>426.26383183999991</v>
      </c>
      <c r="L45" s="46">
        <v>468.89021502399993</v>
      </c>
      <c r="M45" s="46">
        <v>492.33472577519996</v>
      </c>
      <c r="N45" s="46"/>
      <c r="O45" s="46">
        <v>370.66420159999996</v>
      </c>
      <c r="P45" s="46">
        <v>444.79704191999991</v>
      </c>
      <c r="Q45" s="46">
        <v>524.86050946559988</v>
      </c>
      <c r="R45" s="46">
        <v>603.58958588543976</v>
      </c>
    </row>
    <row r="46" spans="4:21" outlineLevel="1">
      <c r="D46" t="s">
        <v>137</v>
      </c>
      <c r="E46" s="46"/>
      <c r="F46" s="46"/>
      <c r="G46" s="46">
        <v>20.505599999999998</v>
      </c>
      <c r="H46" s="46">
        <v>57.713886811179577</v>
      </c>
      <c r="I46" s="46"/>
      <c r="J46" s="46">
        <v>92.865887999999998</v>
      </c>
      <c r="K46" s="46">
        <v>128.9804</v>
      </c>
      <c r="L46" s="46">
        <v>141.87844000000001</v>
      </c>
      <c r="M46" s="46">
        <v>148.97236200000003</v>
      </c>
      <c r="N46" s="46"/>
      <c r="O46" s="46">
        <v>103.18432</v>
      </c>
      <c r="P46" s="46">
        <v>206.36864</v>
      </c>
      <c r="Q46" s="46">
        <v>309.55295999999998</v>
      </c>
      <c r="R46" s="46">
        <v>386.94119999999998</v>
      </c>
    </row>
    <row r="47" spans="4:21" outlineLevel="1">
      <c r="D47" t="s">
        <v>253</v>
      </c>
      <c r="E47" s="46">
        <v>86.014151999999996</v>
      </c>
      <c r="F47" s="46">
        <v>177.98456866903001</v>
      </c>
      <c r="G47" s="46">
        <v>16.666325470512</v>
      </c>
      <c r="H47" s="46">
        <v>30</v>
      </c>
      <c r="I47" s="46"/>
      <c r="J47" s="46">
        <v>25.357464000000004</v>
      </c>
      <c r="K47" s="46">
        <v>29.583708000000005</v>
      </c>
      <c r="L47" s="46">
        <v>31.062893400000007</v>
      </c>
      <c r="M47" s="46">
        <v>32.616038070000009</v>
      </c>
      <c r="N47" s="46"/>
      <c r="O47" s="46">
        <v>28.174960000000002</v>
      </c>
      <c r="P47" s="46">
        <v>56.349920000000004</v>
      </c>
      <c r="Q47" s="46">
        <v>61.984912000000008</v>
      </c>
      <c r="R47" s="46">
        <v>68.183403200000015</v>
      </c>
    </row>
    <row r="48" spans="4:21" outlineLevel="1">
      <c r="D48" s="49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</row>
    <row r="49" spans="4:18" ht="15.75" outlineLevel="1" thickBot="1">
      <c r="D49" s="52" t="s">
        <v>254</v>
      </c>
      <c r="E49" s="53">
        <f>SUM(E44:E47)</f>
        <v>710.45014610399994</v>
      </c>
      <c r="F49" s="53">
        <f>SUM(F44:F47)</f>
        <v>769.14957746563005</v>
      </c>
      <c r="G49" s="53">
        <v>738.30954410579545</v>
      </c>
      <c r="H49" s="53">
        <f>SUM(H44:H47)</f>
        <v>1075.8623194260954</v>
      </c>
      <c r="I49" s="53"/>
      <c r="J49" s="53">
        <v>1064.7383648399998</v>
      </c>
      <c r="K49" s="53">
        <v>1320.3286175200001</v>
      </c>
      <c r="L49" s="53">
        <v>1436.1722803184002</v>
      </c>
      <c r="M49" s="53">
        <v>1531.8111162911523</v>
      </c>
      <c r="N49" s="53"/>
      <c r="O49" s="53">
        <v>1183.0426276000001</v>
      </c>
      <c r="P49" s="53">
        <v>1490.6876198199998</v>
      </c>
      <c r="Q49" s="53">
        <v>1797.0462020505997</v>
      </c>
      <c r="R49" s="53">
        <v>2094.4591827581894</v>
      </c>
    </row>
    <row r="50" spans="4:18" outlineLevel="1">
      <c r="D50" s="49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</row>
    <row r="51" spans="4:18" ht="16.5" outlineLevel="1" thickBot="1">
      <c r="D51" s="54" t="s">
        <v>255</v>
      </c>
      <c r="E51" s="55">
        <v>10154.011981900239</v>
      </c>
      <c r="F51" s="55">
        <v>9934.7559774752299</v>
      </c>
      <c r="G51" s="55">
        <v>10532.694387384998</v>
      </c>
      <c r="H51" s="55">
        <f>SUM(H36,H42,H49)</f>
        <v>13115.862319426094</v>
      </c>
      <c r="I51" s="55"/>
      <c r="J51" s="55">
        <v>11782.065913930001</v>
      </c>
      <c r="K51" s="55">
        <v>13558.072983403999</v>
      </c>
      <c r="L51" s="55">
        <v>14679.070841672921</v>
      </c>
      <c r="M51" s="55">
        <v>15540.976129102546</v>
      </c>
      <c r="N51" s="55"/>
      <c r="O51" s="55">
        <v>12394.900016399999</v>
      </c>
      <c r="P51" s="55">
        <v>14918.117360008</v>
      </c>
      <c r="Q51" s="55">
        <v>17982.080393845401</v>
      </c>
      <c r="R51" s="55">
        <v>21358.368109535262</v>
      </c>
    </row>
    <row r="52" spans="4:18" outlineLevel="1"/>
    <row r="53" spans="4:18">
      <c r="D53" s="115" t="s">
        <v>155</v>
      </c>
      <c r="E53" s="92">
        <f>E51</f>
        <v>10154.011981900239</v>
      </c>
      <c r="F53" s="92">
        <f t="shared" ref="F53:H53" si="0">F51</f>
        <v>9934.7559774752299</v>
      </c>
      <c r="G53" s="92">
        <f t="shared" si="0"/>
        <v>10532.694387384998</v>
      </c>
      <c r="H53" s="92">
        <f t="shared" si="0"/>
        <v>13115.862319426094</v>
      </c>
      <c r="I53" s="116"/>
      <c r="J53" s="116">
        <f t="shared" ref="J53:M53" si="1">J51</f>
        <v>11782.065913930001</v>
      </c>
      <c r="K53" s="116">
        <f t="shared" si="1"/>
        <v>13558.072983403999</v>
      </c>
      <c r="L53" s="116">
        <f t="shared" si="1"/>
        <v>14679.070841672921</v>
      </c>
      <c r="M53" s="116">
        <f t="shared" si="1"/>
        <v>15540.976129102546</v>
      </c>
      <c r="N53" s="116"/>
      <c r="O53" s="116">
        <f t="shared" ref="O53:R53" si="2">O51</f>
        <v>12394.900016399999</v>
      </c>
      <c r="P53" s="116">
        <f t="shared" si="2"/>
        <v>14918.117360008</v>
      </c>
      <c r="Q53" s="116">
        <f t="shared" si="2"/>
        <v>17982.080393845401</v>
      </c>
      <c r="R53" s="116">
        <f t="shared" si="2"/>
        <v>21358.368109535262</v>
      </c>
    </row>
    <row r="54" spans="4:18">
      <c r="D54" s="101" t="s">
        <v>516</v>
      </c>
      <c r="E54" s="91">
        <f>-1757-16</f>
        <v>-1773</v>
      </c>
      <c r="F54" s="91">
        <v>-1726.4900448388501</v>
      </c>
      <c r="G54" s="91">
        <v>-1865</v>
      </c>
      <c r="H54" s="91">
        <v>-2455.5714587969701</v>
      </c>
      <c r="I54" s="91"/>
      <c r="J54" s="91">
        <v>-2193.8868480883834</v>
      </c>
      <c r="K54" s="91">
        <v>-2640.5412085190078</v>
      </c>
      <c r="L54" s="91">
        <v>-2861.8619726464549</v>
      </c>
      <c r="M54" s="91">
        <v>-3013.8608189807828</v>
      </c>
      <c r="N54" s="91"/>
      <c r="O54" s="91">
        <v>-2308</v>
      </c>
      <c r="P54" s="91">
        <v>-2930.3047424708002</v>
      </c>
      <c r="Q54" s="91">
        <v>-3589.2772221411956</v>
      </c>
      <c r="R54" s="91">
        <v>-4283.8834858456912</v>
      </c>
    </row>
    <row r="55" spans="4:18" ht="4.5" customHeight="1">
      <c r="D55" s="101"/>
      <c r="G55" s="101"/>
      <c r="H55" s="101"/>
    </row>
    <row r="56" spans="4:18" ht="15.75" thickBot="1">
      <c r="D56" s="117" t="s">
        <v>517</v>
      </c>
      <c r="E56" s="118">
        <f t="shared" ref="E56:H56" si="3">SUM(E53:E54)</f>
        <v>8381.0119819002393</v>
      </c>
      <c r="F56" s="118">
        <f t="shared" si="3"/>
        <v>8208.2659326363791</v>
      </c>
      <c r="G56" s="118">
        <f t="shared" si="3"/>
        <v>8667.6943873849978</v>
      </c>
      <c r="H56" s="118">
        <f t="shared" si="3"/>
        <v>10660.290860629124</v>
      </c>
      <c r="J56" s="118">
        <f t="shared" ref="J56:M56" si="4">SUM(J53:J54)</f>
        <v>9588.1790658416176</v>
      </c>
      <c r="K56" s="118">
        <f t="shared" si="4"/>
        <v>10917.531774884992</v>
      </c>
      <c r="L56" s="118">
        <f t="shared" si="4"/>
        <v>11817.208869026466</v>
      </c>
      <c r="M56" s="118">
        <f t="shared" si="4"/>
        <v>12527.115310121764</v>
      </c>
      <c r="O56" s="118">
        <f t="shared" ref="O56:R56" si="5">SUM(O53:O54)</f>
        <v>10086.900016399999</v>
      </c>
      <c r="P56" s="118">
        <f t="shared" si="5"/>
        <v>11987.8126175372</v>
      </c>
      <c r="Q56" s="118">
        <f t="shared" si="5"/>
        <v>14392.803171704205</v>
      </c>
      <c r="R56" s="118">
        <f t="shared" si="5"/>
        <v>17074.484623689572</v>
      </c>
    </row>
    <row r="57" spans="4:18">
      <c r="D57" s="119" t="s">
        <v>160</v>
      </c>
      <c r="E57" s="120">
        <f>E56/E$53</f>
        <v>0.82538921530126086</v>
      </c>
      <c r="F57" s="120">
        <f>F56/F$53</f>
        <v>0.82621716640516696</v>
      </c>
      <c r="G57" s="120">
        <f>G56/G$53</f>
        <v>0.82293229714955851</v>
      </c>
      <c r="H57" s="120">
        <f>H56/H$53</f>
        <v>0.81277849683127679</v>
      </c>
      <c r="J57" s="120">
        <f>J56/J$53</f>
        <v>0.81379438342009791</v>
      </c>
      <c r="K57" s="120">
        <f>K56/K$53</f>
        <v>0.80524214527011262</v>
      </c>
      <c r="L57" s="120">
        <f>L56/L$53</f>
        <v>0.80503793438193538</v>
      </c>
      <c r="M57" s="120">
        <f>M56/M$53</f>
        <v>0.80607004386700487</v>
      </c>
      <c r="O57" s="120">
        <f>O56/O$53</f>
        <v>0.81379438342009791</v>
      </c>
      <c r="P57" s="120">
        <f>P56/P$53</f>
        <v>0.80357409237667854</v>
      </c>
      <c r="Q57" s="120">
        <f>Q56/Q$53</f>
        <v>0.80039699837124112</v>
      </c>
      <c r="R57" s="120">
        <f>R56/R$53</f>
        <v>0.79942833348147102</v>
      </c>
    </row>
    <row r="58" spans="4:18" ht="4.5" customHeight="1">
      <c r="D58" s="101"/>
      <c r="E58" s="101"/>
      <c r="F58" s="101"/>
      <c r="G58" s="101"/>
      <c r="H58" s="101"/>
      <c r="J58" s="101"/>
      <c r="K58" s="101"/>
      <c r="L58" s="101"/>
      <c r="M58" s="101"/>
      <c r="O58" s="101"/>
      <c r="P58" s="101"/>
      <c r="Q58" s="101"/>
      <c r="R58" s="101"/>
    </row>
    <row r="59" spans="4:18">
      <c r="D59" s="101" t="s">
        <v>162</v>
      </c>
      <c r="E59" s="91">
        <v>-227.4</v>
      </c>
      <c r="F59" s="91">
        <v>-218.45849660000002</v>
      </c>
      <c r="G59" s="91">
        <v>-220.9</v>
      </c>
      <c r="H59" s="91">
        <v>-277.11427799943101</v>
      </c>
      <c r="I59" s="91"/>
      <c r="J59" s="91">
        <v>-248</v>
      </c>
      <c r="K59" s="91">
        <v>-296.40738118644003</v>
      </c>
      <c r="L59" s="91">
        <v>-330.31723411486519</v>
      </c>
      <c r="M59" s="91">
        <v>-352.73654565612208</v>
      </c>
      <c r="N59" s="91"/>
      <c r="O59" s="91">
        <v>-263</v>
      </c>
      <c r="P59" s="91">
        <v>-361.40702306068005</v>
      </c>
      <c r="Q59" s="91">
        <v>-484.58678711491001</v>
      </c>
      <c r="R59" s="91">
        <v>-612.58461199402359</v>
      </c>
    </row>
    <row r="60" spans="4:18">
      <c r="D60" s="101" t="s">
        <v>163</v>
      </c>
      <c r="E60" s="91">
        <v>-130</v>
      </c>
      <c r="F60" s="91">
        <v>-121</v>
      </c>
      <c r="G60" s="91">
        <v>-99</v>
      </c>
      <c r="H60" s="91">
        <v>-150.40000000000003</v>
      </c>
      <c r="I60" s="91"/>
      <c r="J60" s="91">
        <v>-125.73333333333301</v>
      </c>
      <c r="K60" s="91">
        <v>-152.41888966208006</v>
      </c>
      <c r="L60" s="91">
        <v>-158.53724929144241</v>
      </c>
      <c r="M60" s="91">
        <v>-164.32674870998571</v>
      </c>
      <c r="N60" s="91"/>
      <c r="O60" s="91">
        <v>-135.73333333333301</v>
      </c>
      <c r="P60" s="91">
        <v>-197.4049784627</v>
      </c>
      <c r="Q60" s="91">
        <v>-215.30887552041003</v>
      </c>
      <c r="R60" s="91">
        <v>-235.63805463598203</v>
      </c>
    </row>
    <row r="61" spans="4:18" ht="4.5" customHeight="1">
      <c r="D61" s="101"/>
      <c r="E61" s="101"/>
      <c r="F61" s="101"/>
      <c r="G61" s="101"/>
      <c r="H61" s="101"/>
      <c r="J61" s="101"/>
      <c r="K61" s="101"/>
      <c r="L61" s="101"/>
      <c r="M61" s="101"/>
      <c r="O61" s="101"/>
      <c r="P61" s="101"/>
      <c r="Q61" s="101"/>
      <c r="R61" s="101"/>
    </row>
    <row r="62" spans="4:18" ht="15.75" thickBot="1">
      <c r="D62" s="117" t="s">
        <v>166</v>
      </c>
      <c r="E62" s="118">
        <f t="shared" ref="E62:H62" si="6">SUM(E56,E59:E60)</f>
        <v>8023.6119819002397</v>
      </c>
      <c r="F62" s="118">
        <f t="shared" si="6"/>
        <v>7868.8074360363789</v>
      </c>
      <c r="G62" s="118">
        <f t="shared" si="6"/>
        <v>8347.7943873849981</v>
      </c>
      <c r="H62" s="118">
        <f t="shared" si="6"/>
        <v>10232.776582629693</v>
      </c>
      <c r="J62" s="118">
        <f t="shared" ref="J62:M62" si="7">SUM(J56,J59:J60)</f>
        <v>9214.445732508284</v>
      </c>
      <c r="K62" s="118">
        <f t="shared" si="7"/>
        <v>10468.705504036472</v>
      </c>
      <c r="L62" s="118">
        <f t="shared" si="7"/>
        <v>11328.354385620158</v>
      </c>
      <c r="M62" s="118">
        <f t="shared" si="7"/>
        <v>12010.052015755657</v>
      </c>
      <c r="O62" s="118">
        <f t="shared" ref="O62:R62" si="8">SUM(O56,O59:O60)</f>
        <v>9688.1666830666654</v>
      </c>
      <c r="P62" s="118">
        <f t="shared" si="8"/>
        <v>11429.00061601382</v>
      </c>
      <c r="Q62" s="118">
        <f t="shared" si="8"/>
        <v>13692.907509068886</v>
      </c>
      <c r="R62" s="118">
        <f t="shared" si="8"/>
        <v>16226.261957059565</v>
      </c>
    </row>
    <row r="63" spans="4:18">
      <c r="D63" s="119" t="s">
        <v>167</v>
      </c>
      <c r="E63" s="120">
        <f>E62/E$53</f>
        <v>0.79019130528923087</v>
      </c>
      <c r="F63" s="120">
        <f>F62/F$53</f>
        <v>0.79204838587652149</v>
      </c>
      <c r="G63" s="120">
        <f>G62/G$53</f>
        <v>0.79256020163113694</v>
      </c>
      <c r="H63" s="120">
        <f>H62/H$53</f>
        <v>0.78018328748951404</v>
      </c>
      <c r="J63" s="120">
        <f>J62/J$53</f>
        <v>0.78207385698071807</v>
      </c>
      <c r="K63" s="120">
        <f>K62/K$53</f>
        <v>0.77213815833938038</v>
      </c>
      <c r="L63" s="120">
        <f>L62/L$53</f>
        <v>0.7717351123791637</v>
      </c>
      <c r="M63" s="120">
        <f>M62/M$53</f>
        <v>0.77279907748299259</v>
      </c>
      <c r="O63" s="120">
        <f>O62/O$53</f>
        <v>0.78162523862621014</v>
      </c>
      <c r="P63" s="120">
        <f>P62/P$53</f>
        <v>0.7661154782608367</v>
      </c>
      <c r="Q63" s="120">
        <f>Q62/Q$53</f>
        <v>0.76147515799981969</v>
      </c>
      <c r="R63" s="120">
        <f>R62/R$53</f>
        <v>0.75971450037025479</v>
      </c>
    </row>
    <row r="64" spans="4:18" ht="4.5" customHeight="1">
      <c r="D64" s="101"/>
      <c r="E64" s="101"/>
      <c r="F64" s="101"/>
      <c r="G64" s="101"/>
      <c r="H64" s="101"/>
      <c r="J64" s="101"/>
      <c r="K64" s="101"/>
      <c r="L64" s="101"/>
      <c r="M64" s="101"/>
      <c r="O64" s="101"/>
      <c r="P64" s="101"/>
      <c r="Q64" s="101"/>
      <c r="R64" s="101"/>
    </row>
    <row r="65" spans="4:18">
      <c r="D65" s="101" t="s">
        <v>168</v>
      </c>
      <c r="E65" s="91">
        <f>-1020+150</f>
        <v>-870</v>
      </c>
      <c r="F65" s="91">
        <v>-382.87069400000001</v>
      </c>
      <c r="G65" s="91">
        <v>-451</v>
      </c>
      <c r="H65" s="91">
        <v>-712.38720000000001</v>
      </c>
      <c r="I65" s="91"/>
      <c r="J65" s="91">
        <v>-629</v>
      </c>
      <c r="K65" s="91">
        <v>-677.90364917019997</v>
      </c>
      <c r="L65" s="91">
        <v>-697.25586497946381</v>
      </c>
      <c r="M65" s="91">
        <v>-699.34392580961457</v>
      </c>
      <c r="N65" s="91"/>
      <c r="O65" s="91">
        <v>-659</v>
      </c>
      <c r="P65" s="91">
        <v>-895.08704160048001</v>
      </c>
      <c r="Q65" s="91">
        <v>-1078.9248236307239</v>
      </c>
      <c r="R65" s="91">
        <v>-1281.5020865721158</v>
      </c>
    </row>
    <row r="66" spans="4:18">
      <c r="D66" s="101" t="s">
        <v>169</v>
      </c>
      <c r="E66" s="91">
        <v>-50</v>
      </c>
      <c r="F66" s="91">
        <v>-280.59572000000003</v>
      </c>
      <c r="G66" s="91">
        <v>-273</v>
      </c>
      <c r="H66" s="91">
        <v>-290</v>
      </c>
      <c r="I66" s="91"/>
      <c r="J66" s="91">
        <v>-222</v>
      </c>
      <c r="K66" s="91">
        <v>-216.92916773446399</v>
      </c>
      <c r="L66" s="91">
        <v>-220.1860626250938</v>
      </c>
      <c r="M66" s="91">
        <v>-217.57366580743565</v>
      </c>
      <c r="N66" s="91"/>
      <c r="O66" s="91">
        <v>-232</v>
      </c>
      <c r="P66" s="91">
        <v>-268.52611248014398</v>
      </c>
      <c r="Q66" s="91">
        <v>-287.71328630152641</v>
      </c>
      <c r="R66" s="91">
        <v>-320.37552164302895</v>
      </c>
    </row>
    <row r="67" spans="4:18" ht="4.5" customHeight="1">
      <c r="D67" s="101"/>
      <c r="E67" s="101"/>
      <c r="F67" s="101"/>
      <c r="G67" s="101"/>
      <c r="H67" s="101"/>
      <c r="J67" s="101"/>
      <c r="K67" s="101"/>
      <c r="L67" s="101"/>
      <c r="M67" s="101"/>
      <c r="O67" s="101"/>
      <c r="P67" s="101"/>
      <c r="Q67" s="101"/>
      <c r="R67" s="101"/>
    </row>
    <row r="68" spans="4:18" ht="15.75" thickBot="1">
      <c r="D68" s="117" t="s">
        <v>170</v>
      </c>
      <c r="E68" s="118">
        <f t="shared" ref="E68:H68" si="9">SUM(E62,E65:E66)</f>
        <v>7103.6119819002397</v>
      </c>
      <c r="F68" s="118">
        <f t="shared" si="9"/>
        <v>7205.3410220363785</v>
      </c>
      <c r="G68" s="118">
        <f t="shared" si="9"/>
        <v>7623.7943873849981</v>
      </c>
      <c r="H68" s="118">
        <f t="shared" si="9"/>
        <v>9230.3893826296935</v>
      </c>
      <c r="J68" s="118">
        <f t="shared" ref="J68:M68" si="10">SUM(J62,J65:J66)</f>
        <v>8363.445732508284</v>
      </c>
      <c r="K68" s="118">
        <f t="shared" si="10"/>
        <v>9573.8726871318086</v>
      </c>
      <c r="L68" s="118">
        <f t="shared" si="10"/>
        <v>10410.912458015599</v>
      </c>
      <c r="M68" s="118">
        <f t="shared" si="10"/>
        <v>11093.134424138607</v>
      </c>
      <c r="O68" s="118">
        <f t="shared" ref="O68:R68" si="11">SUM(O62,O65:O66)</f>
        <v>8797.1666830666654</v>
      </c>
      <c r="P68" s="118">
        <f t="shared" si="11"/>
        <v>10265.387461933196</v>
      </c>
      <c r="Q68" s="118">
        <f t="shared" si="11"/>
        <v>12326.269399136634</v>
      </c>
      <c r="R68" s="118">
        <f t="shared" si="11"/>
        <v>14624.38434884442</v>
      </c>
    </row>
    <row r="69" spans="4:18">
      <c r="D69" s="119" t="s">
        <v>171</v>
      </c>
      <c r="E69" s="120">
        <f>E68/E$53</f>
        <v>0.69958672439648406</v>
      </c>
      <c r="F69" s="120">
        <f>F68/F$53</f>
        <v>0.72526602952028507</v>
      </c>
      <c r="G69" s="120">
        <f>G68/G$53</f>
        <v>0.72382185478731942</v>
      </c>
      <c r="H69" s="120">
        <f>H68/H$53</f>
        <v>0.70375772159169658</v>
      </c>
      <c r="J69" s="120">
        <f>J68/J$53</f>
        <v>0.70984543743047102</v>
      </c>
      <c r="K69" s="120">
        <f>K68/K$53</f>
        <v>0.70613815833938032</v>
      </c>
      <c r="L69" s="120">
        <f>L68/L$53</f>
        <v>0.70923511237916359</v>
      </c>
      <c r="M69" s="120">
        <f>M68/M$53</f>
        <v>0.71379907748299265</v>
      </c>
      <c r="O69" s="120">
        <f>O68/O$53</f>
        <v>0.70974083465190652</v>
      </c>
      <c r="P69" s="120">
        <f>P68/P$53</f>
        <v>0.68811547826083674</v>
      </c>
      <c r="Q69" s="120">
        <f>Q68/Q$53</f>
        <v>0.68547515799981962</v>
      </c>
      <c r="R69" s="120">
        <f>R68/R$53</f>
        <v>0.68471450037025472</v>
      </c>
    </row>
    <row r="70" spans="4:18" ht="4.5" customHeight="1">
      <c r="D70" s="101"/>
      <c r="E70" s="101"/>
      <c r="F70" s="101"/>
      <c r="G70" s="101"/>
      <c r="H70" s="101"/>
      <c r="J70" s="101"/>
      <c r="K70" s="101"/>
      <c r="L70" s="101"/>
      <c r="M70" s="101"/>
      <c r="O70" s="101"/>
      <c r="P70" s="101"/>
      <c r="Q70" s="101"/>
      <c r="R70" s="101"/>
    </row>
    <row r="71" spans="4:18">
      <c r="D71" s="101" t="s">
        <v>172</v>
      </c>
      <c r="E71" s="91">
        <v>-3523</v>
      </c>
      <c r="F71" s="91">
        <v>-3835</v>
      </c>
      <c r="G71" s="91">
        <v>-4205</v>
      </c>
      <c r="H71" s="91">
        <v>-4915.8999999999996</v>
      </c>
      <c r="I71" s="91"/>
      <c r="J71" s="91">
        <v>-4690.5624749999997</v>
      </c>
      <c r="K71" s="91">
        <v>-4917.0293492499995</v>
      </c>
      <c r="L71" s="91">
        <v>-5113.7105232200001</v>
      </c>
      <c r="M71" s="91">
        <v>-5318.2589441488008</v>
      </c>
      <c r="N71" s="91"/>
      <c r="O71" s="91">
        <v>-4715.5624749999997</v>
      </c>
      <c r="P71" s="91">
        <v>-5101.34059875</v>
      </c>
      <c r="Q71" s="91">
        <v>-5506.4076286875006</v>
      </c>
      <c r="R71" s="91">
        <v>-5931.7280101218757</v>
      </c>
    </row>
    <row r="72" spans="4:18">
      <c r="D72" s="101" t="s">
        <v>173</v>
      </c>
      <c r="E72" s="91">
        <v>-982</v>
      </c>
      <c r="F72" s="91">
        <v>-1199.2568707333301</v>
      </c>
      <c r="G72" s="91">
        <v>-1198</v>
      </c>
      <c r="H72" s="91">
        <v>-1586.5979079241599</v>
      </c>
      <c r="I72" s="91"/>
      <c r="J72" s="91">
        <v>-1538.3859199999999</v>
      </c>
      <c r="K72" s="91">
        <v>-1610.2874976000001</v>
      </c>
      <c r="L72" s="91">
        <v>-1658.596122528</v>
      </c>
      <c r="M72" s="91">
        <v>-1708.3540062038401</v>
      </c>
      <c r="N72" s="91"/>
      <c r="O72" s="91">
        <v>-1563.3859199999999</v>
      </c>
      <c r="P72" s="91">
        <v>-1641.555216</v>
      </c>
      <c r="Q72" s="91">
        <v>-1723.6329768000001</v>
      </c>
      <c r="R72" s="91">
        <v>-1809.81462564</v>
      </c>
    </row>
    <row r="73" spans="4:18" ht="4.5" customHeight="1">
      <c r="D73" s="101"/>
      <c r="E73" s="101"/>
      <c r="F73" s="101"/>
      <c r="G73" s="101"/>
      <c r="H73" s="101"/>
      <c r="J73" s="101"/>
      <c r="K73" s="101"/>
      <c r="L73" s="101"/>
      <c r="M73" s="101"/>
      <c r="O73" s="101"/>
      <c r="P73" s="101"/>
      <c r="Q73" s="101"/>
      <c r="R73" s="101"/>
    </row>
    <row r="74" spans="4:18" ht="15.75" thickBot="1">
      <c r="D74" s="117" t="s">
        <v>174</v>
      </c>
      <c r="E74" s="118">
        <f t="shared" ref="E74:H74" si="12">SUM(E68,E71:E72)</f>
        <v>2598.6119819002397</v>
      </c>
      <c r="F74" s="118">
        <f t="shared" si="12"/>
        <v>2171.0841513030482</v>
      </c>
      <c r="G74" s="118">
        <f t="shared" si="12"/>
        <v>2220.7943873849981</v>
      </c>
      <c r="H74" s="118">
        <f t="shared" si="12"/>
        <v>2727.8914747055342</v>
      </c>
      <c r="J74" s="118">
        <f t="shared" ref="J74:M74" si="13">SUM(J68,J71:J72)</f>
        <v>2134.4973375082845</v>
      </c>
      <c r="K74" s="118">
        <f t="shared" si="13"/>
        <v>3046.5558402818087</v>
      </c>
      <c r="L74" s="118">
        <f t="shared" si="13"/>
        <v>3638.6058122675986</v>
      </c>
      <c r="M74" s="118">
        <f t="shared" si="13"/>
        <v>4066.521473785966</v>
      </c>
      <c r="O74" s="118">
        <f t="shared" ref="O74:R74" si="14">SUM(O68,O71:O72)</f>
        <v>2518.218288066666</v>
      </c>
      <c r="P74" s="118">
        <f t="shared" si="14"/>
        <v>3522.4916471831966</v>
      </c>
      <c r="Q74" s="118">
        <f t="shared" si="14"/>
        <v>5096.2287936491339</v>
      </c>
      <c r="R74" s="118">
        <f t="shared" si="14"/>
        <v>6882.8417130825437</v>
      </c>
    </row>
    <row r="75" spans="4:18">
      <c r="D75" s="119" t="s">
        <v>175</v>
      </c>
      <c r="E75" s="120">
        <f>E74/E$53</f>
        <v>0.25591972774232741</v>
      </c>
      <c r="F75" s="120">
        <f>F74/F$53</f>
        <v>0.21853422028940431</v>
      </c>
      <c r="G75" s="120">
        <f>G74/G$53</f>
        <v>0.21084770009512876</v>
      </c>
      <c r="H75" s="120">
        <f>H74/H$53</f>
        <v>0.20798414989956204</v>
      </c>
      <c r="J75" s="120">
        <f>J74/J$53</f>
        <v>0.18116494620732487</v>
      </c>
      <c r="K75" s="120">
        <f>K74/K$53</f>
        <v>0.22470419240337469</v>
      </c>
      <c r="L75" s="120">
        <f>L74/L$53</f>
        <v>0.24787712052848979</v>
      </c>
      <c r="M75" s="120">
        <f>M74/M$53</f>
        <v>0.26166448233395478</v>
      </c>
      <c r="O75" s="120">
        <f>O74/O$53</f>
        <v>0.2031656798146616</v>
      </c>
      <c r="P75" s="120">
        <f>P74/P$53</f>
        <v>0.23612172784122054</v>
      </c>
      <c r="Q75" s="120">
        <f>Q74/Q$53</f>
        <v>0.2834059620483837</v>
      </c>
      <c r="R75" s="120">
        <f>R74/R$53</f>
        <v>0.32225503735979516</v>
      </c>
    </row>
    <row r="76" spans="4:18" ht="4.5" customHeight="1">
      <c r="D76" s="101"/>
      <c r="E76" s="101"/>
      <c r="F76" s="101"/>
      <c r="G76" s="101"/>
      <c r="H76" s="101"/>
      <c r="J76" s="101"/>
      <c r="K76" s="101"/>
      <c r="L76" s="101"/>
      <c r="M76" s="101"/>
      <c r="O76" s="101"/>
      <c r="P76" s="101"/>
      <c r="Q76" s="101"/>
      <c r="R76" s="101"/>
    </row>
    <row r="77" spans="4:18">
      <c r="D77" s="101" t="s">
        <v>176</v>
      </c>
      <c r="E77" s="91">
        <v>-1555</v>
      </c>
      <c r="F77" s="91">
        <v>-1125</v>
      </c>
      <c r="G77" s="91">
        <v>-1673</v>
      </c>
      <c r="H77" s="91">
        <v>-798</v>
      </c>
      <c r="I77" s="91"/>
      <c r="J77" s="91">
        <v>-780</v>
      </c>
      <c r="K77" s="91">
        <v>-650</v>
      </c>
      <c r="L77" s="91">
        <v>-600</v>
      </c>
      <c r="M77" s="91">
        <v>-600</v>
      </c>
      <c r="N77" s="91"/>
      <c r="O77" s="91">
        <v>-780</v>
      </c>
      <c r="P77" s="91">
        <v>-650</v>
      </c>
      <c r="Q77" s="91">
        <v>-600</v>
      </c>
      <c r="R77" s="91">
        <v>-600</v>
      </c>
    </row>
    <row r="78" spans="4:18" ht="4.5" customHeight="1">
      <c r="D78" s="101"/>
      <c r="E78" s="101"/>
      <c r="F78" s="101"/>
      <c r="G78" s="101"/>
      <c r="H78" s="101"/>
      <c r="J78" s="101"/>
      <c r="K78" s="101"/>
      <c r="L78" s="101"/>
      <c r="M78" s="101"/>
      <c r="O78" s="101"/>
      <c r="P78" s="101"/>
      <c r="Q78" s="101"/>
      <c r="R78" s="101"/>
    </row>
    <row r="79" spans="4:18" ht="15.75" thickBot="1">
      <c r="D79" s="117" t="s">
        <v>177</v>
      </c>
      <c r="E79" s="118">
        <f t="shared" ref="E79:H79" si="15">SUM(E74,E77)</f>
        <v>1043.6119819002397</v>
      </c>
      <c r="F79" s="118">
        <f t="shared" si="15"/>
        <v>1046.0841513030482</v>
      </c>
      <c r="G79" s="118">
        <f t="shared" si="15"/>
        <v>547.79438738499812</v>
      </c>
      <c r="H79" s="118">
        <f t="shared" si="15"/>
        <v>1929.8914747055342</v>
      </c>
      <c r="J79" s="118">
        <f t="shared" ref="J79:M79" si="16">SUM(J74,J77)</f>
        <v>1354.4973375082845</v>
      </c>
      <c r="K79" s="118">
        <f t="shared" si="16"/>
        <v>2396.5558402818087</v>
      </c>
      <c r="L79" s="118">
        <f t="shared" si="16"/>
        <v>3038.6058122675986</v>
      </c>
      <c r="M79" s="118">
        <f t="shared" si="16"/>
        <v>3466.521473785966</v>
      </c>
      <c r="O79" s="118">
        <f t="shared" ref="O79:R79" si="17">SUM(O74,O77)</f>
        <v>1738.218288066666</v>
      </c>
      <c r="P79" s="118">
        <f t="shared" si="17"/>
        <v>2872.4916471831966</v>
      </c>
      <c r="Q79" s="118">
        <f t="shared" si="17"/>
        <v>4496.2287936491339</v>
      </c>
      <c r="R79" s="118">
        <f t="shared" si="17"/>
        <v>6282.8417130825437</v>
      </c>
    </row>
    <row r="80" spans="4:18">
      <c r="D80" s="119" t="s">
        <v>178</v>
      </c>
      <c r="E80" s="120">
        <f>E79/E$53</f>
        <v>0.10277828938556524</v>
      </c>
      <c r="F80" s="120">
        <f>F79/F$53</f>
        <v>0.10529540470594376</v>
      </c>
      <c r="G80" s="120">
        <f>G79/G$53</f>
        <v>5.2008951103821179E-2</v>
      </c>
      <c r="H80" s="120">
        <f>H79/H$53</f>
        <v>0.14714179119181084</v>
      </c>
      <c r="J80" s="120">
        <f>J79/J$53</f>
        <v>0.11496263451614669</v>
      </c>
      <c r="K80" s="120">
        <f>K79/K$53</f>
        <v>0.17676227611514966</v>
      </c>
      <c r="L80" s="120">
        <f>L79/L$53</f>
        <v>0.20700259880490499</v>
      </c>
      <c r="M80" s="120">
        <f>M79/M$53</f>
        <v>0.22305686882141484</v>
      </c>
      <c r="O80" s="120">
        <f>O79/O$53</f>
        <v>0.14023657195836886</v>
      </c>
      <c r="P80" s="120">
        <f>P79/P$53</f>
        <v>0.19255054628298326</v>
      </c>
      <c r="Q80" s="120">
        <f>Q79/Q$53</f>
        <v>0.25003941119004375</v>
      </c>
      <c r="R80" s="120">
        <f>R79/R$53</f>
        <v>0.29416300350576047</v>
      </c>
    </row>
    <row r="82" spans="2:19">
      <c r="B82" s="111" t="s">
        <v>536</v>
      </c>
      <c r="D82" s="112" t="s">
        <v>537</v>
      </c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</row>
    <row r="84" spans="2:19">
      <c r="D84" s="6" t="s">
        <v>177</v>
      </c>
      <c r="E84" s="121">
        <f t="shared" ref="E84:F84" si="18">E79</f>
        <v>1043.6119819002397</v>
      </c>
      <c r="F84" s="121">
        <f t="shared" si="18"/>
        <v>1046.0841513030482</v>
      </c>
      <c r="G84" s="121">
        <f>G79</f>
        <v>547.79438738499812</v>
      </c>
      <c r="H84" s="121"/>
      <c r="J84" s="121">
        <f t="shared" ref="J84:M84" si="19">J79</f>
        <v>1354.4973375082845</v>
      </c>
      <c r="K84" s="121">
        <f t="shared" si="19"/>
        <v>2396.5558402818087</v>
      </c>
      <c r="L84" s="121">
        <f t="shared" si="19"/>
        <v>3038.6058122675986</v>
      </c>
      <c r="M84" s="121">
        <f t="shared" si="19"/>
        <v>3466.521473785966</v>
      </c>
      <c r="O84" s="121">
        <f t="shared" ref="O84:R84" si="20">O79</f>
        <v>1738.218288066666</v>
      </c>
      <c r="P84" s="121">
        <f t="shared" si="20"/>
        <v>2872.4916471831966</v>
      </c>
      <c r="Q84" s="121">
        <f t="shared" si="20"/>
        <v>4496.2287936491339</v>
      </c>
      <c r="R84" s="121">
        <f t="shared" si="20"/>
        <v>6282.8417130825437</v>
      </c>
    </row>
    <row r="85" spans="2:19" ht="4.5" customHeight="1">
      <c r="D85" s="101"/>
      <c r="E85" s="101"/>
      <c r="F85" s="101"/>
      <c r="G85" s="101"/>
      <c r="H85" s="101"/>
      <c r="J85" s="101"/>
      <c r="K85" s="101"/>
      <c r="L85" s="101"/>
      <c r="M85" s="101"/>
      <c r="O85" s="101"/>
      <c r="P85" s="101"/>
      <c r="Q85" s="101"/>
      <c r="R85" s="101"/>
    </row>
    <row r="86" spans="2:19">
      <c r="D86" t="s">
        <v>300</v>
      </c>
      <c r="E86" s="91">
        <f>-947-231+101</f>
        <v>-1077</v>
      </c>
      <c r="F86" s="91">
        <f>-262-75+1</f>
        <v>-336</v>
      </c>
      <c r="G86" s="91">
        <f>-217-556</f>
        <v>-773</v>
      </c>
      <c r="J86" s="91">
        <v>-1422.2454535769821</v>
      </c>
      <c r="K86" s="91">
        <v>-402.60478120284222</v>
      </c>
      <c r="L86" s="91">
        <v>-279.95839868276164</v>
      </c>
      <c r="M86" s="91">
        <v>-189.93830669077784</v>
      </c>
      <c r="O86" s="91">
        <v>-1545.3891741369862</v>
      </c>
      <c r="P86" s="91">
        <v>-740.64112614733187</v>
      </c>
      <c r="Q86" s="91">
        <v>-813.64737285739545</v>
      </c>
      <c r="R86" s="91">
        <v>-861.80672462013968</v>
      </c>
    </row>
    <row r="87" spans="2:19">
      <c r="D87" t="s">
        <v>301</v>
      </c>
      <c r="E87" s="91">
        <v>-387</v>
      </c>
      <c r="F87" s="91">
        <v>-348</v>
      </c>
      <c r="G87" s="91">
        <v>-293</v>
      </c>
      <c r="J87" s="91">
        <v>-135.44973375082847</v>
      </c>
      <c r="K87" s="91">
        <v>-239.6555840281809</v>
      </c>
      <c r="L87" s="91">
        <v>-303.86058122675985</v>
      </c>
      <c r="M87" s="91">
        <v>-346.65214737859662</v>
      </c>
      <c r="O87" s="91">
        <v>-173.82182880666662</v>
      </c>
      <c r="P87" s="91">
        <v>-287.24916471831966</v>
      </c>
      <c r="Q87" s="91">
        <v>-449.62287936491339</v>
      </c>
      <c r="R87" s="91">
        <v>-628.28417130825437</v>
      </c>
    </row>
    <row r="88" spans="2:19" ht="4.5" customHeight="1">
      <c r="D88" s="101"/>
      <c r="E88" s="101"/>
      <c r="F88" s="101"/>
      <c r="G88" s="101"/>
      <c r="H88" s="101"/>
      <c r="J88" s="101"/>
      <c r="K88" s="101"/>
      <c r="L88" s="101"/>
      <c r="M88" s="101"/>
      <c r="O88" s="101"/>
      <c r="P88" s="101"/>
      <c r="Q88" s="101"/>
      <c r="R88" s="101"/>
    </row>
    <row r="89" spans="2:19">
      <c r="D89" s="102" t="s">
        <v>302</v>
      </c>
      <c r="E89" s="122">
        <f t="shared" ref="E89:F89" si="21">SUM(E84:E87)</f>
        <v>-420.3880180997603</v>
      </c>
      <c r="F89" s="122">
        <f t="shared" si="21"/>
        <v>362.0841513030482</v>
      </c>
      <c r="G89" s="122">
        <f>SUM(G84:G87)</f>
        <v>-518.20561261500188</v>
      </c>
      <c r="H89" s="122"/>
      <c r="J89" s="122">
        <f t="shared" ref="J89:R89" si="22">SUM(J84:J87)</f>
        <v>-203.197849819526</v>
      </c>
      <c r="K89" s="122">
        <f t="shared" si="22"/>
        <v>1754.2954750507856</v>
      </c>
      <c r="L89" s="122">
        <f t="shared" si="22"/>
        <v>2454.7868323580774</v>
      </c>
      <c r="M89" s="122">
        <f t="shared" si="22"/>
        <v>2929.9310197165919</v>
      </c>
      <c r="O89" s="122">
        <f t="shared" ref="O89:Q89" si="23">SUM(O84:O87)</f>
        <v>19.00728512301319</v>
      </c>
      <c r="P89" s="122">
        <f t="shared" si="23"/>
        <v>1844.6013563175452</v>
      </c>
      <c r="Q89" s="122">
        <f t="shared" si="23"/>
        <v>3232.9585414268249</v>
      </c>
      <c r="R89" s="122">
        <f t="shared" si="22"/>
        <v>4792.7508171541494</v>
      </c>
    </row>
    <row r="90" spans="2:19" ht="4.5" customHeight="1">
      <c r="D90" s="101"/>
      <c r="E90" s="101"/>
      <c r="F90" s="101"/>
      <c r="G90" s="101"/>
      <c r="H90" s="101"/>
      <c r="J90" s="101"/>
      <c r="K90" s="101"/>
      <c r="L90" s="101"/>
      <c r="M90" s="101"/>
      <c r="O90" s="101"/>
      <c r="P90" s="101"/>
      <c r="Q90" s="101"/>
      <c r="R90" s="101"/>
    </row>
    <row r="91" spans="2:19">
      <c r="D91" t="s">
        <v>303</v>
      </c>
      <c r="E91" s="91">
        <v>-831</v>
      </c>
      <c r="F91" s="91">
        <v>-710</v>
      </c>
      <c r="G91" s="91">
        <v>-592</v>
      </c>
      <c r="J91" s="91">
        <v>-220</v>
      </c>
      <c r="K91" s="91">
        <v>-250</v>
      </c>
      <c r="L91" s="91">
        <v>-250</v>
      </c>
      <c r="M91" s="91">
        <v>-250</v>
      </c>
      <c r="O91" s="91">
        <v>-220</v>
      </c>
      <c r="P91" s="91">
        <v>-250</v>
      </c>
      <c r="Q91" s="91">
        <v>-250</v>
      </c>
      <c r="R91" s="91">
        <v>-250</v>
      </c>
    </row>
    <row r="92" spans="2:19" ht="4.5" customHeight="1">
      <c r="D92" s="101"/>
      <c r="E92" s="101"/>
      <c r="F92" s="101"/>
      <c r="G92" s="101"/>
      <c r="H92" s="101"/>
      <c r="J92" s="101"/>
      <c r="K92" s="101"/>
      <c r="L92" s="101"/>
      <c r="M92" s="101"/>
      <c r="O92" s="101"/>
      <c r="P92" s="101"/>
      <c r="Q92" s="101"/>
      <c r="R92" s="101"/>
    </row>
    <row r="93" spans="2:19">
      <c r="D93" s="102" t="s">
        <v>304</v>
      </c>
      <c r="E93" s="122">
        <f t="shared" ref="E93:F93" si="24">E91</f>
        <v>-831</v>
      </c>
      <c r="F93" s="122">
        <f t="shared" si="24"/>
        <v>-710</v>
      </c>
      <c r="G93" s="122">
        <f>G91</f>
        <v>-592</v>
      </c>
      <c r="H93" s="122"/>
      <c r="J93" s="122">
        <f t="shared" ref="J93:L93" si="25">SUM(J91)</f>
        <v>-220</v>
      </c>
      <c r="K93" s="122">
        <f t="shared" si="25"/>
        <v>-250</v>
      </c>
      <c r="L93" s="122">
        <f t="shared" si="25"/>
        <v>-250</v>
      </c>
      <c r="M93" s="122">
        <f t="shared" ref="M93:R93" si="26">SUM(M91)</f>
        <v>-250</v>
      </c>
      <c r="O93" s="122">
        <f t="shared" ref="O93:Q93" si="27">SUM(O91)</f>
        <v>-220</v>
      </c>
      <c r="P93" s="122">
        <f t="shared" si="27"/>
        <v>-250</v>
      </c>
      <c r="Q93" s="122">
        <f t="shared" si="27"/>
        <v>-250</v>
      </c>
      <c r="R93" s="122">
        <f t="shared" si="26"/>
        <v>-250</v>
      </c>
    </row>
    <row r="94" spans="2:19" ht="4.5" customHeight="1">
      <c r="D94" s="101"/>
      <c r="E94" s="101"/>
      <c r="F94" s="101"/>
      <c r="G94" s="101"/>
      <c r="H94" s="101"/>
      <c r="J94" s="101"/>
      <c r="K94" s="101"/>
      <c r="L94" s="101"/>
      <c r="M94" s="101"/>
      <c r="O94" s="101"/>
      <c r="P94" s="101"/>
      <c r="Q94" s="101"/>
      <c r="R94" s="101"/>
    </row>
    <row r="95" spans="2:19">
      <c r="D95" t="s">
        <v>305</v>
      </c>
      <c r="E95" s="91">
        <v>1700</v>
      </c>
      <c r="F95" s="91">
        <v>0</v>
      </c>
      <c r="G95" s="91">
        <v>0</v>
      </c>
      <c r="J95" s="91">
        <v>0</v>
      </c>
      <c r="K95" s="91">
        <v>0</v>
      </c>
      <c r="L95" s="91">
        <v>0</v>
      </c>
      <c r="M95" s="91">
        <v>0</v>
      </c>
      <c r="O95" s="91">
        <v>0</v>
      </c>
      <c r="P95" s="91">
        <v>0</v>
      </c>
      <c r="Q95" s="91">
        <v>0</v>
      </c>
      <c r="R95" s="91">
        <v>0</v>
      </c>
    </row>
    <row r="96" spans="2:19">
      <c r="D96" t="s">
        <v>306</v>
      </c>
      <c r="E96" s="91">
        <v>0</v>
      </c>
      <c r="F96" s="91">
        <v>1150</v>
      </c>
      <c r="G96" s="91">
        <v>600</v>
      </c>
      <c r="J96" s="91">
        <v>891</v>
      </c>
      <c r="K96" s="91">
        <v>500</v>
      </c>
      <c r="L96" s="91">
        <v>0</v>
      </c>
      <c r="M96" s="91">
        <v>0</v>
      </c>
      <c r="O96" s="91">
        <v>891</v>
      </c>
      <c r="P96" s="91">
        <v>500</v>
      </c>
      <c r="Q96" s="91">
        <v>0</v>
      </c>
      <c r="R96" s="91">
        <v>0</v>
      </c>
    </row>
    <row r="97" spans="2:19">
      <c r="D97" t="s">
        <v>307</v>
      </c>
      <c r="E97" s="91">
        <v>300</v>
      </c>
      <c r="F97" s="91">
        <v>1565</v>
      </c>
      <c r="G97" s="91">
        <v>2500</v>
      </c>
      <c r="J97" s="91">
        <v>1250</v>
      </c>
      <c r="K97" s="91">
        <v>0</v>
      </c>
      <c r="L97" s="91">
        <v>0</v>
      </c>
      <c r="M97" s="91">
        <v>0</v>
      </c>
      <c r="O97" s="91">
        <v>1250</v>
      </c>
      <c r="P97" s="91">
        <v>0</v>
      </c>
      <c r="Q97" s="91">
        <v>0</v>
      </c>
      <c r="R97" s="91">
        <v>0</v>
      </c>
    </row>
    <row r="98" spans="2:19">
      <c r="D98" t="s">
        <v>308</v>
      </c>
      <c r="E98" s="91">
        <v>-550</v>
      </c>
      <c r="F98" s="91">
        <v>-744</v>
      </c>
      <c r="G98" s="91">
        <v>-747</v>
      </c>
      <c r="J98" s="91">
        <v>-535.5</v>
      </c>
      <c r="K98" s="91">
        <v>-1249.5</v>
      </c>
      <c r="L98" s="91">
        <v>-1338.75</v>
      </c>
      <c r="M98" s="91">
        <v>-1338.75</v>
      </c>
      <c r="O98" s="91">
        <v>-535.5</v>
      </c>
      <c r="P98" s="91">
        <v>-1249.5</v>
      </c>
      <c r="Q98" s="91">
        <v>-1338.75</v>
      </c>
      <c r="R98" s="91">
        <v>-1338.75</v>
      </c>
    </row>
    <row r="99" spans="2:19">
      <c r="D99" t="s">
        <v>309</v>
      </c>
      <c r="E99" s="91">
        <f>-654-21</f>
        <v>-675</v>
      </c>
      <c r="F99" s="91">
        <f>-1064-108</f>
        <v>-1172</v>
      </c>
      <c r="G99" s="91">
        <f>-1055-80</f>
        <v>-1135</v>
      </c>
      <c r="J99" s="91">
        <v>-1100</v>
      </c>
      <c r="K99" s="91">
        <v>-890.06000000000006</v>
      </c>
      <c r="L99" s="91">
        <v>-806.53</v>
      </c>
      <c r="M99" s="91">
        <v>-699.43000000000006</v>
      </c>
      <c r="O99" s="91">
        <v>-1100</v>
      </c>
      <c r="P99" s="91">
        <v>-890.06000000000006</v>
      </c>
      <c r="Q99" s="91">
        <v>-806.53</v>
      </c>
      <c r="R99" s="91">
        <v>-699.43000000000006</v>
      </c>
    </row>
    <row r="100" spans="2:19">
      <c r="D100" t="s">
        <v>311</v>
      </c>
      <c r="E100" s="91">
        <v>331</v>
      </c>
      <c r="F100" s="91">
        <v>-438</v>
      </c>
      <c r="G100" s="91">
        <v>-49</v>
      </c>
      <c r="J100" s="91">
        <v>0</v>
      </c>
      <c r="K100" s="91">
        <v>0</v>
      </c>
      <c r="L100" s="91">
        <v>0</v>
      </c>
      <c r="M100" s="91">
        <v>0</v>
      </c>
      <c r="O100" s="91">
        <v>0</v>
      </c>
      <c r="P100" s="91">
        <v>0</v>
      </c>
      <c r="Q100" s="91">
        <v>0</v>
      </c>
      <c r="R100" s="91">
        <v>0</v>
      </c>
    </row>
    <row r="101" spans="2:19" ht="4.5" customHeight="1">
      <c r="D101" s="101"/>
      <c r="E101" s="101"/>
      <c r="F101" s="101"/>
      <c r="G101" s="101"/>
      <c r="H101" s="101"/>
      <c r="J101" s="101"/>
      <c r="K101" s="101"/>
      <c r="L101" s="101"/>
      <c r="M101" s="101"/>
      <c r="O101" s="101"/>
      <c r="P101" s="101"/>
      <c r="Q101" s="101"/>
      <c r="R101" s="101"/>
    </row>
    <row r="102" spans="2:19">
      <c r="D102" s="102" t="s">
        <v>312</v>
      </c>
      <c r="E102" s="122">
        <f t="shared" ref="E102:F102" si="28">SUM(E95:E100)</f>
        <v>1106</v>
      </c>
      <c r="F102" s="122">
        <f t="shared" si="28"/>
        <v>361</v>
      </c>
      <c r="G102" s="122">
        <f>SUM(G95:G100)</f>
        <v>1169</v>
      </c>
      <c r="H102" s="122"/>
      <c r="J102" s="122">
        <f>SUM(J95:J100)</f>
        <v>505.5</v>
      </c>
      <c r="K102" s="122">
        <f>SUM(K95:K100)</f>
        <v>-1639.56</v>
      </c>
      <c r="L102" s="122">
        <f>SUM(L95:L100)</f>
        <v>-2145.2799999999997</v>
      </c>
      <c r="M102" s="122">
        <f>SUM(M95:M100)</f>
        <v>-2038.18</v>
      </c>
      <c r="O102" s="122">
        <f>SUM(O95:O100)</f>
        <v>505.5</v>
      </c>
      <c r="P102" s="122">
        <f>SUM(P95:P100)</f>
        <v>-1639.56</v>
      </c>
      <c r="Q102" s="122">
        <f>SUM(Q95:Q100)</f>
        <v>-2145.2799999999997</v>
      </c>
      <c r="R102" s="122">
        <f>SUM(R95:R100)</f>
        <v>-2038.18</v>
      </c>
    </row>
    <row r="104" spans="2:19" ht="15.75" thickBot="1">
      <c r="D104" s="71" t="s">
        <v>313</v>
      </c>
      <c r="E104" s="123">
        <f t="shared" ref="E104:F104" si="29">SUM(E89,E93,E102)</f>
        <v>-145.3880180997603</v>
      </c>
      <c r="F104" s="123">
        <f t="shared" si="29"/>
        <v>13.084151303048202</v>
      </c>
      <c r="G104" s="123">
        <f>SUM(G89,G93,G102)</f>
        <v>58.794387384998117</v>
      </c>
      <c r="H104" s="123"/>
      <c r="J104" s="123">
        <f>SUM(J89,J93,J102)</f>
        <v>82.302150180473973</v>
      </c>
      <c r="K104" s="123">
        <f>SUM(K89,K93,K102)</f>
        <v>-135.26452494921432</v>
      </c>
      <c r="L104" s="123">
        <f>SUM(L89,L93,L102)</f>
        <v>59.506832358077645</v>
      </c>
      <c r="M104" s="123">
        <f>SUM(M89,M93,M102)</f>
        <v>641.75101971659183</v>
      </c>
      <c r="O104" s="123">
        <f>SUM(O89,O93,O102)</f>
        <v>304.50728512301316</v>
      </c>
      <c r="P104" s="123">
        <f>SUM(P89,P93,P102)</f>
        <v>-44.958643682454749</v>
      </c>
      <c r="Q104" s="123">
        <f>SUM(Q89,Q93,Q102)</f>
        <v>837.67854142682518</v>
      </c>
      <c r="R104" s="123">
        <f>SUM(R89,R93,R102)</f>
        <v>2504.5708171541492</v>
      </c>
    </row>
    <row r="105" spans="2:19">
      <c r="D105" s="15"/>
      <c r="E105" s="124"/>
      <c r="F105" s="124"/>
      <c r="H105" s="124"/>
      <c r="I105" s="124"/>
    </row>
    <row r="106" spans="2:19">
      <c r="D106" s="6" t="s">
        <v>314</v>
      </c>
      <c r="E106" s="125">
        <v>214</v>
      </c>
      <c r="F106" s="125">
        <v>69</v>
      </c>
      <c r="G106" s="125">
        <v>82</v>
      </c>
      <c r="H106" s="125"/>
      <c r="I106" s="126">
        <f t="shared" ref="I106" si="30">G108</f>
        <v>140.79438738499812</v>
      </c>
      <c r="J106" s="125">
        <v>140.89438738499848</v>
      </c>
      <c r="K106" s="125">
        <f t="shared" ref="K106:M106" si="31">J108</f>
        <v>223.19653756547245</v>
      </c>
      <c r="L106" s="125">
        <f t="shared" si="31"/>
        <v>87.932012616258135</v>
      </c>
      <c r="M106" s="125">
        <f t="shared" si="31"/>
        <v>147.43884497433578</v>
      </c>
      <c r="O106" s="125">
        <v>140.89438738499848</v>
      </c>
      <c r="P106" s="125">
        <f t="shared" ref="P106:R106" si="32">O108</f>
        <v>445.40167250801164</v>
      </c>
      <c r="Q106" s="125">
        <f t="shared" si="32"/>
        <v>400.44302882555689</v>
      </c>
      <c r="R106" s="125">
        <f t="shared" si="32"/>
        <v>1238.1215702523821</v>
      </c>
    </row>
    <row r="107" spans="2:19">
      <c r="D107" t="s">
        <v>315</v>
      </c>
      <c r="E107" s="127">
        <f>E104</f>
        <v>-145.3880180997603</v>
      </c>
      <c r="F107" s="127">
        <f>F104</f>
        <v>13.084151303048202</v>
      </c>
      <c r="G107" s="127">
        <f>G104</f>
        <v>58.794387384998117</v>
      </c>
      <c r="H107" s="127"/>
      <c r="I107" s="127">
        <f>I104</f>
        <v>0</v>
      </c>
      <c r="J107" s="127">
        <f>J104</f>
        <v>82.302150180473973</v>
      </c>
      <c r="K107" s="127">
        <f t="shared" ref="K107:M107" si="33">K104</f>
        <v>-135.26452494921432</v>
      </c>
      <c r="L107" s="127">
        <f t="shared" si="33"/>
        <v>59.506832358077645</v>
      </c>
      <c r="M107" s="127">
        <f t="shared" si="33"/>
        <v>641.75101971659183</v>
      </c>
      <c r="O107" s="127">
        <f>O104</f>
        <v>304.50728512301316</v>
      </c>
      <c r="P107" s="127">
        <f t="shared" ref="P107:R107" si="34">P104</f>
        <v>-44.958643682454749</v>
      </c>
      <c r="Q107" s="127">
        <f t="shared" si="34"/>
        <v>837.67854142682518</v>
      </c>
      <c r="R107" s="127">
        <f t="shared" si="34"/>
        <v>2504.5708171541492</v>
      </c>
    </row>
    <row r="108" spans="2:19">
      <c r="D108" s="103" t="s">
        <v>316</v>
      </c>
      <c r="E108" s="128">
        <f t="shared" ref="E108:F108" si="35">SUM(E107,E106)</f>
        <v>68.611981900239698</v>
      </c>
      <c r="F108" s="128">
        <f t="shared" si="35"/>
        <v>82.084151303048202</v>
      </c>
      <c r="G108" s="128">
        <f>SUM(G107,G106)</f>
        <v>140.79438738499812</v>
      </c>
      <c r="H108" s="128"/>
      <c r="I108" s="129">
        <f>SUM(I107,I106)</f>
        <v>140.79438738499812</v>
      </c>
      <c r="J108" s="128">
        <f>SUM(J107,J106)</f>
        <v>223.19653756547245</v>
      </c>
      <c r="K108" s="128">
        <f t="shared" ref="K108:M108" si="36">SUM(K107,K106)</f>
        <v>87.932012616258135</v>
      </c>
      <c r="L108" s="128">
        <f t="shared" si="36"/>
        <v>147.43884497433578</v>
      </c>
      <c r="M108" s="128">
        <f t="shared" si="36"/>
        <v>789.18986469092761</v>
      </c>
      <c r="O108" s="128">
        <f>SUM(O107,O106)</f>
        <v>445.40167250801164</v>
      </c>
      <c r="P108" s="128">
        <f t="shared" ref="P108:R108" si="37">SUM(P107,P106)</f>
        <v>400.44302882555689</v>
      </c>
      <c r="Q108" s="128">
        <f t="shared" si="37"/>
        <v>1238.1215702523821</v>
      </c>
      <c r="R108" s="128">
        <f t="shared" si="37"/>
        <v>3742.6923874065315</v>
      </c>
    </row>
    <row r="110" spans="2:19">
      <c r="B110" s="111" t="s">
        <v>538</v>
      </c>
      <c r="D110" s="112" t="s">
        <v>539</v>
      </c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</row>
    <row r="112" spans="2:19">
      <c r="D112" t="s">
        <v>282</v>
      </c>
      <c r="E112" s="91">
        <v>12496</v>
      </c>
      <c r="F112" s="91">
        <v>9996</v>
      </c>
      <c r="G112" s="91">
        <v>7026</v>
      </c>
      <c r="J112" s="91">
        <v>4526</v>
      </c>
      <c r="K112" s="91">
        <v>2026</v>
      </c>
      <c r="L112" s="91">
        <v>0</v>
      </c>
      <c r="M112" s="91">
        <v>0</v>
      </c>
      <c r="O112" s="91">
        <v>4526</v>
      </c>
      <c r="P112" s="91">
        <v>2026</v>
      </c>
      <c r="Q112" s="91">
        <v>0</v>
      </c>
      <c r="R112" s="91">
        <v>0</v>
      </c>
    </row>
    <row r="113" spans="4:18">
      <c r="D113" t="s">
        <v>283</v>
      </c>
      <c r="E113" s="91">
        <f>14490-E112</f>
        <v>1994</v>
      </c>
      <c r="F113" s="91">
        <f>12341-F112</f>
        <v>2345</v>
      </c>
      <c r="G113" s="91">
        <v>2991.75</v>
      </c>
      <c r="J113" s="91">
        <v>2800</v>
      </c>
      <c r="K113" s="91">
        <v>2116.6666666666665</v>
      </c>
      <c r="L113" s="91">
        <v>1661.1111111111109</v>
      </c>
      <c r="M113" s="91">
        <v>1357.4074074074074</v>
      </c>
      <c r="O113" s="91">
        <v>2800</v>
      </c>
      <c r="P113" s="91">
        <v>2116.6666666666665</v>
      </c>
      <c r="Q113" s="91">
        <v>1661.1111111111109</v>
      </c>
      <c r="R113" s="91">
        <v>1357.4074074074074</v>
      </c>
    </row>
    <row r="114" spans="4:18">
      <c r="D114" s="102" t="s">
        <v>284</v>
      </c>
      <c r="E114" s="122">
        <f t="shared" ref="E114:G114" si="38">SUM(E112:E113)</f>
        <v>14490</v>
      </c>
      <c r="F114" s="122">
        <f t="shared" si="38"/>
        <v>12341</v>
      </c>
      <c r="G114" s="122">
        <f t="shared" si="38"/>
        <v>10017.75</v>
      </c>
      <c r="H114" s="122"/>
      <c r="J114" s="122">
        <f t="shared" ref="J114:M114" si="39">SUM(J112:J113)</f>
        <v>7326</v>
      </c>
      <c r="K114" s="122">
        <f t="shared" si="39"/>
        <v>4142.6666666666661</v>
      </c>
      <c r="L114" s="122">
        <f t="shared" si="39"/>
        <v>1661.1111111111109</v>
      </c>
      <c r="M114" s="122">
        <f t="shared" si="39"/>
        <v>1357.4074074074074</v>
      </c>
      <c r="O114" s="122">
        <f t="shared" ref="O114:R114" si="40">SUM(O112:O113)</f>
        <v>7326</v>
      </c>
      <c r="P114" s="122">
        <f t="shared" si="40"/>
        <v>4142.6666666666661</v>
      </c>
      <c r="Q114" s="122">
        <f t="shared" si="40"/>
        <v>1661.1111111111109</v>
      </c>
      <c r="R114" s="122">
        <f t="shared" si="40"/>
        <v>1357.4074074074074</v>
      </c>
    </row>
    <row r="115" spans="4:18" ht="4.5" customHeight="1">
      <c r="D115" s="101"/>
      <c r="E115" s="101"/>
      <c r="F115" s="101"/>
      <c r="G115" s="101"/>
      <c r="H115" s="101"/>
      <c r="J115" s="101"/>
      <c r="K115" s="101"/>
      <c r="L115" s="101"/>
      <c r="M115" s="101"/>
      <c r="O115" s="101"/>
      <c r="P115" s="101"/>
      <c r="Q115" s="101"/>
      <c r="R115" s="101"/>
    </row>
    <row r="116" spans="4:18">
      <c r="D116" t="s">
        <v>285</v>
      </c>
      <c r="E116" s="91">
        <v>2921</v>
      </c>
      <c r="F116" s="91">
        <v>2760</v>
      </c>
      <c r="G116" s="91">
        <v>2757</v>
      </c>
      <c r="J116" s="91">
        <v>3379.3150684931506</v>
      </c>
      <c r="K116" s="91">
        <v>3643.7437901578169</v>
      </c>
      <c r="L116" s="91">
        <v>3886.2870933111835</v>
      </c>
      <c r="M116" s="91">
        <v>4052.8611714857893</v>
      </c>
      <c r="O116" s="91">
        <v>3279.3150684931506</v>
      </c>
      <c r="P116" s="91">
        <v>3961.2928684611511</v>
      </c>
      <c r="Q116" s="91">
        <v>4683.4544900177489</v>
      </c>
      <c r="R116" s="91">
        <v>5444.666833803497</v>
      </c>
    </row>
    <row r="117" spans="4:18">
      <c r="D117" t="s">
        <v>286</v>
      </c>
      <c r="E117" s="91">
        <v>719</v>
      </c>
      <c r="F117" s="91">
        <v>774</v>
      </c>
      <c r="G117" s="91">
        <v>684</v>
      </c>
      <c r="J117" s="91">
        <v>806.99081602260276</v>
      </c>
      <c r="K117" s="91">
        <v>928.63513584958901</v>
      </c>
      <c r="L117" s="91">
        <v>1005.4158110734877</v>
      </c>
      <c r="M117" s="91">
        <v>1064.4504198015443</v>
      </c>
      <c r="O117" s="91">
        <v>848.96575454794515</v>
      </c>
      <c r="P117" s="91">
        <v>1021.7888602745206</v>
      </c>
      <c r="Q117" s="91">
        <v>1231.6493420442057</v>
      </c>
      <c r="R117" s="91">
        <v>1462.9019253106344</v>
      </c>
    </row>
    <row r="118" spans="4:18">
      <c r="D118" t="s">
        <v>287</v>
      </c>
      <c r="E118" s="91">
        <v>170</v>
      </c>
      <c r="F118" s="91">
        <v>129</v>
      </c>
      <c r="G118" s="91">
        <v>178</v>
      </c>
      <c r="J118" s="91">
        <v>250</v>
      </c>
      <c r="K118" s="91">
        <v>250</v>
      </c>
      <c r="L118" s="91">
        <v>250</v>
      </c>
      <c r="M118" s="91">
        <v>250</v>
      </c>
      <c r="O118" s="91">
        <v>250</v>
      </c>
      <c r="P118" s="91">
        <v>250</v>
      </c>
      <c r="Q118" s="91">
        <v>250</v>
      </c>
      <c r="R118" s="91">
        <v>250</v>
      </c>
    </row>
    <row r="119" spans="4:18">
      <c r="D119" t="s">
        <v>288</v>
      </c>
      <c r="E119" s="91">
        <v>69</v>
      </c>
      <c r="F119" s="91">
        <v>82</v>
      </c>
      <c r="G119" s="91">
        <v>141</v>
      </c>
      <c r="J119" s="91">
        <v>223.19653756547248</v>
      </c>
      <c r="K119" s="91">
        <v>87.932012616258163</v>
      </c>
      <c r="L119" s="91">
        <v>147.43884497433581</v>
      </c>
      <c r="M119" s="91">
        <v>789.18986469092738</v>
      </c>
      <c r="O119" s="91">
        <v>445.40167250801164</v>
      </c>
      <c r="P119" s="91">
        <v>400.44302882555689</v>
      </c>
      <c r="Q119" s="91">
        <v>1238.1215702523821</v>
      </c>
      <c r="R119" s="91">
        <v>3742.6923874065315</v>
      </c>
    </row>
    <row r="120" spans="4:18">
      <c r="D120" s="6" t="s">
        <v>289</v>
      </c>
      <c r="E120" s="121">
        <f t="shared" ref="E120:G120" si="41">SUM(E116:E119)</f>
        <v>3879</v>
      </c>
      <c r="F120" s="121">
        <f t="shared" si="41"/>
        <v>3745</v>
      </c>
      <c r="G120" s="121">
        <f t="shared" si="41"/>
        <v>3760</v>
      </c>
      <c r="H120" s="121"/>
      <c r="J120" s="121">
        <f t="shared" ref="J120:M120" si="42">SUM(J116:J119)</f>
        <v>4659.5024220812265</v>
      </c>
      <c r="K120" s="121">
        <f t="shared" si="42"/>
        <v>4910.3109386236647</v>
      </c>
      <c r="L120" s="121">
        <f t="shared" si="42"/>
        <v>5289.141749359007</v>
      </c>
      <c r="M120" s="121">
        <f t="shared" si="42"/>
        <v>6156.5014559782612</v>
      </c>
      <c r="O120" s="121">
        <f t="shared" ref="O120" si="43">SUM(O116:O119)</f>
        <v>4823.6824955491074</v>
      </c>
      <c r="P120" s="121">
        <f>SUM(P116:P119)</f>
        <v>5633.5247575612284</v>
      </c>
      <c r="Q120" s="121">
        <f t="shared" ref="Q120:R120" si="44">SUM(Q116:Q119)</f>
        <v>7403.2254023143369</v>
      </c>
      <c r="R120" s="121">
        <f t="shared" si="44"/>
        <v>10900.261146520663</v>
      </c>
    </row>
    <row r="121" spans="4:18" ht="4.5" customHeight="1">
      <c r="D121" s="101"/>
      <c r="E121" s="101"/>
      <c r="F121" s="101"/>
      <c r="G121" s="101"/>
      <c r="H121" s="101"/>
      <c r="J121" s="101"/>
      <c r="K121" s="101"/>
      <c r="L121" s="101"/>
      <c r="M121" s="101"/>
      <c r="O121" s="101"/>
      <c r="P121" s="101"/>
      <c r="Q121" s="101"/>
      <c r="R121" s="101"/>
    </row>
    <row r="122" spans="4:18">
      <c r="D122" t="s">
        <v>290</v>
      </c>
      <c r="E122" s="91">
        <v>-318</v>
      </c>
      <c r="F122" s="91">
        <v>-729</v>
      </c>
      <c r="G122" s="91">
        <v>-1206</v>
      </c>
      <c r="J122" s="91">
        <v>-857.06043093877122</v>
      </c>
      <c r="K122" s="91">
        <v>-917.38497066757748</v>
      </c>
      <c r="L122" s="91">
        <v>-956.75055036208119</v>
      </c>
      <c r="M122" s="91">
        <v>-992.42093057396573</v>
      </c>
      <c r="O122" s="91">
        <v>-875.89164890410962</v>
      </c>
      <c r="P122" s="91">
        <v>-990.05142845135367</v>
      </c>
      <c r="Q122" s="91">
        <v>-1108.4261589202411</v>
      </c>
      <c r="R122" s="91">
        <v>-1239.0843613522782</v>
      </c>
    </row>
    <row r="123" spans="4:18">
      <c r="D123" t="s">
        <v>291</v>
      </c>
      <c r="E123" s="91">
        <v>-632</v>
      </c>
      <c r="F123" s="91">
        <v>-532</v>
      </c>
      <c r="G123" s="91">
        <v>-406</v>
      </c>
      <c r="J123" s="91">
        <v>-600</v>
      </c>
      <c r="K123" s="91">
        <v>-600</v>
      </c>
      <c r="L123" s="91">
        <v>-600</v>
      </c>
      <c r="M123" s="91">
        <v>-600</v>
      </c>
      <c r="O123" s="91">
        <v>-600</v>
      </c>
      <c r="P123" s="91">
        <v>-600</v>
      </c>
      <c r="Q123" s="91">
        <v>-600</v>
      </c>
      <c r="R123" s="91">
        <v>-600</v>
      </c>
    </row>
    <row r="124" spans="4:18">
      <c r="D124" t="s">
        <v>292</v>
      </c>
      <c r="E124" s="91">
        <v>0</v>
      </c>
      <c r="F124" s="91">
        <v>-1151</v>
      </c>
      <c r="G124" s="91">
        <v>-1809</v>
      </c>
      <c r="J124" s="91">
        <v>-2700</v>
      </c>
      <c r="K124" s="91">
        <v>-3200</v>
      </c>
      <c r="L124" s="91">
        <v>-3200</v>
      </c>
      <c r="M124" s="91">
        <v>-3200</v>
      </c>
      <c r="O124" s="91">
        <v>-2700</v>
      </c>
      <c r="P124" s="91">
        <v>-3200</v>
      </c>
      <c r="Q124" s="91">
        <v>-3200</v>
      </c>
      <c r="R124" s="91">
        <v>-3200</v>
      </c>
    </row>
    <row r="125" spans="4:18">
      <c r="D125" s="6" t="s">
        <v>293</v>
      </c>
      <c r="E125" s="121">
        <f t="shared" ref="E125:G125" si="45">SUM(E122:E124)</f>
        <v>-950</v>
      </c>
      <c r="F125" s="121">
        <f t="shared" si="45"/>
        <v>-2412</v>
      </c>
      <c r="G125" s="121">
        <f t="shared" si="45"/>
        <v>-3421</v>
      </c>
      <c r="H125" s="121"/>
      <c r="J125" s="121">
        <f t="shared" ref="J125:M125" si="46">SUM(J122:J124)</f>
        <v>-4157.0604309387709</v>
      </c>
      <c r="K125" s="121">
        <f t="shared" si="46"/>
        <v>-4717.3849706675774</v>
      </c>
      <c r="L125" s="121">
        <f t="shared" si="46"/>
        <v>-4756.7505503620814</v>
      </c>
      <c r="M125" s="121">
        <f t="shared" si="46"/>
        <v>-4792.420930573966</v>
      </c>
      <c r="O125" s="121">
        <f t="shared" ref="O125:R125" si="47">SUM(O122:O124)</f>
        <v>-4175.8916489041094</v>
      </c>
      <c r="P125" s="121">
        <f t="shared" si="47"/>
        <v>-4790.0514284513538</v>
      </c>
      <c r="Q125" s="121">
        <f t="shared" si="47"/>
        <v>-4908.4261589202415</v>
      </c>
      <c r="R125" s="121">
        <f t="shared" si="47"/>
        <v>-5039.0843613522784</v>
      </c>
    </row>
    <row r="126" spans="4:18" ht="4.5" customHeight="1">
      <c r="D126" s="101"/>
      <c r="E126" s="101"/>
      <c r="F126" s="101"/>
      <c r="G126" s="101"/>
      <c r="H126" s="101"/>
      <c r="J126" s="101"/>
      <c r="K126" s="101"/>
      <c r="L126" s="101"/>
      <c r="M126" s="101"/>
      <c r="O126" s="101"/>
      <c r="P126" s="101"/>
      <c r="Q126" s="101"/>
      <c r="R126" s="101"/>
    </row>
    <row r="127" spans="4:18">
      <c r="D127" s="102" t="s">
        <v>294</v>
      </c>
      <c r="E127" s="122">
        <f t="shared" ref="E127:G127" si="48">SUM(E120,E125)</f>
        <v>2929</v>
      </c>
      <c r="F127" s="122">
        <f t="shared" si="48"/>
        <v>1333</v>
      </c>
      <c r="G127" s="122">
        <f t="shared" si="48"/>
        <v>339</v>
      </c>
      <c r="H127" s="122"/>
      <c r="J127" s="122">
        <f>SUM(J120,J125)</f>
        <v>502.44199114245566</v>
      </c>
      <c r="K127" s="122">
        <f t="shared" ref="K127:R127" si="49">SUM(K120,K125)</f>
        <v>192.92596795608733</v>
      </c>
      <c r="L127" s="122">
        <f t="shared" si="49"/>
        <v>532.3911989969256</v>
      </c>
      <c r="M127" s="122">
        <f t="shared" si="49"/>
        <v>1364.0805254042953</v>
      </c>
      <c r="O127" s="122">
        <f>SUM(O120,O125)</f>
        <v>647.79084664499806</v>
      </c>
      <c r="P127" s="122">
        <f>SUM(P120,P125)</f>
        <v>843.47332910987461</v>
      </c>
      <c r="Q127" s="122">
        <f t="shared" ref="Q127" si="50">SUM(Q120,Q125)</f>
        <v>2494.7992433940954</v>
      </c>
      <c r="R127" s="122">
        <f t="shared" si="49"/>
        <v>5861.1767851683844</v>
      </c>
    </row>
    <row r="128" spans="4:18" ht="4.5" customHeight="1">
      <c r="D128" s="101"/>
      <c r="E128" s="101"/>
      <c r="F128" s="101"/>
      <c r="G128" s="101"/>
      <c r="H128" s="101"/>
      <c r="J128" s="101"/>
      <c r="K128" s="101"/>
      <c r="L128" s="101"/>
      <c r="M128" s="101"/>
      <c r="O128" s="101"/>
      <c r="P128" s="101"/>
      <c r="Q128" s="101"/>
      <c r="R128" s="101"/>
    </row>
    <row r="129" spans="2:19">
      <c r="D129" t="s">
        <v>295</v>
      </c>
      <c r="E129" s="91">
        <v>-11704</v>
      </c>
      <c r="F129" s="91">
        <f>-1900-10407-F124</f>
        <v>-11156</v>
      </c>
      <c r="G129" s="91">
        <v>-9336</v>
      </c>
      <c r="J129" s="91">
        <v>-8800.5</v>
      </c>
      <c r="K129" s="91">
        <v>-7551</v>
      </c>
      <c r="L129" s="91">
        <v>-6212.25</v>
      </c>
      <c r="M129" s="91">
        <v>-4873.5</v>
      </c>
      <c r="O129" s="91">
        <v>-8800.5</v>
      </c>
      <c r="P129" s="91">
        <v>-7551</v>
      </c>
      <c r="Q129" s="91">
        <v>-6212.25</v>
      </c>
      <c r="R129" s="91">
        <v>-4873.5</v>
      </c>
    </row>
    <row r="130" spans="2:19">
      <c r="D130" s="102" t="s">
        <v>296</v>
      </c>
      <c r="E130" s="122">
        <f t="shared" ref="E130:F130" si="51">SUM(E129)</f>
        <v>-11704</v>
      </c>
      <c r="F130" s="122">
        <f t="shared" si="51"/>
        <v>-11156</v>
      </c>
      <c r="G130" s="122">
        <f>SUM(G129)</f>
        <v>-9336</v>
      </c>
      <c r="H130" s="122"/>
      <c r="J130" s="122">
        <f>SUM(J129)</f>
        <v>-8800.5</v>
      </c>
      <c r="K130" s="122">
        <f>SUM(K129)</f>
        <v>-7551</v>
      </c>
      <c r="L130" s="122">
        <f>SUM(L129)</f>
        <v>-6212.25</v>
      </c>
      <c r="M130" s="122">
        <f>SUM(M129)</f>
        <v>-4873.5</v>
      </c>
      <c r="O130" s="122">
        <f>SUM(O129)</f>
        <v>-8800.5</v>
      </c>
      <c r="P130" s="122">
        <f>SUM(P129)</f>
        <v>-7551</v>
      </c>
      <c r="Q130" s="122">
        <f>SUM(Q129)</f>
        <v>-6212.25</v>
      </c>
      <c r="R130" s="122">
        <f>SUM(R129)</f>
        <v>-4873.5</v>
      </c>
    </row>
    <row r="131" spans="2:19" ht="10.5" customHeight="1">
      <c r="D131" s="101"/>
      <c r="E131" s="101"/>
      <c r="F131" s="101"/>
      <c r="G131" s="101"/>
      <c r="H131" s="101"/>
      <c r="J131" s="101"/>
      <c r="K131" s="101"/>
      <c r="L131" s="101"/>
      <c r="M131" s="101"/>
      <c r="O131" s="101"/>
      <c r="P131" s="101"/>
      <c r="Q131" s="101"/>
      <c r="R131" s="101"/>
    </row>
    <row r="132" spans="2:19">
      <c r="D132" s="102" t="s">
        <v>297</v>
      </c>
      <c r="E132" s="122">
        <f t="shared" ref="E132:F132" si="52">SUM(E114,E127,E130)</f>
        <v>5715</v>
      </c>
      <c r="F132" s="122">
        <f t="shared" si="52"/>
        <v>2518</v>
      </c>
      <c r="G132" s="122">
        <f>SUM(G114,G127,G130)</f>
        <v>1020.75</v>
      </c>
      <c r="H132" s="122"/>
      <c r="J132" s="122">
        <v>-972.05800885754434</v>
      </c>
      <c r="K132" s="122">
        <v>-3215.4073653772466</v>
      </c>
      <c r="L132" s="122">
        <v>-4018.7476898919631</v>
      </c>
      <c r="M132" s="122">
        <v>-2152.0120671882978</v>
      </c>
      <c r="O132" s="122">
        <v>-826.70915335500285</v>
      </c>
      <c r="P132" s="122">
        <v>-2564.8600042234593</v>
      </c>
      <c r="Q132" s="122">
        <v>-2056.3396454947942</v>
      </c>
      <c r="R132" s="122">
        <v>2345.0841925757923</v>
      </c>
    </row>
    <row r="133" spans="2:19" ht="4.5" customHeight="1">
      <c r="D133" s="101"/>
      <c r="E133" s="101"/>
      <c r="F133" s="101"/>
      <c r="G133" s="101"/>
      <c r="H133" s="101"/>
      <c r="J133" s="101"/>
      <c r="K133" s="101"/>
      <c r="L133" s="101"/>
      <c r="M133" s="101"/>
      <c r="O133" s="101"/>
      <c r="P133" s="101"/>
      <c r="Q133" s="101"/>
      <c r="R133" s="101"/>
    </row>
    <row r="134" spans="2:19" ht="4.5" customHeight="1">
      <c r="D134" s="101"/>
      <c r="E134" s="101"/>
      <c r="F134" s="101"/>
      <c r="G134" s="101"/>
      <c r="H134" s="101"/>
      <c r="J134" s="101"/>
      <c r="K134" s="101"/>
      <c r="L134" s="101"/>
      <c r="M134" s="101"/>
      <c r="O134" s="101"/>
      <c r="P134" s="101"/>
      <c r="Q134" s="101"/>
      <c r="R134" s="101"/>
    </row>
    <row r="135" spans="2:19">
      <c r="B135" s="111" t="s">
        <v>540</v>
      </c>
      <c r="D135" s="112" t="s">
        <v>541</v>
      </c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</row>
    <row r="137" spans="2:19">
      <c r="D137" t="s">
        <v>542</v>
      </c>
      <c r="E137" s="91">
        <v>11650</v>
      </c>
      <c r="F137" s="91">
        <v>12291</v>
      </c>
      <c r="G137" s="91">
        <v>12222</v>
      </c>
      <c r="J137" s="91">
        <f>SUM('[1]QMS+ILDN Financials'!J98:J99,'[1]QMS+ILDN Financials'!J103)</f>
        <v>12576.75</v>
      </c>
      <c r="K137" s="91">
        <f>SUM('[1]QMS+ILDN Financials'!K98:K99,'[1]QMS+ILDN Financials'!K103)</f>
        <v>11381.25</v>
      </c>
      <c r="L137" s="91">
        <f>SUM('[1]QMS+ILDN Financials'!L98:L99,'[1]QMS+ILDN Financials'!L103)</f>
        <v>9893.75</v>
      </c>
      <c r="M137" s="91">
        <f>SUM('[1]QMS+ILDN Financials'!M98:M99,'[1]QMS+ILDN Financials'!M103)</f>
        <v>9150</v>
      </c>
      <c r="N137" s="91"/>
      <c r="O137" s="91">
        <f>SUM('[1]QMS+ILDN Financials'!O98:O99,'[1]QMS+ILDN Financials'!O103)</f>
        <v>12576.75</v>
      </c>
      <c r="P137" s="91">
        <f>SUM('[1]QMS+ILDN Financials'!P98:P99,'[1]QMS+ILDN Financials'!P103)</f>
        <v>11381.25</v>
      </c>
      <c r="Q137" s="91">
        <f>SUM('[1]QMS+ILDN Financials'!Q98:Q99,'[1]QMS+ILDN Financials'!Q103)</f>
        <v>9893.75</v>
      </c>
      <c r="R137" s="91">
        <f>SUM('[1]QMS+ILDN Financials'!R98:R99,'[1]QMS+ILDN Financials'!R103)</f>
        <v>9150</v>
      </c>
    </row>
    <row r="138" spans="2:19">
      <c r="D138" t="s">
        <v>288</v>
      </c>
      <c r="E138" s="91">
        <f t="shared" ref="E138:G138" si="53">-E119</f>
        <v>-69</v>
      </c>
      <c r="F138" s="91">
        <f t="shared" si="53"/>
        <v>-82</v>
      </c>
      <c r="G138" s="91">
        <f t="shared" si="53"/>
        <v>-141</v>
      </c>
      <c r="J138" s="91">
        <f>-J119</f>
        <v>-223.19653756547248</v>
      </c>
      <c r="K138" s="91">
        <f>-K119</f>
        <v>-87.932012616258163</v>
      </c>
      <c r="L138" s="91">
        <f>-L119</f>
        <v>-147.43884497433581</v>
      </c>
      <c r="M138" s="91">
        <f>-M119</f>
        <v>-789.18986469092738</v>
      </c>
      <c r="N138" s="91"/>
      <c r="O138" s="91">
        <f>-O119</f>
        <v>-445.40167250801164</v>
      </c>
      <c r="P138" s="91">
        <f>-P119</f>
        <v>-400.44302882555689</v>
      </c>
      <c r="Q138" s="91">
        <f>-Q119</f>
        <v>-1238.1215702523821</v>
      </c>
      <c r="R138" s="91">
        <f>-R119</f>
        <v>-3742.6923874065315</v>
      </c>
    </row>
    <row r="139" spans="2:19">
      <c r="D139" s="6" t="s">
        <v>543</v>
      </c>
      <c r="E139" s="121">
        <f t="shared" ref="E139:G139" si="54">E137+E138</f>
        <v>11581</v>
      </c>
      <c r="F139" s="121">
        <f t="shared" si="54"/>
        <v>12209</v>
      </c>
      <c r="G139" s="121">
        <f t="shared" si="54"/>
        <v>12081</v>
      </c>
      <c r="H139" s="121"/>
      <c r="J139" s="121">
        <f t="shared" ref="J139:R139" si="55">J137+J138</f>
        <v>12353.553462434527</v>
      </c>
      <c r="K139" s="121">
        <f t="shared" si="55"/>
        <v>11293.317987383742</v>
      </c>
      <c r="L139" s="121">
        <f t="shared" si="55"/>
        <v>9746.3111550256635</v>
      </c>
      <c r="M139" s="121">
        <f t="shared" si="55"/>
        <v>8360.8101353090733</v>
      </c>
      <c r="N139" s="91"/>
      <c r="O139" s="121">
        <f t="shared" ref="O139:Q139" si="56">O137+O138</f>
        <v>12131.348327491989</v>
      </c>
      <c r="P139" s="121">
        <f t="shared" si="56"/>
        <v>10980.806971174443</v>
      </c>
      <c r="Q139" s="121">
        <f t="shared" si="56"/>
        <v>8655.6284297476177</v>
      </c>
      <c r="R139" s="121">
        <f t="shared" si="55"/>
        <v>5407.3076125934685</v>
      </c>
    </row>
    <row r="141" spans="2:19" ht="15.75" thickBot="1">
      <c r="D141" s="117" t="s">
        <v>174</v>
      </c>
      <c r="E141" s="118">
        <f t="shared" ref="E141:G141" si="57">E74</f>
        <v>2598.6119819002397</v>
      </c>
      <c r="F141" s="118">
        <f t="shared" si="57"/>
        <v>2171.0841513030482</v>
      </c>
      <c r="G141" s="118">
        <f t="shared" si="57"/>
        <v>2220.7943873849981</v>
      </c>
      <c r="H141" s="118"/>
      <c r="J141" s="118">
        <f>J74</f>
        <v>2134.4973375082845</v>
      </c>
      <c r="K141" s="118">
        <f>K74</f>
        <v>3046.5558402818087</v>
      </c>
      <c r="L141" s="118">
        <f>L74</f>
        <v>3638.6058122675986</v>
      </c>
      <c r="M141" s="118">
        <f>M74</f>
        <v>4066.521473785966</v>
      </c>
      <c r="O141" s="118">
        <f>O74</f>
        <v>2518.218288066666</v>
      </c>
      <c r="P141" s="118">
        <f>P74</f>
        <v>3522.4916471831966</v>
      </c>
      <c r="Q141" s="118">
        <f>Q74</f>
        <v>5096.2287936491339</v>
      </c>
      <c r="R141" s="118">
        <f>R74</f>
        <v>6882.8417130825437</v>
      </c>
    </row>
    <row r="143" spans="2:19">
      <c r="D143" s="130" t="s">
        <v>544</v>
      </c>
      <c r="E143" s="131">
        <f t="shared" ref="E143:G143" si="58">E139/E141</f>
        <v>4.456609944333195</v>
      </c>
      <c r="F143" s="131">
        <f t="shared" si="58"/>
        <v>5.6234577515903119</v>
      </c>
      <c r="G143" s="131">
        <f t="shared" si="58"/>
        <v>5.439945304538286</v>
      </c>
      <c r="H143" s="132"/>
      <c r="J143" s="131">
        <f t="shared" ref="J143:R143" si="59">J139/J141</f>
        <v>5.7875703311279389</v>
      </c>
      <c r="K143" s="131">
        <f t="shared" si="59"/>
        <v>3.7069131765328485</v>
      </c>
      <c r="L143" s="131">
        <f t="shared" si="59"/>
        <v>2.6785839571205736</v>
      </c>
      <c r="M143" s="131">
        <f t="shared" si="59"/>
        <v>2.0560103245993897</v>
      </c>
      <c r="O143" s="131">
        <f t="shared" ref="O143:Q143" si="60">O139/O141</f>
        <v>4.8174331768536618</v>
      </c>
      <c r="P143" s="131">
        <f t="shared" si="60"/>
        <v>3.1173408118527064</v>
      </c>
      <c r="Q143" s="131">
        <f t="shared" si="60"/>
        <v>1.6984379587773157</v>
      </c>
      <c r="R143" s="131">
        <f t="shared" si="59"/>
        <v>0.78562138111000612</v>
      </c>
    </row>
    <row r="145" spans="2:19">
      <c r="B145" s="111" t="s">
        <v>545</v>
      </c>
      <c r="D145" s="112" t="s">
        <v>546</v>
      </c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</row>
    <row r="149" spans="2:19">
      <c r="E149" s="91">
        <f t="shared" ref="E149:G149" si="61">E119-E108</f>
        <v>0.38801809976030199</v>
      </c>
      <c r="F149" s="91">
        <f t="shared" si="61"/>
        <v>-8.4151303048201953E-2</v>
      </c>
      <c r="G149" s="91">
        <f t="shared" si="61"/>
        <v>0.20561261500188266</v>
      </c>
      <c r="J149" s="91">
        <f t="shared" ref="J149:M149" si="62">J119-J108</f>
        <v>0</v>
      </c>
      <c r="K149" s="91">
        <f t="shared" si="62"/>
        <v>0</v>
      </c>
      <c r="L149" s="91">
        <f t="shared" si="62"/>
        <v>0</v>
      </c>
      <c r="M149" s="91">
        <f t="shared" si="62"/>
        <v>0</v>
      </c>
      <c r="O149" s="91">
        <f>O119-O108</f>
        <v>0</v>
      </c>
      <c r="P149" s="91">
        <f t="shared" ref="P149:R149" si="63">P119-P108</f>
        <v>0</v>
      </c>
      <c r="Q149" s="91">
        <f t="shared" si="63"/>
        <v>0</v>
      </c>
      <c r="R149" s="91">
        <f t="shared" si="63"/>
        <v>0</v>
      </c>
    </row>
  </sheetData>
  <mergeCells count="4">
    <mergeCell ref="D4:G4"/>
    <mergeCell ref="J4:M4"/>
    <mergeCell ref="O4:R4"/>
    <mergeCell ref="D10:G10"/>
  </mergeCells>
  <pageMargins left="0.7" right="0.7" top="0.75" bottom="0.75" header="0.3" footer="0.3"/>
  <pageSetup paperSize="9" orientation="portrait" horizontalDpi="0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FE8-21F7-4BBE-91D0-27EA3292F206}">
  <dimension ref="B2:I8"/>
  <sheetViews>
    <sheetView showGridLines="0" workbookViewId="0">
      <selection activeCell="I4" sqref="I4"/>
    </sheetView>
  </sheetViews>
  <sheetFormatPr defaultColWidth="8.85546875" defaultRowHeight="15"/>
  <cols>
    <col min="4" max="4" width="19" bestFit="1" customWidth="1"/>
  </cols>
  <sheetData>
    <row r="2" spans="2:9">
      <c r="B2" t="s">
        <v>35</v>
      </c>
      <c r="D2" t="s">
        <v>547</v>
      </c>
      <c r="F2" t="s">
        <v>37</v>
      </c>
      <c r="I2" t="s">
        <v>124</v>
      </c>
    </row>
    <row r="3" spans="2:9">
      <c r="B3" t="s">
        <v>39</v>
      </c>
      <c r="D3" t="s">
        <v>36</v>
      </c>
      <c r="F3" t="s">
        <v>56</v>
      </c>
      <c r="I3" t="s">
        <v>136</v>
      </c>
    </row>
    <row r="4" spans="2:9">
      <c r="B4" t="s">
        <v>34</v>
      </c>
      <c r="D4" t="s">
        <v>52</v>
      </c>
      <c r="F4" t="s">
        <v>53</v>
      </c>
      <c r="I4" t="s">
        <v>129</v>
      </c>
    </row>
    <row r="5" spans="2:9">
      <c r="D5" t="s">
        <v>49</v>
      </c>
      <c r="F5" t="s">
        <v>50</v>
      </c>
    </row>
    <row r="6" spans="2:9">
      <c r="D6" t="s">
        <v>548</v>
      </c>
      <c r="F6" t="s">
        <v>549</v>
      </c>
    </row>
    <row r="7" spans="2:9">
      <c r="D7" t="s">
        <v>92</v>
      </c>
      <c r="F7" t="s">
        <v>550</v>
      </c>
    </row>
    <row r="8" spans="2:9">
      <c r="F8" t="s">
        <v>82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C1493FF4C124AA61416ED9EC966E9" ma:contentTypeVersion="4" ma:contentTypeDescription="Create a new document." ma:contentTypeScope="" ma:versionID="d0c0148a9f8ce5d0f7761491e1f8e021">
  <xsd:schema xmlns:xsd="http://www.w3.org/2001/XMLSchema" xmlns:xs="http://www.w3.org/2001/XMLSchema" xmlns:p="http://schemas.microsoft.com/office/2006/metadata/properties" xmlns:ns2="34b9a112-d606-4fe6-9a6c-82dd5954e82f" targetNamespace="http://schemas.microsoft.com/office/2006/metadata/properties" ma:root="true" ma:fieldsID="6c6b9bd5373f7eefc1b6597b1c3df57f" ns2:_="">
    <xsd:import namespace="34b9a112-d606-4fe6-9a6c-82dd5954e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9a112-d606-4fe6-9a6c-82dd5954e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9688DF-8F77-40A4-8A4F-8B4069B3A776}"/>
</file>

<file path=customXml/itemProps2.xml><?xml version="1.0" encoding="utf-8"?>
<ds:datastoreItem xmlns:ds="http://schemas.openxmlformats.org/officeDocument/2006/customXml" ds:itemID="{651CA295-E1A2-4BCE-BEE3-F5F30F2C6E8E}"/>
</file>

<file path=customXml/itemProps3.xml><?xml version="1.0" encoding="utf-8"?>
<ds:datastoreItem xmlns:ds="http://schemas.openxmlformats.org/officeDocument/2006/customXml" ds:itemID="{3AB45A53-5627-4820-A3CE-72F1E71B1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Byrom-Chadd</dc:creator>
  <cp:keywords/>
  <dc:description/>
  <cp:lastModifiedBy>Bradley Wilcock</cp:lastModifiedBy>
  <cp:revision/>
  <dcterms:created xsi:type="dcterms:W3CDTF">2025-11-06T16:49:42Z</dcterms:created>
  <dcterms:modified xsi:type="dcterms:W3CDTF">2026-01-22T09:44:06Z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0x010100964C1493FF4C124AA61416ED9EC966E9</vt:lpwstr>
  </property>
  <property fmtid="{D5CDD505-2E9C-101B-9397-08002B2CF9AE}" pid="3" name="MediaServiceImageTags">
    <vt:lpwstr/>
  </property>
</Properties>
</file>